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GALYAMAHESWARAN\Desktop\Documents\Employee-Attendance-Workforce-Analytics\Dashboard\"/>
    </mc:Choice>
  </mc:AlternateContent>
  <xr:revisionPtr revIDLastSave="0" documentId="13_ncr:1_{2F8555E3-00CD-4581-BD1C-4B18B52EDDA0}" xr6:coauthVersionLast="47" xr6:coauthVersionMax="47" xr10:uidLastSave="{00000000-0000-0000-0000-000000000000}"/>
  <bookViews>
    <workbookView xWindow="-108" yWindow="-108" windowWidth="23256" windowHeight="12456" firstSheet="3" activeTab="8" xr2:uid="{927A1A44-9A8D-48F8-B6E6-2517C42920A8}"/>
  </bookViews>
  <sheets>
    <sheet name="Attendance_Transactions" sheetId="1" r:id="rId1"/>
    <sheet name="Employee_Master" sheetId="2" r:id="rId2"/>
    <sheet name="Department_Master" sheetId="3" r:id="rId3"/>
    <sheet name="Shift_Master" sheetId="4" r:id="rId4"/>
    <sheet name="Holiday_Calendar" sheetId="5" r:id="rId5"/>
    <sheet name="Master_Data" sheetId="6" r:id="rId6"/>
    <sheet name="KPIs" sheetId="7" r:id="rId7"/>
    <sheet name="PivotTables" sheetId="8" r:id="rId8"/>
    <sheet name="Dashboard" sheetId="10" r:id="rId9"/>
  </sheets>
  <definedNames>
    <definedName name="Slicer_Attendance_Status">#N/A</definedName>
    <definedName name="Slicer_Department">#N/A</definedName>
    <definedName name="Slicer_Gender">#N/A</definedName>
    <definedName name="Slicer_Month">#N/A</definedName>
    <definedName name="Slicer_Work_Mod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09" i="6" l="1"/>
  <c r="U806" i="6"/>
  <c r="U802" i="6"/>
  <c r="U796" i="6"/>
  <c r="U793" i="6"/>
  <c r="U791" i="6"/>
  <c r="U782" i="6"/>
  <c r="U781" i="6"/>
  <c r="U779" i="6"/>
  <c r="U778" i="6"/>
  <c r="U771" i="6"/>
  <c r="U765" i="6"/>
  <c r="U761" i="6"/>
  <c r="U752" i="6"/>
  <c r="U748" i="6"/>
  <c r="U746" i="6"/>
  <c r="U745" i="6"/>
  <c r="U744" i="6"/>
  <c r="U738" i="6"/>
  <c r="U728" i="6"/>
  <c r="U727" i="6"/>
  <c r="U723" i="6"/>
  <c r="U717" i="6"/>
  <c r="U714" i="6"/>
  <c r="U707" i="6"/>
  <c r="U703" i="6"/>
  <c r="U701" i="6"/>
  <c r="U698" i="6"/>
  <c r="U695" i="6"/>
  <c r="U694" i="6"/>
  <c r="U689" i="6"/>
  <c r="U688" i="6"/>
  <c r="U685" i="6"/>
  <c r="U679" i="6"/>
  <c r="U676" i="6"/>
  <c r="U675" i="6"/>
  <c r="U669" i="6"/>
  <c r="U667" i="6"/>
  <c r="U665" i="6"/>
  <c r="U664" i="6"/>
  <c r="U661" i="6"/>
  <c r="U659" i="6"/>
  <c r="U656" i="6"/>
  <c r="U655" i="6"/>
  <c r="U649" i="6"/>
  <c r="U644" i="6"/>
  <c r="U642" i="6"/>
  <c r="U627" i="6"/>
  <c r="U621" i="6"/>
  <c r="U617" i="6"/>
  <c r="U614" i="6"/>
  <c r="U610" i="6"/>
  <c r="U609" i="6"/>
  <c r="U604" i="6"/>
  <c r="U603" i="6"/>
  <c r="U600" i="6"/>
  <c r="U599" i="6"/>
  <c r="U595" i="6"/>
  <c r="U593" i="6"/>
  <c r="U592" i="6"/>
  <c r="U585" i="6"/>
  <c r="U584" i="6"/>
  <c r="U583" i="6"/>
  <c r="U578" i="6"/>
  <c r="U572" i="6"/>
  <c r="U570" i="6"/>
  <c r="U567" i="6"/>
  <c r="U561" i="6"/>
  <c r="U559" i="6"/>
  <c r="U549" i="6"/>
  <c r="U547" i="6"/>
  <c r="U546" i="6"/>
  <c r="U545" i="6"/>
  <c r="U542" i="6"/>
  <c r="U541" i="6"/>
  <c r="U540" i="6"/>
  <c r="U537" i="6"/>
  <c r="U533" i="6"/>
  <c r="U526" i="6"/>
  <c r="U525" i="6"/>
  <c r="U524" i="6"/>
  <c r="U522" i="6"/>
  <c r="U513" i="6"/>
  <c r="U510" i="6"/>
  <c r="U508" i="6"/>
  <c r="U507" i="6"/>
  <c r="U503" i="6"/>
  <c r="U501" i="6"/>
  <c r="U499" i="6"/>
  <c r="U497" i="6"/>
  <c r="U496" i="6"/>
  <c r="U495" i="6"/>
  <c r="U492" i="6"/>
  <c r="U491" i="6"/>
  <c r="U490" i="6"/>
  <c r="U488" i="6"/>
  <c r="U487" i="6"/>
  <c r="U484" i="6"/>
  <c r="U476" i="6"/>
  <c r="U474" i="6"/>
  <c r="U473" i="6"/>
  <c r="U472" i="6"/>
  <c r="U470" i="6"/>
  <c r="U468" i="6"/>
  <c r="U466" i="6"/>
  <c r="U464" i="6"/>
  <c r="U462" i="6"/>
  <c r="U459" i="6"/>
  <c r="U448" i="6"/>
  <c r="U446" i="6"/>
  <c r="U444" i="6"/>
  <c r="U440" i="6"/>
  <c r="U435" i="6"/>
  <c r="U431" i="6"/>
  <c r="U429" i="6"/>
  <c r="U428" i="6"/>
  <c r="U413" i="6"/>
  <c r="U411" i="6"/>
  <c r="U408" i="6"/>
  <c r="U406" i="6"/>
  <c r="U405" i="6"/>
  <c r="U404" i="6"/>
  <c r="U399" i="6"/>
  <c r="U393" i="6"/>
  <c r="U390" i="6"/>
  <c r="U388" i="6"/>
  <c r="U386" i="6"/>
  <c r="U378" i="6"/>
  <c r="U377" i="6"/>
  <c r="U374" i="6"/>
  <c r="U372" i="6"/>
  <c r="U369" i="6"/>
  <c r="U365" i="6"/>
  <c r="U363" i="6"/>
  <c r="U350" i="6"/>
  <c r="U335" i="6"/>
  <c r="U333" i="6"/>
  <c r="U326" i="6"/>
  <c r="U321" i="6"/>
  <c r="U319" i="6"/>
  <c r="U318" i="6"/>
  <c r="U313" i="6"/>
  <c r="U309" i="6"/>
  <c r="U306" i="6"/>
  <c r="U303" i="6"/>
  <c r="U299" i="6"/>
  <c r="U298" i="6"/>
  <c r="U297" i="6"/>
  <c r="U295" i="6"/>
  <c r="U293" i="6"/>
  <c r="U288" i="6"/>
  <c r="U285" i="6"/>
  <c r="U284" i="6"/>
  <c r="U282" i="6"/>
  <c r="U277" i="6"/>
  <c r="U274" i="6"/>
  <c r="U273" i="6"/>
  <c r="U267" i="6"/>
  <c r="U266" i="6"/>
  <c r="U257" i="6"/>
  <c r="U249" i="6"/>
  <c r="U248" i="6"/>
  <c r="U246" i="6"/>
  <c r="U244" i="6"/>
  <c r="U243" i="6"/>
  <c r="U238" i="6"/>
  <c r="U237" i="6"/>
  <c r="U230" i="6"/>
  <c r="U227" i="6"/>
  <c r="U216" i="6"/>
  <c r="U211" i="6"/>
  <c r="U208" i="6"/>
  <c r="U202" i="6"/>
  <c r="U200" i="6"/>
  <c r="U199" i="6"/>
  <c r="U195" i="6"/>
  <c r="U194" i="6"/>
  <c r="U189" i="6"/>
  <c r="U171" i="6"/>
  <c r="U168" i="6"/>
  <c r="U167" i="6"/>
  <c r="U166" i="6"/>
  <c r="U165" i="6"/>
  <c r="U163" i="6"/>
  <c r="U158" i="6"/>
  <c r="U157" i="6"/>
  <c r="U146" i="6"/>
  <c r="U143" i="6"/>
  <c r="U136" i="6"/>
  <c r="U134" i="6"/>
  <c r="U129" i="6"/>
  <c r="U128" i="6"/>
  <c r="U127" i="6"/>
  <c r="U125" i="6"/>
  <c r="U118" i="6"/>
  <c r="U112" i="6"/>
  <c r="U110" i="6"/>
  <c r="U102" i="6"/>
  <c r="U101" i="6"/>
  <c r="U100" i="6"/>
  <c r="U94" i="6"/>
  <c r="U85" i="6"/>
  <c r="U75" i="6"/>
  <c r="U67" i="6"/>
  <c r="U63" i="6"/>
  <c r="U55" i="6"/>
  <c r="U49" i="6"/>
  <c r="U39" i="6"/>
  <c r="U37" i="6"/>
  <c r="U35" i="6"/>
  <c r="U29" i="6"/>
  <c r="U21" i="6"/>
  <c r="U20" i="6"/>
  <c r="U14" i="6"/>
  <c r="U9" i="6"/>
  <c r="U6" i="6"/>
  <c r="U2" i="6"/>
  <c r="B21" i="7"/>
  <c r="B15" i="7"/>
  <c r="B13" i="7"/>
  <c r="B11" i="7"/>
  <c r="B7" i="7"/>
  <c r="B5" i="7"/>
  <c r="B9" i="7" s="1"/>
  <c r="B3" i="7"/>
  <c r="B23" i="7" s="1"/>
  <c r="B1" i="7"/>
  <c r="AI2" i="6"/>
  <c r="AI3" i="6"/>
  <c r="AI4" i="6"/>
  <c r="AI5" i="6"/>
  <c r="AI6" i="6"/>
  <c r="AI7" i="6"/>
  <c r="AI8" i="6"/>
  <c r="AI9" i="6"/>
  <c r="AI10" i="6"/>
  <c r="AI11" i="6"/>
  <c r="AI12" i="6"/>
  <c r="AI13" i="6"/>
  <c r="AI14" i="6"/>
  <c r="AI15" i="6"/>
  <c r="AI16" i="6"/>
  <c r="AI17" i="6"/>
  <c r="AI18" i="6"/>
  <c r="AI19" i="6"/>
  <c r="AI20" i="6"/>
  <c r="AI21" i="6"/>
  <c r="AI22" i="6"/>
  <c r="AI23" i="6"/>
  <c r="AI24" i="6"/>
  <c r="AI25" i="6"/>
  <c r="AI26" i="6"/>
  <c r="AI27" i="6"/>
  <c r="AI28" i="6"/>
  <c r="AI29" i="6"/>
  <c r="AI30" i="6"/>
  <c r="AI31" i="6"/>
  <c r="AI32" i="6"/>
  <c r="AI33" i="6"/>
  <c r="AI34" i="6"/>
  <c r="AI35" i="6"/>
  <c r="AI36" i="6"/>
  <c r="AI37" i="6"/>
  <c r="AI38" i="6"/>
  <c r="AI39" i="6"/>
  <c r="AI40" i="6"/>
  <c r="AI41" i="6"/>
  <c r="AI42" i="6"/>
  <c r="AI43" i="6"/>
  <c r="AI44" i="6"/>
  <c r="AI45" i="6"/>
  <c r="AI46" i="6"/>
  <c r="AI47" i="6"/>
  <c r="AI48" i="6"/>
  <c r="AI49" i="6"/>
  <c r="AI50" i="6"/>
  <c r="AI51" i="6"/>
  <c r="AI52" i="6"/>
  <c r="AI53" i="6"/>
  <c r="AI54" i="6"/>
  <c r="AI55" i="6"/>
  <c r="AI56" i="6"/>
  <c r="AI57" i="6"/>
  <c r="AI58" i="6"/>
  <c r="AI59" i="6"/>
  <c r="AI60" i="6"/>
  <c r="AI61" i="6"/>
  <c r="AI62" i="6"/>
  <c r="AI63" i="6"/>
  <c r="AI64" i="6"/>
  <c r="AI65" i="6"/>
  <c r="AI66" i="6"/>
  <c r="AI67" i="6"/>
  <c r="AI68" i="6"/>
  <c r="AI69" i="6"/>
  <c r="AI70" i="6"/>
  <c r="AI71" i="6"/>
  <c r="AI72" i="6"/>
  <c r="AI73" i="6"/>
  <c r="AI74" i="6"/>
  <c r="AI75" i="6"/>
  <c r="AI76" i="6"/>
  <c r="AI77" i="6"/>
  <c r="AI78" i="6"/>
  <c r="AI79" i="6"/>
  <c r="AI80" i="6"/>
  <c r="AI81" i="6"/>
  <c r="AI82" i="6"/>
  <c r="AI83" i="6"/>
  <c r="AI84" i="6"/>
  <c r="AI85" i="6"/>
  <c r="AI86" i="6"/>
  <c r="AI87" i="6"/>
  <c r="AI88" i="6"/>
  <c r="AI89" i="6"/>
  <c r="AI90" i="6"/>
  <c r="AI91" i="6"/>
  <c r="AI92" i="6"/>
  <c r="AI93" i="6"/>
  <c r="AI94" i="6"/>
  <c r="AI95" i="6"/>
  <c r="AI96" i="6"/>
  <c r="AI97" i="6"/>
  <c r="AI98" i="6"/>
  <c r="AI99" i="6"/>
  <c r="AI100" i="6"/>
  <c r="AI101" i="6"/>
  <c r="AI102" i="6"/>
  <c r="AI103" i="6"/>
  <c r="AI104" i="6"/>
  <c r="AI105" i="6"/>
  <c r="AI106" i="6"/>
  <c r="AI107" i="6"/>
  <c r="AI108" i="6"/>
  <c r="AI109" i="6"/>
  <c r="AI110" i="6"/>
  <c r="AI111" i="6"/>
  <c r="AI112" i="6"/>
  <c r="AI113" i="6"/>
  <c r="AI114" i="6"/>
  <c r="AI115" i="6"/>
  <c r="AI116" i="6"/>
  <c r="AI117" i="6"/>
  <c r="AI118" i="6"/>
  <c r="AI119" i="6"/>
  <c r="AI120" i="6"/>
  <c r="AI121" i="6"/>
  <c r="AI122" i="6"/>
  <c r="AI123" i="6"/>
  <c r="AI124" i="6"/>
  <c r="AI125" i="6"/>
  <c r="AI126" i="6"/>
  <c r="AI127" i="6"/>
  <c r="AI128" i="6"/>
  <c r="AI129" i="6"/>
  <c r="AI130" i="6"/>
  <c r="AI131" i="6"/>
  <c r="AI132" i="6"/>
  <c r="AI133" i="6"/>
  <c r="AI134" i="6"/>
  <c r="AI135" i="6"/>
  <c r="AI136" i="6"/>
  <c r="AI137" i="6"/>
  <c r="AI138" i="6"/>
  <c r="AI139" i="6"/>
  <c r="AI140" i="6"/>
  <c r="AI141" i="6"/>
  <c r="AI142" i="6"/>
  <c r="AI143" i="6"/>
  <c r="AI144" i="6"/>
  <c r="AI145" i="6"/>
  <c r="AI146" i="6"/>
  <c r="AI147" i="6"/>
  <c r="AI148" i="6"/>
  <c r="AI149" i="6"/>
  <c r="AI150" i="6"/>
  <c r="AI151" i="6"/>
  <c r="AI152" i="6"/>
  <c r="AI153" i="6"/>
  <c r="AI154" i="6"/>
  <c r="AI155" i="6"/>
  <c r="AI156" i="6"/>
  <c r="AI157" i="6"/>
  <c r="AI158" i="6"/>
  <c r="AI159" i="6"/>
  <c r="AI160" i="6"/>
  <c r="AI161" i="6"/>
  <c r="AI162" i="6"/>
  <c r="AI163" i="6"/>
  <c r="AI164" i="6"/>
  <c r="AI165" i="6"/>
  <c r="AI166" i="6"/>
  <c r="AI167" i="6"/>
  <c r="AI168" i="6"/>
  <c r="AI169" i="6"/>
  <c r="AI170" i="6"/>
  <c r="AI171" i="6"/>
  <c r="AI172" i="6"/>
  <c r="AI173" i="6"/>
  <c r="AI174" i="6"/>
  <c r="AI175" i="6"/>
  <c r="AI176" i="6"/>
  <c r="AI177" i="6"/>
  <c r="AI178" i="6"/>
  <c r="AI179" i="6"/>
  <c r="AI180" i="6"/>
  <c r="AI181" i="6"/>
  <c r="AI182" i="6"/>
  <c r="AI183" i="6"/>
  <c r="AI184" i="6"/>
  <c r="AI185" i="6"/>
  <c r="AI186" i="6"/>
  <c r="AI187" i="6"/>
  <c r="AI188" i="6"/>
  <c r="AI189" i="6"/>
  <c r="AI190" i="6"/>
  <c r="AI191" i="6"/>
  <c r="AI192" i="6"/>
  <c r="AI193" i="6"/>
  <c r="AI194" i="6"/>
  <c r="AI195" i="6"/>
  <c r="AI196" i="6"/>
  <c r="AI197" i="6"/>
  <c r="AI198" i="6"/>
  <c r="AI199" i="6"/>
  <c r="AI200" i="6"/>
  <c r="AI201" i="6"/>
  <c r="AI202" i="6"/>
  <c r="AI203" i="6"/>
  <c r="AI204" i="6"/>
  <c r="AI205" i="6"/>
  <c r="AI206" i="6"/>
  <c r="AI207" i="6"/>
  <c r="AI208" i="6"/>
  <c r="AI209" i="6"/>
  <c r="AI210" i="6"/>
  <c r="AI211" i="6"/>
  <c r="AI212" i="6"/>
  <c r="AI213" i="6"/>
  <c r="AI214" i="6"/>
  <c r="AI215" i="6"/>
  <c r="AI216" i="6"/>
  <c r="AI217" i="6"/>
  <c r="AI218" i="6"/>
  <c r="AI219" i="6"/>
  <c r="AI220" i="6"/>
  <c r="AI221" i="6"/>
  <c r="AI222" i="6"/>
  <c r="AI223" i="6"/>
  <c r="AI224" i="6"/>
  <c r="AI225" i="6"/>
  <c r="AI226" i="6"/>
  <c r="AI227" i="6"/>
  <c r="AI228" i="6"/>
  <c r="AI229" i="6"/>
  <c r="AI230" i="6"/>
  <c r="AI231" i="6"/>
  <c r="AI232" i="6"/>
  <c r="AI233" i="6"/>
  <c r="AI234" i="6"/>
  <c r="AI235" i="6"/>
  <c r="AI236" i="6"/>
  <c r="AI237" i="6"/>
  <c r="AI238" i="6"/>
  <c r="AI239" i="6"/>
  <c r="AI240" i="6"/>
  <c r="AI241" i="6"/>
  <c r="AI242" i="6"/>
  <c r="AI243" i="6"/>
  <c r="AI244" i="6"/>
  <c r="AI245" i="6"/>
  <c r="AI246" i="6"/>
  <c r="AI247" i="6"/>
  <c r="AI248" i="6"/>
  <c r="AI249" i="6"/>
  <c r="AI250" i="6"/>
  <c r="AI251" i="6"/>
  <c r="AI252" i="6"/>
  <c r="AI253" i="6"/>
  <c r="AI254" i="6"/>
  <c r="AI255" i="6"/>
  <c r="AI256" i="6"/>
  <c r="AI257" i="6"/>
  <c r="AI258" i="6"/>
  <c r="AI259" i="6"/>
  <c r="AI260" i="6"/>
  <c r="AI261" i="6"/>
  <c r="AI262" i="6"/>
  <c r="AI263" i="6"/>
  <c r="AI264" i="6"/>
  <c r="AI265" i="6"/>
  <c r="AI266" i="6"/>
  <c r="AI267" i="6"/>
  <c r="AI268" i="6"/>
  <c r="AI269" i="6"/>
  <c r="AI270" i="6"/>
  <c r="AI271" i="6"/>
  <c r="AI272" i="6"/>
  <c r="AI273" i="6"/>
  <c r="AI274" i="6"/>
  <c r="AI275" i="6"/>
  <c r="AI276" i="6"/>
  <c r="AI277" i="6"/>
  <c r="AI278" i="6"/>
  <c r="AI279" i="6"/>
  <c r="AI280" i="6"/>
  <c r="AI281" i="6"/>
  <c r="AI282" i="6"/>
  <c r="AI283" i="6"/>
  <c r="AI284" i="6"/>
  <c r="AI285" i="6"/>
  <c r="AI286" i="6"/>
  <c r="AI287" i="6"/>
  <c r="AI288" i="6"/>
  <c r="AI289" i="6"/>
  <c r="AI290" i="6"/>
  <c r="AI291" i="6"/>
  <c r="AI292" i="6"/>
  <c r="AI293" i="6"/>
  <c r="AI294" i="6"/>
  <c r="AI295" i="6"/>
  <c r="AI296" i="6"/>
  <c r="AI297" i="6"/>
  <c r="AI298" i="6"/>
  <c r="AI299" i="6"/>
  <c r="AI300" i="6"/>
  <c r="AI301" i="6"/>
  <c r="AI302" i="6"/>
  <c r="AI303" i="6"/>
  <c r="AI304" i="6"/>
  <c r="AI305" i="6"/>
  <c r="AI306" i="6"/>
  <c r="AI307" i="6"/>
  <c r="AI308" i="6"/>
  <c r="AI309" i="6"/>
  <c r="AI310" i="6"/>
  <c r="AI311" i="6"/>
  <c r="AI312" i="6"/>
  <c r="AI313" i="6"/>
  <c r="AI314" i="6"/>
  <c r="AI315" i="6"/>
  <c r="AI316" i="6"/>
  <c r="AI317" i="6"/>
  <c r="AI318" i="6"/>
  <c r="AI319" i="6"/>
  <c r="AI320" i="6"/>
  <c r="AI321" i="6"/>
  <c r="AI322" i="6"/>
  <c r="AI323" i="6"/>
  <c r="AI324" i="6"/>
  <c r="AI325" i="6"/>
  <c r="AI326" i="6"/>
  <c r="AI327" i="6"/>
  <c r="AI328" i="6"/>
  <c r="AI329" i="6"/>
  <c r="AI330" i="6"/>
  <c r="AI331" i="6"/>
  <c r="AI332" i="6"/>
  <c r="AI333" i="6"/>
  <c r="AI334" i="6"/>
  <c r="AI335" i="6"/>
  <c r="AI336" i="6"/>
  <c r="AI337" i="6"/>
  <c r="AI338" i="6"/>
  <c r="AI339" i="6"/>
  <c r="AI340" i="6"/>
  <c r="AI341" i="6"/>
  <c r="AI342" i="6"/>
  <c r="AI343" i="6"/>
  <c r="AI344" i="6"/>
  <c r="AI345" i="6"/>
  <c r="AI346" i="6"/>
  <c r="AI347" i="6"/>
  <c r="AI348" i="6"/>
  <c r="AI349" i="6"/>
  <c r="AI350" i="6"/>
  <c r="AI351" i="6"/>
  <c r="AI352" i="6"/>
  <c r="AI353" i="6"/>
  <c r="AI354" i="6"/>
  <c r="AI355" i="6"/>
  <c r="AI356" i="6"/>
  <c r="AI357" i="6"/>
  <c r="AI358" i="6"/>
  <c r="AI359" i="6"/>
  <c r="AI360" i="6"/>
  <c r="AI361" i="6"/>
  <c r="AI362" i="6"/>
  <c r="AI363" i="6"/>
  <c r="AI364" i="6"/>
  <c r="AI365" i="6"/>
  <c r="AI366" i="6"/>
  <c r="AI367" i="6"/>
  <c r="AI368" i="6"/>
  <c r="AI369" i="6"/>
  <c r="AI370" i="6"/>
  <c r="AI371" i="6"/>
  <c r="AI372" i="6"/>
  <c r="AI373" i="6"/>
  <c r="AI374" i="6"/>
  <c r="AI375" i="6"/>
  <c r="AI376" i="6"/>
  <c r="AI377" i="6"/>
  <c r="AI378" i="6"/>
  <c r="AI379" i="6"/>
  <c r="AI380" i="6"/>
  <c r="AI381" i="6"/>
  <c r="AI382" i="6"/>
  <c r="AI383" i="6"/>
  <c r="AI384" i="6"/>
  <c r="AI385" i="6"/>
  <c r="AI386" i="6"/>
  <c r="AI387" i="6"/>
  <c r="AI388" i="6"/>
  <c r="AI389" i="6"/>
  <c r="AI390" i="6"/>
  <c r="AI391" i="6"/>
  <c r="AI392" i="6"/>
  <c r="AI393" i="6"/>
  <c r="AI394" i="6"/>
  <c r="AI395" i="6"/>
  <c r="AI396" i="6"/>
  <c r="AI397" i="6"/>
  <c r="AI398" i="6"/>
  <c r="AI399" i="6"/>
  <c r="AI400" i="6"/>
  <c r="AI401" i="6"/>
  <c r="AI402" i="6"/>
  <c r="AI403" i="6"/>
  <c r="AI404" i="6"/>
  <c r="AI405" i="6"/>
  <c r="AI406" i="6"/>
  <c r="AI407" i="6"/>
  <c r="AI408" i="6"/>
  <c r="AI409" i="6"/>
  <c r="AI410" i="6"/>
  <c r="AI411" i="6"/>
  <c r="AI412" i="6"/>
  <c r="AI413" i="6"/>
  <c r="AI414" i="6"/>
  <c r="AI415" i="6"/>
  <c r="AI416" i="6"/>
  <c r="AI417" i="6"/>
  <c r="AI418" i="6"/>
  <c r="AI419" i="6"/>
  <c r="AI420" i="6"/>
  <c r="AI421" i="6"/>
  <c r="AI422" i="6"/>
  <c r="AI423" i="6"/>
  <c r="AI424" i="6"/>
  <c r="AI425" i="6"/>
  <c r="AI426" i="6"/>
  <c r="AI427" i="6"/>
  <c r="AI428" i="6"/>
  <c r="AI429" i="6"/>
  <c r="AI430" i="6"/>
  <c r="AI431" i="6"/>
  <c r="AI432" i="6"/>
  <c r="AI433" i="6"/>
  <c r="AI434" i="6"/>
  <c r="AI435" i="6"/>
  <c r="AI436" i="6"/>
  <c r="AI437" i="6"/>
  <c r="AI438" i="6"/>
  <c r="AI439" i="6"/>
  <c r="AI440" i="6"/>
  <c r="AI441" i="6"/>
  <c r="AI442" i="6"/>
  <c r="AI443" i="6"/>
  <c r="AI444" i="6"/>
  <c r="AI445" i="6"/>
  <c r="AI446" i="6"/>
  <c r="AI447" i="6"/>
  <c r="AI448" i="6"/>
  <c r="AI449" i="6"/>
  <c r="AI450" i="6"/>
  <c r="AI451" i="6"/>
  <c r="AI452" i="6"/>
  <c r="AI453" i="6"/>
  <c r="AI454" i="6"/>
  <c r="AI455" i="6"/>
  <c r="AI456" i="6"/>
  <c r="AI457" i="6"/>
  <c r="AI458" i="6"/>
  <c r="AI459" i="6"/>
  <c r="AI460" i="6"/>
  <c r="AI461" i="6"/>
  <c r="AI462" i="6"/>
  <c r="AI463" i="6"/>
  <c r="AI464" i="6"/>
  <c r="AI465" i="6"/>
  <c r="AI466" i="6"/>
  <c r="AI467" i="6"/>
  <c r="AI468" i="6"/>
  <c r="AI469" i="6"/>
  <c r="AI470" i="6"/>
  <c r="AI471" i="6"/>
  <c r="AI472" i="6"/>
  <c r="AI473" i="6"/>
  <c r="AI474" i="6"/>
  <c r="AI475" i="6"/>
  <c r="AI476" i="6"/>
  <c r="AI477" i="6"/>
  <c r="AI478" i="6"/>
  <c r="AI479" i="6"/>
  <c r="AI480" i="6"/>
  <c r="AI481" i="6"/>
  <c r="AI482" i="6"/>
  <c r="AI483" i="6"/>
  <c r="AI484" i="6"/>
  <c r="AI485" i="6"/>
  <c r="AI486" i="6"/>
  <c r="AI487" i="6"/>
  <c r="AI488" i="6"/>
  <c r="AI489" i="6"/>
  <c r="AI490" i="6"/>
  <c r="AI491" i="6"/>
  <c r="AI492" i="6"/>
  <c r="AI493" i="6"/>
  <c r="AI494" i="6"/>
  <c r="AI495" i="6"/>
  <c r="AI496" i="6"/>
  <c r="AI497" i="6"/>
  <c r="AI498" i="6"/>
  <c r="AI499" i="6"/>
  <c r="AI500" i="6"/>
  <c r="AI501" i="6"/>
  <c r="AI502" i="6"/>
  <c r="AI503" i="6"/>
  <c r="AI504" i="6"/>
  <c r="AI505" i="6"/>
  <c r="AI506" i="6"/>
  <c r="AI507" i="6"/>
  <c r="AI508" i="6"/>
  <c r="AI509" i="6"/>
  <c r="AI510" i="6"/>
  <c r="AI511" i="6"/>
  <c r="AI512" i="6"/>
  <c r="AI513" i="6"/>
  <c r="AI514" i="6"/>
  <c r="AI515" i="6"/>
  <c r="AI516" i="6"/>
  <c r="AI517" i="6"/>
  <c r="AI518" i="6"/>
  <c r="AI519" i="6"/>
  <c r="AI520" i="6"/>
  <c r="AI521" i="6"/>
  <c r="AI522" i="6"/>
  <c r="AI523" i="6"/>
  <c r="AI524" i="6"/>
  <c r="AI525" i="6"/>
  <c r="AI526" i="6"/>
  <c r="AI527" i="6"/>
  <c r="AI528" i="6"/>
  <c r="AI529" i="6"/>
  <c r="AI530" i="6"/>
  <c r="AI531" i="6"/>
  <c r="AI532" i="6"/>
  <c r="AI533" i="6"/>
  <c r="AI534" i="6"/>
  <c r="AI535" i="6"/>
  <c r="AI536" i="6"/>
  <c r="AI537" i="6"/>
  <c r="AI538" i="6"/>
  <c r="AI539" i="6"/>
  <c r="AI540" i="6"/>
  <c r="AI541" i="6"/>
  <c r="AI542" i="6"/>
  <c r="AI543" i="6"/>
  <c r="AI544" i="6"/>
  <c r="AI545" i="6"/>
  <c r="AI546" i="6"/>
  <c r="AI547" i="6"/>
  <c r="AI548" i="6"/>
  <c r="AI549" i="6"/>
  <c r="AI550" i="6"/>
  <c r="AI551" i="6"/>
  <c r="AI552" i="6"/>
  <c r="AI553" i="6"/>
  <c r="AI554" i="6"/>
  <c r="AI555" i="6"/>
  <c r="AI556" i="6"/>
  <c r="AI557" i="6"/>
  <c r="AI558" i="6"/>
  <c r="AI559" i="6"/>
  <c r="AI560" i="6"/>
  <c r="AI561" i="6"/>
  <c r="AI562" i="6"/>
  <c r="AI563" i="6"/>
  <c r="AI564" i="6"/>
  <c r="AI565" i="6"/>
  <c r="AI566" i="6"/>
  <c r="AI567" i="6"/>
  <c r="AI568" i="6"/>
  <c r="AI569" i="6"/>
  <c r="AI570" i="6"/>
  <c r="AI571" i="6"/>
  <c r="AI572" i="6"/>
  <c r="AI573" i="6"/>
  <c r="AI574" i="6"/>
  <c r="AI575" i="6"/>
  <c r="AI576" i="6"/>
  <c r="AI577" i="6"/>
  <c r="AI578" i="6"/>
  <c r="AI579" i="6"/>
  <c r="AI580" i="6"/>
  <c r="AI581" i="6"/>
  <c r="AI582" i="6"/>
  <c r="AI583" i="6"/>
  <c r="AI584" i="6"/>
  <c r="AI585" i="6"/>
  <c r="AI586" i="6"/>
  <c r="AI587" i="6"/>
  <c r="AI588" i="6"/>
  <c r="AI589" i="6"/>
  <c r="AI590" i="6"/>
  <c r="AI591" i="6"/>
  <c r="AI592" i="6"/>
  <c r="AI593" i="6"/>
  <c r="AI594" i="6"/>
  <c r="AI595" i="6"/>
  <c r="AI596" i="6"/>
  <c r="AI597" i="6"/>
  <c r="AI598" i="6"/>
  <c r="AI599" i="6"/>
  <c r="AI600" i="6"/>
  <c r="AI601" i="6"/>
  <c r="AI602" i="6"/>
  <c r="AI603" i="6"/>
  <c r="AI604" i="6"/>
  <c r="AI605" i="6"/>
  <c r="AI606" i="6"/>
  <c r="AI607" i="6"/>
  <c r="AI608" i="6"/>
  <c r="AI609" i="6"/>
  <c r="AI610" i="6"/>
  <c r="AI611" i="6"/>
  <c r="AI612" i="6"/>
  <c r="AI613" i="6"/>
  <c r="AI614" i="6"/>
  <c r="AI615" i="6"/>
  <c r="AI616" i="6"/>
  <c r="AI617" i="6"/>
  <c r="AI618" i="6"/>
  <c r="AI619" i="6"/>
  <c r="AI620" i="6"/>
  <c r="AI621" i="6"/>
  <c r="AI622" i="6"/>
  <c r="AI623" i="6"/>
  <c r="AI624" i="6"/>
  <c r="AI625" i="6"/>
  <c r="AI626" i="6"/>
  <c r="AI627" i="6"/>
  <c r="AI628" i="6"/>
  <c r="AI629" i="6"/>
  <c r="AI630" i="6"/>
  <c r="AI631" i="6"/>
  <c r="AI632" i="6"/>
  <c r="AI633" i="6"/>
  <c r="AI634" i="6"/>
  <c r="AI635" i="6"/>
  <c r="AI636" i="6"/>
  <c r="AI637" i="6"/>
  <c r="AI638" i="6"/>
  <c r="AI639" i="6"/>
  <c r="AI640" i="6"/>
  <c r="AI641" i="6"/>
  <c r="AI642" i="6"/>
  <c r="AI643" i="6"/>
  <c r="AI644" i="6"/>
  <c r="AI645" i="6"/>
  <c r="AI646" i="6"/>
  <c r="AI647" i="6"/>
  <c r="AI648" i="6"/>
  <c r="AI649" i="6"/>
  <c r="AI650" i="6"/>
  <c r="AI651" i="6"/>
  <c r="AI652" i="6"/>
  <c r="AI653" i="6"/>
  <c r="AI654" i="6"/>
  <c r="AI655" i="6"/>
  <c r="AI656" i="6"/>
  <c r="AI657" i="6"/>
  <c r="AI658" i="6"/>
  <c r="AI659" i="6"/>
  <c r="AI660" i="6"/>
  <c r="AI661" i="6"/>
  <c r="AI662" i="6"/>
  <c r="AI663" i="6"/>
  <c r="AI664" i="6"/>
  <c r="AI665" i="6"/>
  <c r="AI666" i="6"/>
  <c r="AI667" i="6"/>
  <c r="AI668" i="6"/>
  <c r="AI669" i="6"/>
  <c r="AI670" i="6"/>
  <c r="AI671" i="6"/>
  <c r="AI672" i="6"/>
  <c r="AI673" i="6"/>
  <c r="AI674" i="6"/>
  <c r="AI675" i="6"/>
  <c r="AI676" i="6"/>
  <c r="AI677" i="6"/>
  <c r="AI678" i="6"/>
  <c r="AI679" i="6"/>
  <c r="AI680" i="6"/>
  <c r="AI681" i="6"/>
  <c r="AI682" i="6"/>
  <c r="AI683" i="6"/>
  <c r="AI684" i="6"/>
  <c r="AI685" i="6"/>
  <c r="AI686" i="6"/>
  <c r="AI687" i="6"/>
  <c r="AI688" i="6"/>
  <c r="AI689" i="6"/>
  <c r="AI690" i="6"/>
  <c r="AI691" i="6"/>
  <c r="AI692" i="6"/>
  <c r="AI693" i="6"/>
  <c r="AI694" i="6"/>
  <c r="AI695" i="6"/>
  <c r="AI696" i="6"/>
  <c r="AI697" i="6"/>
  <c r="AI698" i="6"/>
  <c r="AI699" i="6"/>
  <c r="AI700" i="6"/>
  <c r="AI701" i="6"/>
  <c r="AI702" i="6"/>
  <c r="AI703" i="6"/>
  <c r="AI704" i="6"/>
  <c r="AI705" i="6"/>
  <c r="AI706" i="6"/>
  <c r="AI707" i="6"/>
  <c r="AI708" i="6"/>
  <c r="AI709" i="6"/>
  <c r="AI710" i="6"/>
  <c r="AI711" i="6"/>
  <c r="AI712" i="6"/>
  <c r="AI713" i="6"/>
  <c r="AI714" i="6"/>
  <c r="AI715" i="6"/>
  <c r="AI716" i="6"/>
  <c r="AI717" i="6"/>
  <c r="AI718" i="6"/>
  <c r="AI719" i="6"/>
  <c r="AI720" i="6"/>
  <c r="AI721" i="6"/>
  <c r="AI722" i="6"/>
  <c r="AI723" i="6"/>
  <c r="AI724" i="6"/>
  <c r="AI725" i="6"/>
  <c r="AI726" i="6"/>
  <c r="AI727" i="6"/>
  <c r="AI728" i="6"/>
  <c r="AI729" i="6"/>
  <c r="AI730" i="6"/>
  <c r="AI731" i="6"/>
  <c r="AI732" i="6"/>
  <c r="AI733" i="6"/>
  <c r="AI734" i="6"/>
  <c r="AI735" i="6"/>
  <c r="AI736" i="6"/>
  <c r="AI737" i="6"/>
  <c r="AI738" i="6"/>
  <c r="AI739" i="6"/>
  <c r="AI740" i="6"/>
  <c r="AI741" i="6"/>
  <c r="AI742" i="6"/>
  <c r="AI743" i="6"/>
  <c r="AI744" i="6"/>
  <c r="AI745" i="6"/>
  <c r="AI746" i="6"/>
  <c r="AI747" i="6"/>
  <c r="AI748" i="6"/>
  <c r="AI749" i="6"/>
  <c r="AI750" i="6"/>
  <c r="AI751" i="6"/>
  <c r="AI752" i="6"/>
  <c r="AI753" i="6"/>
  <c r="AI754" i="6"/>
  <c r="AI755" i="6"/>
  <c r="AI756" i="6"/>
  <c r="AI757" i="6"/>
  <c r="AI758" i="6"/>
  <c r="AI759" i="6"/>
  <c r="AI760" i="6"/>
  <c r="AI761" i="6"/>
  <c r="AI762" i="6"/>
  <c r="AI763" i="6"/>
  <c r="AI764" i="6"/>
  <c r="AI765" i="6"/>
  <c r="AI766" i="6"/>
  <c r="AI767" i="6"/>
  <c r="AI768" i="6"/>
  <c r="AI769" i="6"/>
  <c r="AI770" i="6"/>
  <c r="AI771" i="6"/>
  <c r="AI772" i="6"/>
  <c r="AI773" i="6"/>
  <c r="AI774" i="6"/>
  <c r="AI775" i="6"/>
  <c r="AI776" i="6"/>
  <c r="AI777" i="6"/>
  <c r="AI778" i="6"/>
  <c r="AI779" i="6"/>
  <c r="AI780" i="6"/>
  <c r="AI781" i="6"/>
  <c r="AI782" i="6"/>
  <c r="AI783" i="6"/>
  <c r="AI784" i="6"/>
  <c r="AI785" i="6"/>
  <c r="AI786" i="6"/>
  <c r="AI787" i="6"/>
  <c r="AI788" i="6"/>
  <c r="AI789" i="6"/>
  <c r="AI790" i="6"/>
  <c r="AI791" i="6"/>
  <c r="AI792" i="6"/>
  <c r="AI793" i="6"/>
  <c r="AI794" i="6"/>
  <c r="AI795" i="6"/>
  <c r="AI796" i="6"/>
  <c r="AI797" i="6"/>
  <c r="AI798" i="6"/>
  <c r="AI799" i="6"/>
  <c r="AI800" i="6"/>
  <c r="AI801" i="6"/>
  <c r="AI802" i="6"/>
  <c r="AI803" i="6"/>
  <c r="AI804" i="6"/>
  <c r="AI805" i="6"/>
  <c r="AI806" i="6"/>
  <c r="AI807" i="6"/>
  <c r="AI808" i="6"/>
  <c r="AI809" i="6"/>
  <c r="AH2" i="6"/>
  <c r="AH3" i="6"/>
  <c r="AH4" i="6"/>
  <c r="AH5" i="6"/>
  <c r="AH6" i="6"/>
  <c r="AH7" i="6"/>
  <c r="AH8" i="6"/>
  <c r="AH9" i="6"/>
  <c r="AH10" i="6"/>
  <c r="AH11" i="6"/>
  <c r="AH12" i="6"/>
  <c r="AH13" i="6"/>
  <c r="AH14" i="6"/>
  <c r="AH15" i="6"/>
  <c r="AH16" i="6"/>
  <c r="AH17" i="6"/>
  <c r="AH18" i="6"/>
  <c r="AH19" i="6"/>
  <c r="AH20" i="6"/>
  <c r="AH21" i="6"/>
  <c r="AH22" i="6"/>
  <c r="AH23" i="6"/>
  <c r="AH24" i="6"/>
  <c r="AH25" i="6"/>
  <c r="AH26" i="6"/>
  <c r="AH27" i="6"/>
  <c r="AH28" i="6"/>
  <c r="AH29" i="6"/>
  <c r="AH30" i="6"/>
  <c r="AH31" i="6"/>
  <c r="AH32" i="6"/>
  <c r="AH33" i="6"/>
  <c r="AH34" i="6"/>
  <c r="AH35" i="6"/>
  <c r="AH36" i="6"/>
  <c r="AH37" i="6"/>
  <c r="AH38" i="6"/>
  <c r="AH39" i="6"/>
  <c r="AH40" i="6"/>
  <c r="AH41" i="6"/>
  <c r="AH42" i="6"/>
  <c r="AH43" i="6"/>
  <c r="AH44" i="6"/>
  <c r="AH45" i="6"/>
  <c r="AH46" i="6"/>
  <c r="AH47" i="6"/>
  <c r="AH48" i="6"/>
  <c r="AH49" i="6"/>
  <c r="AH50" i="6"/>
  <c r="AH51" i="6"/>
  <c r="AH52" i="6"/>
  <c r="AH53" i="6"/>
  <c r="AH54" i="6"/>
  <c r="AH55" i="6"/>
  <c r="AH56" i="6"/>
  <c r="AH57" i="6"/>
  <c r="AH58" i="6"/>
  <c r="AH59" i="6"/>
  <c r="AH60" i="6"/>
  <c r="AH61" i="6"/>
  <c r="AH62" i="6"/>
  <c r="AH63" i="6"/>
  <c r="AH64" i="6"/>
  <c r="AH65" i="6"/>
  <c r="AH66" i="6"/>
  <c r="AH67" i="6"/>
  <c r="AH68" i="6"/>
  <c r="AH69" i="6"/>
  <c r="AH70" i="6"/>
  <c r="AH71" i="6"/>
  <c r="AH72" i="6"/>
  <c r="AH73" i="6"/>
  <c r="AH74" i="6"/>
  <c r="AH75" i="6"/>
  <c r="AH76" i="6"/>
  <c r="AH77" i="6"/>
  <c r="AH78" i="6"/>
  <c r="AH79" i="6"/>
  <c r="AH80" i="6"/>
  <c r="AH81" i="6"/>
  <c r="AH82" i="6"/>
  <c r="AH83" i="6"/>
  <c r="AH84" i="6"/>
  <c r="AH85" i="6"/>
  <c r="AH86" i="6"/>
  <c r="AH87" i="6"/>
  <c r="AH88" i="6"/>
  <c r="AH89" i="6"/>
  <c r="AH90" i="6"/>
  <c r="AH91" i="6"/>
  <c r="AH92" i="6"/>
  <c r="AH93" i="6"/>
  <c r="AH94" i="6"/>
  <c r="AH95" i="6"/>
  <c r="AH96" i="6"/>
  <c r="AH97" i="6"/>
  <c r="AH98" i="6"/>
  <c r="AH99" i="6"/>
  <c r="AH100" i="6"/>
  <c r="AH101" i="6"/>
  <c r="AH102" i="6"/>
  <c r="AH103" i="6"/>
  <c r="AH104" i="6"/>
  <c r="AH105" i="6"/>
  <c r="AH106" i="6"/>
  <c r="AH107" i="6"/>
  <c r="AH108" i="6"/>
  <c r="AH109" i="6"/>
  <c r="AH110" i="6"/>
  <c r="AH111" i="6"/>
  <c r="AH112" i="6"/>
  <c r="AH113" i="6"/>
  <c r="AH114" i="6"/>
  <c r="AH115" i="6"/>
  <c r="AH116" i="6"/>
  <c r="AH117" i="6"/>
  <c r="AH118" i="6"/>
  <c r="AH119" i="6"/>
  <c r="AH120" i="6"/>
  <c r="AH121" i="6"/>
  <c r="AH122" i="6"/>
  <c r="AH123" i="6"/>
  <c r="AH124" i="6"/>
  <c r="AH125" i="6"/>
  <c r="AH126" i="6"/>
  <c r="AH127" i="6"/>
  <c r="AH128" i="6"/>
  <c r="AH129" i="6"/>
  <c r="AH130" i="6"/>
  <c r="AH131" i="6"/>
  <c r="AH132" i="6"/>
  <c r="AH133" i="6"/>
  <c r="AH134" i="6"/>
  <c r="AH135" i="6"/>
  <c r="AH136" i="6"/>
  <c r="AH137" i="6"/>
  <c r="AH138" i="6"/>
  <c r="AH139" i="6"/>
  <c r="AH140" i="6"/>
  <c r="AH141" i="6"/>
  <c r="AH142" i="6"/>
  <c r="AH143" i="6"/>
  <c r="AH144" i="6"/>
  <c r="AH145" i="6"/>
  <c r="AH146" i="6"/>
  <c r="AH147" i="6"/>
  <c r="AH148" i="6"/>
  <c r="AH149" i="6"/>
  <c r="AH150" i="6"/>
  <c r="AH151" i="6"/>
  <c r="AH152" i="6"/>
  <c r="AH153" i="6"/>
  <c r="AH154" i="6"/>
  <c r="AH155" i="6"/>
  <c r="AH156" i="6"/>
  <c r="AH157" i="6"/>
  <c r="AH158" i="6"/>
  <c r="AH159" i="6"/>
  <c r="AH160" i="6"/>
  <c r="AH161" i="6"/>
  <c r="AH162" i="6"/>
  <c r="AH163" i="6"/>
  <c r="AH164" i="6"/>
  <c r="AH165" i="6"/>
  <c r="AH166" i="6"/>
  <c r="AH167" i="6"/>
  <c r="AH168" i="6"/>
  <c r="AH169" i="6"/>
  <c r="AH170" i="6"/>
  <c r="AH171" i="6"/>
  <c r="AH172" i="6"/>
  <c r="AH173" i="6"/>
  <c r="AH174" i="6"/>
  <c r="AH175" i="6"/>
  <c r="AH176" i="6"/>
  <c r="AH177" i="6"/>
  <c r="AH178" i="6"/>
  <c r="AH179" i="6"/>
  <c r="AH180" i="6"/>
  <c r="AH181" i="6"/>
  <c r="AH182" i="6"/>
  <c r="AH183" i="6"/>
  <c r="AH184" i="6"/>
  <c r="AH185" i="6"/>
  <c r="AH186" i="6"/>
  <c r="AH187" i="6"/>
  <c r="AH188" i="6"/>
  <c r="AH189" i="6"/>
  <c r="AH190" i="6"/>
  <c r="AH191" i="6"/>
  <c r="AH192" i="6"/>
  <c r="AH193" i="6"/>
  <c r="AH194" i="6"/>
  <c r="AH195" i="6"/>
  <c r="AH196" i="6"/>
  <c r="AH197" i="6"/>
  <c r="AH198" i="6"/>
  <c r="AH199" i="6"/>
  <c r="AH200" i="6"/>
  <c r="AH201" i="6"/>
  <c r="AH202" i="6"/>
  <c r="AH203" i="6"/>
  <c r="AH204" i="6"/>
  <c r="AH205" i="6"/>
  <c r="AH206" i="6"/>
  <c r="AH207" i="6"/>
  <c r="AH208" i="6"/>
  <c r="AH209" i="6"/>
  <c r="AH210" i="6"/>
  <c r="AH211" i="6"/>
  <c r="AH212" i="6"/>
  <c r="AH213" i="6"/>
  <c r="AH214" i="6"/>
  <c r="AH215" i="6"/>
  <c r="AH216" i="6"/>
  <c r="AH217" i="6"/>
  <c r="AH218" i="6"/>
  <c r="AH219" i="6"/>
  <c r="AH220" i="6"/>
  <c r="AH221" i="6"/>
  <c r="AH222" i="6"/>
  <c r="AH223" i="6"/>
  <c r="AH224" i="6"/>
  <c r="AH225" i="6"/>
  <c r="AH226" i="6"/>
  <c r="AH227" i="6"/>
  <c r="AH228" i="6"/>
  <c r="AH229" i="6"/>
  <c r="AH230" i="6"/>
  <c r="AH231" i="6"/>
  <c r="AH232" i="6"/>
  <c r="AH233" i="6"/>
  <c r="AH234" i="6"/>
  <c r="AH235" i="6"/>
  <c r="AH236" i="6"/>
  <c r="AH237" i="6"/>
  <c r="AH238" i="6"/>
  <c r="AH239" i="6"/>
  <c r="AH240" i="6"/>
  <c r="AH241" i="6"/>
  <c r="AH242" i="6"/>
  <c r="AH243" i="6"/>
  <c r="AH244" i="6"/>
  <c r="AH245" i="6"/>
  <c r="AH246" i="6"/>
  <c r="AH247" i="6"/>
  <c r="AH248" i="6"/>
  <c r="AH249" i="6"/>
  <c r="AH250" i="6"/>
  <c r="AH251" i="6"/>
  <c r="AH252" i="6"/>
  <c r="AH253" i="6"/>
  <c r="AH254" i="6"/>
  <c r="AH255" i="6"/>
  <c r="AH256" i="6"/>
  <c r="AH257" i="6"/>
  <c r="AH258" i="6"/>
  <c r="AH259" i="6"/>
  <c r="AH260" i="6"/>
  <c r="AH261" i="6"/>
  <c r="AH262" i="6"/>
  <c r="AH263" i="6"/>
  <c r="AH264" i="6"/>
  <c r="AH265" i="6"/>
  <c r="AH266" i="6"/>
  <c r="AH267" i="6"/>
  <c r="AH268" i="6"/>
  <c r="AH269" i="6"/>
  <c r="AH270" i="6"/>
  <c r="AH271" i="6"/>
  <c r="AH272" i="6"/>
  <c r="AH273" i="6"/>
  <c r="AH274" i="6"/>
  <c r="AH275" i="6"/>
  <c r="AH276" i="6"/>
  <c r="AH277" i="6"/>
  <c r="AH278" i="6"/>
  <c r="AH279" i="6"/>
  <c r="AH280" i="6"/>
  <c r="AH281" i="6"/>
  <c r="AH282" i="6"/>
  <c r="AH283" i="6"/>
  <c r="AH284" i="6"/>
  <c r="AH285" i="6"/>
  <c r="AH286" i="6"/>
  <c r="AH287" i="6"/>
  <c r="AH288" i="6"/>
  <c r="AH289" i="6"/>
  <c r="AH290" i="6"/>
  <c r="AH291" i="6"/>
  <c r="AH292" i="6"/>
  <c r="AH293" i="6"/>
  <c r="AH294" i="6"/>
  <c r="AH295" i="6"/>
  <c r="AH296" i="6"/>
  <c r="AH297" i="6"/>
  <c r="AH298" i="6"/>
  <c r="AH299" i="6"/>
  <c r="AH300" i="6"/>
  <c r="AH301" i="6"/>
  <c r="AH302" i="6"/>
  <c r="AH303" i="6"/>
  <c r="AH304" i="6"/>
  <c r="AH305" i="6"/>
  <c r="AH306" i="6"/>
  <c r="AH307" i="6"/>
  <c r="AH308" i="6"/>
  <c r="AH309" i="6"/>
  <c r="AH310" i="6"/>
  <c r="AH311" i="6"/>
  <c r="AH312" i="6"/>
  <c r="AH313" i="6"/>
  <c r="AH314" i="6"/>
  <c r="AH315" i="6"/>
  <c r="AH316" i="6"/>
  <c r="AH317" i="6"/>
  <c r="AH318" i="6"/>
  <c r="AH319" i="6"/>
  <c r="AH320" i="6"/>
  <c r="AH321" i="6"/>
  <c r="AH322" i="6"/>
  <c r="AH323" i="6"/>
  <c r="AH324" i="6"/>
  <c r="AH325" i="6"/>
  <c r="AH326" i="6"/>
  <c r="AH327" i="6"/>
  <c r="AH328" i="6"/>
  <c r="AH329" i="6"/>
  <c r="AH330" i="6"/>
  <c r="AH331" i="6"/>
  <c r="AH332" i="6"/>
  <c r="AH333" i="6"/>
  <c r="AH334" i="6"/>
  <c r="AH335" i="6"/>
  <c r="AH336" i="6"/>
  <c r="AH337" i="6"/>
  <c r="AH338" i="6"/>
  <c r="AH339" i="6"/>
  <c r="AH340" i="6"/>
  <c r="AH341" i="6"/>
  <c r="AH342" i="6"/>
  <c r="AH343" i="6"/>
  <c r="AH344" i="6"/>
  <c r="AH345" i="6"/>
  <c r="AH346" i="6"/>
  <c r="AH347" i="6"/>
  <c r="AH348" i="6"/>
  <c r="AH349" i="6"/>
  <c r="AH350" i="6"/>
  <c r="AH351" i="6"/>
  <c r="AH352" i="6"/>
  <c r="AH353" i="6"/>
  <c r="AH354" i="6"/>
  <c r="AH355" i="6"/>
  <c r="AH356" i="6"/>
  <c r="AH357" i="6"/>
  <c r="AH358" i="6"/>
  <c r="AH359" i="6"/>
  <c r="AH360" i="6"/>
  <c r="AH361" i="6"/>
  <c r="AH362" i="6"/>
  <c r="AH363" i="6"/>
  <c r="AH364" i="6"/>
  <c r="AH365" i="6"/>
  <c r="AH366" i="6"/>
  <c r="AH367" i="6"/>
  <c r="AH368" i="6"/>
  <c r="AH369" i="6"/>
  <c r="AH370" i="6"/>
  <c r="AH371" i="6"/>
  <c r="AH372" i="6"/>
  <c r="AH373" i="6"/>
  <c r="AH374" i="6"/>
  <c r="AH375" i="6"/>
  <c r="AH376" i="6"/>
  <c r="AH377" i="6"/>
  <c r="AH378" i="6"/>
  <c r="AH379" i="6"/>
  <c r="AH380" i="6"/>
  <c r="AH381" i="6"/>
  <c r="AH382" i="6"/>
  <c r="AH383" i="6"/>
  <c r="AH384" i="6"/>
  <c r="AH385" i="6"/>
  <c r="AH386" i="6"/>
  <c r="AH387" i="6"/>
  <c r="AH388" i="6"/>
  <c r="AH389" i="6"/>
  <c r="AH390" i="6"/>
  <c r="AH391" i="6"/>
  <c r="AH392" i="6"/>
  <c r="AH393" i="6"/>
  <c r="AH394" i="6"/>
  <c r="AH395" i="6"/>
  <c r="AH396" i="6"/>
  <c r="AH397" i="6"/>
  <c r="AH398" i="6"/>
  <c r="AH399" i="6"/>
  <c r="AH400" i="6"/>
  <c r="AH401" i="6"/>
  <c r="AH402" i="6"/>
  <c r="AH403" i="6"/>
  <c r="AH404" i="6"/>
  <c r="AH405" i="6"/>
  <c r="AH406" i="6"/>
  <c r="AH407" i="6"/>
  <c r="AH408" i="6"/>
  <c r="AH409" i="6"/>
  <c r="AH410" i="6"/>
  <c r="AH411" i="6"/>
  <c r="AH412" i="6"/>
  <c r="AH413" i="6"/>
  <c r="AH414" i="6"/>
  <c r="AH415" i="6"/>
  <c r="AH416" i="6"/>
  <c r="AH417" i="6"/>
  <c r="AH418" i="6"/>
  <c r="AH419" i="6"/>
  <c r="AH420" i="6"/>
  <c r="AH421" i="6"/>
  <c r="AH422" i="6"/>
  <c r="AH423" i="6"/>
  <c r="AH424" i="6"/>
  <c r="AH425" i="6"/>
  <c r="AH426" i="6"/>
  <c r="AH427" i="6"/>
  <c r="AH428" i="6"/>
  <c r="AH429" i="6"/>
  <c r="AH430" i="6"/>
  <c r="AH431" i="6"/>
  <c r="AH432" i="6"/>
  <c r="AH433" i="6"/>
  <c r="AH434" i="6"/>
  <c r="AH435" i="6"/>
  <c r="AH436" i="6"/>
  <c r="AH437" i="6"/>
  <c r="AH438" i="6"/>
  <c r="AH439" i="6"/>
  <c r="AH440" i="6"/>
  <c r="AH441" i="6"/>
  <c r="AH442" i="6"/>
  <c r="AH443" i="6"/>
  <c r="AH444" i="6"/>
  <c r="AH445" i="6"/>
  <c r="AH446" i="6"/>
  <c r="AH447" i="6"/>
  <c r="AH448" i="6"/>
  <c r="AH449" i="6"/>
  <c r="AH450" i="6"/>
  <c r="AH451" i="6"/>
  <c r="AH452" i="6"/>
  <c r="AH453" i="6"/>
  <c r="AH454" i="6"/>
  <c r="AH455" i="6"/>
  <c r="AH456" i="6"/>
  <c r="AH457" i="6"/>
  <c r="AH458" i="6"/>
  <c r="AH459" i="6"/>
  <c r="AH460" i="6"/>
  <c r="AH461" i="6"/>
  <c r="AH462" i="6"/>
  <c r="AH463" i="6"/>
  <c r="AH464" i="6"/>
  <c r="AH465" i="6"/>
  <c r="AH466" i="6"/>
  <c r="AH467" i="6"/>
  <c r="AH468" i="6"/>
  <c r="AH469" i="6"/>
  <c r="AH470" i="6"/>
  <c r="AH471" i="6"/>
  <c r="AH472" i="6"/>
  <c r="AH473" i="6"/>
  <c r="AH474" i="6"/>
  <c r="AH475" i="6"/>
  <c r="AH476" i="6"/>
  <c r="AH477" i="6"/>
  <c r="AH478" i="6"/>
  <c r="AH479" i="6"/>
  <c r="AH480" i="6"/>
  <c r="AH481" i="6"/>
  <c r="AH482" i="6"/>
  <c r="AH483" i="6"/>
  <c r="AH484" i="6"/>
  <c r="AH485" i="6"/>
  <c r="AH486" i="6"/>
  <c r="AH487" i="6"/>
  <c r="AH488" i="6"/>
  <c r="AH489" i="6"/>
  <c r="AH490" i="6"/>
  <c r="AH491" i="6"/>
  <c r="AH492" i="6"/>
  <c r="AH493" i="6"/>
  <c r="AH494" i="6"/>
  <c r="AH495" i="6"/>
  <c r="AH496" i="6"/>
  <c r="AH497" i="6"/>
  <c r="AH498" i="6"/>
  <c r="AH499" i="6"/>
  <c r="AH500" i="6"/>
  <c r="AH501" i="6"/>
  <c r="AH502" i="6"/>
  <c r="AH503" i="6"/>
  <c r="AH504" i="6"/>
  <c r="AH505" i="6"/>
  <c r="AH506" i="6"/>
  <c r="AH507" i="6"/>
  <c r="AH508" i="6"/>
  <c r="AH509" i="6"/>
  <c r="AH510" i="6"/>
  <c r="AH511" i="6"/>
  <c r="AH512" i="6"/>
  <c r="AH513" i="6"/>
  <c r="AH514" i="6"/>
  <c r="AH515" i="6"/>
  <c r="AH516" i="6"/>
  <c r="AH517" i="6"/>
  <c r="AH518" i="6"/>
  <c r="AH519" i="6"/>
  <c r="AH520" i="6"/>
  <c r="AH521" i="6"/>
  <c r="AH522" i="6"/>
  <c r="AH523" i="6"/>
  <c r="AH524" i="6"/>
  <c r="AH525" i="6"/>
  <c r="AH526" i="6"/>
  <c r="AH527" i="6"/>
  <c r="AH528" i="6"/>
  <c r="AH529" i="6"/>
  <c r="AH530" i="6"/>
  <c r="AH531" i="6"/>
  <c r="AH532" i="6"/>
  <c r="AH533" i="6"/>
  <c r="AH534" i="6"/>
  <c r="AH535" i="6"/>
  <c r="AH536" i="6"/>
  <c r="AH537" i="6"/>
  <c r="AH538" i="6"/>
  <c r="AH539" i="6"/>
  <c r="AH540" i="6"/>
  <c r="AH541" i="6"/>
  <c r="AH542" i="6"/>
  <c r="AH543" i="6"/>
  <c r="AH544" i="6"/>
  <c r="AH545" i="6"/>
  <c r="AH546" i="6"/>
  <c r="AH547" i="6"/>
  <c r="AH548" i="6"/>
  <c r="AH549" i="6"/>
  <c r="AH550" i="6"/>
  <c r="AH551" i="6"/>
  <c r="AH552" i="6"/>
  <c r="AH553" i="6"/>
  <c r="AH554" i="6"/>
  <c r="AH555" i="6"/>
  <c r="AH556" i="6"/>
  <c r="AH557" i="6"/>
  <c r="AH558" i="6"/>
  <c r="AH559" i="6"/>
  <c r="AH560" i="6"/>
  <c r="AH561" i="6"/>
  <c r="AH562" i="6"/>
  <c r="AH563" i="6"/>
  <c r="AH564" i="6"/>
  <c r="AH565" i="6"/>
  <c r="AH566" i="6"/>
  <c r="AH567" i="6"/>
  <c r="AH568" i="6"/>
  <c r="AH569" i="6"/>
  <c r="AH570" i="6"/>
  <c r="AH571" i="6"/>
  <c r="AH572" i="6"/>
  <c r="AH573" i="6"/>
  <c r="AH574" i="6"/>
  <c r="AH575" i="6"/>
  <c r="AH576" i="6"/>
  <c r="AH577" i="6"/>
  <c r="AH578" i="6"/>
  <c r="AH579" i="6"/>
  <c r="AH580" i="6"/>
  <c r="AH581" i="6"/>
  <c r="AH582" i="6"/>
  <c r="AH583" i="6"/>
  <c r="AH584" i="6"/>
  <c r="AH585" i="6"/>
  <c r="AH586" i="6"/>
  <c r="AH587" i="6"/>
  <c r="AH588" i="6"/>
  <c r="AH589" i="6"/>
  <c r="AH590" i="6"/>
  <c r="AH591" i="6"/>
  <c r="AH592" i="6"/>
  <c r="AH593" i="6"/>
  <c r="AH594" i="6"/>
  <c r="AH595" i="6"/>
  <c r="AH596" i="6"/>
  <c r="AH597" i="6"/>
  <c r="AH598" i="6"/>
  <c r="AH599" i="6"/>
  <c r="AH600" i="6"/>
  <c r="AH601" i="6"/>
  <c r="AH602" i="6"/>
  <c r="AH603" i="6"/>
  <c r="AH604" i="6"/>
  <c r="AH605" i="6"/>
  <c r="AH606" i="6"/>
  <c r="AH607" i="6"/>
  <c r="AH608" i="6"/>
  <c r="AH609" i="6"/>
  <c r="AH610" i="6"/>
  <c r="AH611" i="6"/>
  <c r="AH612" i="6"/>
  <c r="AH613" i="6"/>
  <c r="AH614" i="6"/>
  <c r="AH615" i="6"/>
  <c r="AH616" i="6"/>
  <c r="AH617" i="6"/>
  <c r="AH618" i="6"/>
  <c r="AH619" i="6"/>
  <c r="AH620" i="6"/>
  <c r="AH621" i="6"/>
  <c r="AH622" i="6"/>
  <c r="AH623" i="6"/>
  <c r="AH624" i="6"/>
  <c r="AH625" i="6"/>
  <c r="AH626" i="6"/>
  <c r="AH627" i="6"/>
  <c r="AH628" i="6"/>
  <c r="AH629" i="6"/>
  <c r="AH630" i="6"/>
  <c r="AH631" i="6"/>
  <c r="AH632" i="6"/>
  <c r="AH633" i="6"/>
  <c r="AH634" i="6"/>
  <c r="AH635" i="6"/>
  <c r="AH636" i="6"/>
  <c r="AH637" i="6"/>
  <c r="AH638" i="6"/>
  <c r="AH639" i="6"/>
  <c r="AH640" i="6"/>
  <c r="AH641" i="6"/>
  <c r="AH642" i="6"/>
  <c r="AH643" i="6"/>
  <c r="AH644" i="6"/>
  <c r="AH645" i="6"/>
  <c r="AH646" i="6"/>
  <c r="AH647" i="6"/>
  <c r="AH648" i="6"/>
  <c r="AH649" i="6"/>
  <c r="AH650" i="6"/>
  <c r="AH651" i="6"/>
  <c r="AH652" i="6"/>
  <c r="AH653" i="6"/>
  <c r="AH654" i="6"/>
  <c r="AH655" i="6"/>
  <c r="AH656" i="6"/>
  <c r="AH657" i="6"/>
  <c r="AH658" i="6"/>
  <c r="AH659" i="6"/>
  <c r="AH660" i="6"/>
  <c r="AH661" i="6"/>
  <c r="AH662" i="6"/>
  <c r="AH663" i="6"/>
  <c r="AH664" i="6"/>
  <c r="AH665" i="6"/>
  <c r="AH666" i="6"/>
  <c r="AH667" i="6"/>
  <c r="AH668" i="6"/>
  <c r="AH669" i="6"/>
  <c r="AH670" i="6"/>
  <c r="AH671" i="6"/>
  <c r="AH672" i="6"/>
  <c r="AH673" i="6"/>
  <c r="AH674" i="6"/>
  <c r="AH675" i="6"/>
  <c r="AH676" i="6"/>
  <c r="AH677" i="6"/>
  <c r="AH678" i="6"/>
  <c r="AH679" i="6"/>
  <c r="AH680" i="6"/>
  <c r="AH681" i="6"/>
  <c r="AH682" i="6"/>
  <c r="AH683" i="6"/>
  <c r="AH684" i="6"/>
  <c r="AH685" i="6"/>
  <c r="AH686" i="6"/>
  <c r="AH687" i="6"/>
  <c r="AH688" i="6"/>
  <c r="AH689" i="6"/>
  <c r="AH690" i="6"/>
  <c r="AH691" i="6"/>
  <c r="AH692" i="6"/>
  <c r="AH693" i="6"/>
  <c r="AH694" i="6"/>
  <c r="AH695" i="6"/>
  <c r="AH696" i="6"/>
  <c r="AH697" i="6"/>
  <c r="AH698" i="6"/>
  <c r="AH699" i="6"/>
  <c r="AH700" i="6"/>
  <c r="AH701" i="6"/>
  <c r="AH702" i="6"/>
  <c r="AH703" i="6"/>
  <c r="AH704" i="6"/>
  <c r="AH705" i="6"/>
  <c r="AH706" i="6"/>
  <c r="AH707" i="6"/>
  <c r="AH708" i="6"/>
  <c r="AH709" i="6"/>
  <c r="AH710" i="6"/>
  <c r="AH711" i="6"/>
  <c r="AH712" i="6"/>
  <c r="AH713" i="6"/>
  <c r="AH714" i="6"/>
  <c r="AH715" i="6"/>
  <c r="AH716" i="6"/>
  <c r="AH717" i="6"/>
  <c r="AH718" i="6"/>
  <c r="AH719" i="6"/>
  <c r="AH720" i="6"/>
  <c r="AH721" i="6"/>
  <c r="AH722" i="6"/>
  <c r="AH723" i="6"/>
  <c r="AH724" i="6"/>
  <c r="AH725" i="6"/>
  <c r="AH726" i="6"/>
  <c r="AH727" i="6"/>
  <c r="AH728" i="6"/>
  <c r="AH729" i="6"/>
  <c r="AH730" i="6"/>
  <c r="AH731" i="6"/>
  <c r="AH732" i="6"/>
  <c r="AH733" i="6"/>
  <c r="AH734" i="6"/>
  <c r="AH735" i="6"/>
  <c r="AH736" i="6"/>
  <c r="AH737" i="6"/>
  <c r="AH738" i="6"/>
  <c r="AH739" i="6"/>
  <c r="AH740" i="6"/>
  <c r="AH741" i="6"/>
  <c r="AH742" i="6"/>
  <c r="AH743" i="6"/>
  <c r="AH744" i="6"/>
  <c r="AH745" i="6"/>
  <c r="AH746" i="6"/>
  <c r="AH747" i="6"/>
  <c r="AH748" i="6"/>
  <c r="AH749" i="6"/>
  <c r="AH750" i="6"/>
  <c r="AH751" i="6"/>
  <c r="AH752" i="6"/>
  <c r="AH753" i="6"/>
  <c r="AH754" i="6"/>
  <c r="AH755" i="6"/>
  <c r="AH756" i="6"/>
  <c r="AH757" i="6"/>
  <c r="AH758" i="6"/>
  <c r="AH759" i="6"/>
  <c r="AH760" i="6"/>
  <c r="AH761" i="6"/>
  <c r="AH762" i="6"/>
  <c r="AH763" i="6"/>
  <c r="AH764" i="6"/>
  <c r="AH765" i="6"/>
  <c r="AH766" i="6"/>
  <c r="AH767" i="6"/>
  <c r="AH768" i="6"/>
  <c r="AH769" i="6"/>
  <c r="AH770" i="6"/>
  <c r="AH771" i="6"/>
  <c r="AH772" i="6"/>
  <c r="AH773" i="6"/>
  <c r="AH774" i="6"/>
  <c r="AH775" i="6"/>
  <c r="AH776" i="6"/>
  <c r="AH777" i="6"/>
  <c r="AH778" i="6"/>
  <c r="AH779" i="6"/>
  <c r="AH780" i="6"/>
  <c r="AH781" i="6"/>
  <c r="AH782" i="6"/>
  <c r="AH783" i="6"/>
  <c r="AH784" i="6"/>
  <c r="AH785" i="6"/>
  <c r="AH786" i="6"/>
  <c r="AH787" i="6"/>
  <c r="AH788" i="6"/>
  <c r="AH789" i="6"/>
  <c r="AH790" i="6"/>
  <c r="AH791" i="6"/>
  <c r="AH792" i="6"/>
  <c r="AH793" i="6"/>
  <c r="AH794" i="6"/>
  <c r="AH795" i="6"/>
  <c r="AH796" i="6"/>
  <c r="AH797" i="6"/>
  <c r="AH798" i="6"/>
  <c r="AH799" i="6"/>
  <c r="AH800" i="6"/>
  <c r="AH801" i="6"/>
  <c r="AH802" i="6"/>
  <c r="AH803" i="6"/>
  <c r="AH804" i="6"/>
  <c r="AH805" i="6"/>
  <c r="AH806" i="6"/>
  <c r="AH807" i="6"/>
  <c r="AH808" i="6"/>
  <c r="AH809" i="6"/>
  <c r="AG2" i="6"/>
  <c r="AG3" i="6"/>
  <c r="AG4" i="6"/>
  <c r="AG5" i="6"/>
  <c r="AG6" i="6"/>
  <c r="AG7" i="6"/>
  <c r="AG8" i="6"/>
  <c r="AG9" i="6"/>
  <c r="AG10" i="6"/>
  <c r="AG11" i="6"/>
  <c r="AG12" i="6"/>
  <c r="AG13" i="6"/>
  <c r="AG14" i="6"/>
  <c r="AG15" i="6"/>
  <c r="AG16" i="6"/>
  <c r="AG17" i="6"/>
  <c r="AG18" i="6"/>
  <c r="AG19" i="6"/>
  <c r="AG20" i="6"/>
  <c r="AG21" i="6"/>
  <c r="AG22" i="6"/>
  <c r="AG23" i="6"/>
  <c r="AG24" i="6"/>
  <c r="AG25" i="6"/>
  <c r="AG26" i="6"/>
  <c r="AG27" i="6"/>
  <c r="AG28" i="6"/>
  <c r="AG29" i="6"/>
  <c r="AG30" i="6"/>
  <c r="AG31" i="6"/>
  <c r="AG32" i="6"/>
  <c r="AG33" i="6"/>
  <c r="AG34" i="6"/>
  <c r="AG35" i="6"/>
  <c r="AG36" i="6"/>
  <c r="AG37" i="6"/>
  <c r="AG38" i="6"/>
  <c r="AG39" i="6"/>
  <c r="AG40" i="6"/>
  <c r="AG41" i="6"/>
  <c r="AG42" i="6"/>
  <c r="AG43" i="6"/>
  <c r="AG44" i="6"/>
  <c r="AG45" i="6"/>
  <c r="AG46" i="6"/>
  <c r="AG47" i="6"/>
  <c r="AG48" i="6"/>
  <c r="AG49" i="6"/>
  <c r="AG50" i="6"/>
  <c r="AG51" i="6"/>
  <c r="AG52" i="6"/>
  <c r="AG53" i="6"/>
  <c r="AG54" i="6"/>
  <c r="AG55" i="6"/>
  <c r="AG56" i="6"/>
  <c r="AG57" i="6"/>
  <c r="AG58" i="6"/>
  <c r="AG59" i="6"/>
  <c r="AG60" i="6"/>
  <c r="AG61" i="6"/>
  <c r="AG62" i="6"/>
  <c r="AG63" i="6"/>
  <c r="AG64" i="6"/>
  <c r="AG65" i="6"/>
  <c r="AG66" i="6"/>
  <c r="AG67" i="6"/>
  <c r="AG68" i="6"/>
  <c r="AG69" i="6"/>
  <c r="AG70" i="6"/>
  <c r="AG71" i="6"/>
  <c r="AG72" i="6"/>
  <c r="AG73" i="6"/>
  <c r="AG74" i="6"/>
  <c r="AG75" i="6"/>
  <c r="AG76" i="6"/>
  <c r="AG77" i="6"/>
  <c r="AG78" i="6"/>
  <c r="AG79" i="6"/>
  <c r="AG80" i="6"/>
  <c r="AG81" i="6"/>
  <c r="AG82" i="6"/>
  <c r="AG83" i="6"/>
  <c r="AG84" i="6"/>
  <c r="AG85" i="6"/>
  <c r="AG86" i="6"/>
  <c r="AG87" i="6"/>
  <c r="AG88" i="6"/>
  <c r="AG89" i="6"/>
  <c r="AG90" i="6"/>
  <c r="AG91" i="6"/>
  <c r="AG92" i="6"/>
  <c r="AG93" i="6"/>
  <c r="AG94" i="6"/>
  <c r="AG95" i="6"/>
  <c r="AG96" i="6"/>
  <c r="AG97" i="6"/>
  <c r="AG98" i="6"/>
  <c r="AG99" i="6"/>
  <c r="AG100" i="6"/>
  <c r="AG101" i="6"/>
  <c r="AG102" i="6"/>
  <c r="AG103" i="6"/>
  <c r="AG104" i="6"/>
  <c r="AG105" i="6"/>
  <c r="AG106" i="6"/>
  <c r="AG107" i="6"/>
  <c r="AG108" i="6"/>
  <c r="AG109" i="6"/>
  <c r="AG110" i="6"/>
  <c r="AG111" i="6"/>
  <c r="AG112" i="6"/>
  <c r="AG113" i="6"/>
  <c r="AG114" i="6"/>
  <c r="AG115" i="6"/>
  <c r="AG116" i="6"/>
  <c r="AG117" i="6"/>
  <c r="AG118" i="6"/>
  <c r="AG119" i="6"/>
  <c r="AG120" i="6"/>
  <c r="AG121" i="6"/>
  <c r="AG122" i="6"/>
  <c r="AG123" i="6"/>
  <c r="AG124" i="6"/>
  <c r="AG125" i="6"/>
  <c r="AG126" i="6"/>
  <c r="AG127" i="6"/>
  <c r="AG128" i="6"/>
  <c r="AG129" i="6"/>
  <c r="AG130" i="6"/>
  <c r="AG131" i="6"/>
  <c r="AG132" i="6"/>
  <c r="AG133" i="6"/>
  <c r="AG134" i="6"/>
  <c r="AG135" i="6"/>
  <c r="AG136" i="6"/>
  <c r="AG137" i="6"/>
  <c r="AG138" i="6"/>
  <c r="AG139" i="6"/>
  <c r="AG140" i="6"/>
  <c r="AG141" i="6"/>
  <c r="AG142" i="6"/>
  <c r="AG143" i="6"/>
  <c r="AG144" i="6"/>
  <c r="AG145" i="6"/>
  <c r="AG146" i="6"/>
  <c r="AG147" i="6"/>
  <c r="AG148" i="6"/>
  <c r="AG149" i="6"/>
  <c r="AG150" i="6"/>
  <c r="AG151" i="6"/>
  <c r="AG152" i="6"/>
  <c r="AG153" i="6"/>
  <c r="AG154" i="6"/>
  <c r="AG155" i="6"/>
  <c r="AG156" i="6"/>
  <c r="AG157" i="6"/>
  <c r="AG158" i="6"/>
  <c r="AG159" i="6"/>
  <c r="AG160" i="6"/>
  <c r="AG161" i="6"/>
  <c r="AG162" i="6"/>
  <c r="AG163" i="6"/>
  <c r="AG164" i="6"/>
  <c r="AG165" i="6"/>
  <c r="AG166" i="6"/>
  <c r="AG167" i="6"/>
  <c r="AG168" i="6"/>
  <c r="AG169" i="6"/>
  <c r="AG170" i="6"/>
  <c r="AG171" i="6"/>
  <c r="AG172" i="6"/>
  <c r="AG173" i="6"/>
  <c r="AG174" i="6"/>
  <c r="AG175" i="6"/>
  <c r="AG176" i="6"/>
  <c r="AG177" i="6"/>
  <c r="AG178" i="6"/>
  <c r="AG179" i="6"/>
  <c r="AG180" i="6"/>
  <c r="AG181" i="6"/>
  <c r="AG182" i="6"/>
  <c r="AG183" i="6"/>
  <c r="AG184" i="6"/>
  <c r="AG185" i="6"/>
  <c r="AG186" i="6"/>
  <c r="AG187" i="6"/>
  <c r="AG188" i="6"/>
  <c r="AG189" i="6"/>
  <c r="AG190" i="6"/>
  <c r="AG191" i="6"/>
  <c r="AG192" i="6"/>
  <c r="AG193" i="6"/>
  <c r="AG194" i="6"/>
  <c r="AG195" i="6"/>
  <c r="AG196" i="6"/>
  <c r="AG197" i="6"/>
  <c r="AG198" i="6"/>
  <c r="AG199" i="6"/>
  <c r="AG200" i="6"/>
  <c r="AG201" i="6"/>
  <c r="AG202" i="6"/>
  <c r="AG203" i="6"/>
  <c r="AG204" i="6"/>
  <c r="AG205" i="6"/>
  <c r="AG206" i="6"/>
  <c r="AG207" i="6"/>
  <c r="AG208" i="6"/>
  <c r="AG209" i="6"/>
  <c r="AG210" i="6"/>
  <c r="AG211" i="6"/>
  <c r="AG212" i="6"/>
  <c r="AG213" i="6"/>
  <c r="AG214" i="6"/>
  <c r="AG215" i="6"/>
  <c r="AG216" i="6"/>
  <c r="AG217" i="6"/>
  <c r="AG218" i="6"/>
  <c r="AG219" i="6"/>
  <c r="AG220" i="6"/>
  <c r="AG221" i="6"/>
  <c r="AG222" i="6"/>
  <c r="AG223" i="6"/>
  <c r="AG224" i="6"/>
  <c r="AG225" i="6"/>
  <c r="AG226" i="6"/>
  <c r="AG227" i="6"/>
  <c r="AG228" i="6"/>
  <c r="AG229" i="6"/>
  <c r="AG230" i="6"/>
  <c r="AG231" i="6"/>
  <c r="AG232" i="6"/>
  <c r="AG233" i="6"/>
  <c r="AG234" i="6"/>
  <c r="AG235" i="6"/>
  <c r="AG236" i="6"/>
  <c r="AG237" i="6"/>
  <c r="AG238" i="6"/>
  <c r="AG239" i="6"/>
  <c r="AG240" i="6"/>
  <c r="AG241" i="6"/>
  <c r="AG242" i="6"/>
  <c r="AG243" i="6"/>
  <c r="AG244" i="6"/>
  <c r="AG245" i="6"/>
  <c r="AG246" i="6"/>
  <c r="AG247" i="6"/>
  <c r="AG248" i="6"/>
  <c r="AG249" i="6"/>
  <c r="AG250" i="6"/>
  <c r="AG251" i="6"/>
  <c r="AG252" i="6"/>
  <c r="AG253" i="6"/>
  <c r="AG254" i="6"/>
  <c r="AG255" i="6"/>
  <c r="AG256" i="6"/>
  <c r="AG257" i="6"/>
  <c r="AG258" i="6"/>
  <c r="AG259" i="6"/>
  <c r="AG260" i="6"/>
  <c r="AG261" i="6"/>
  <c r="AG262" i="6"/>
  <c r="AG263" i="6"/>
  <c r="AG264" i="6"/>
  <c r="AG265" i="6"/>
  <c r="AG266" i="6"/>
  <c r="AG267" i="6"/>
  <c r="AG268" i="6"/>
  <c r="AG269" i="6"/>
  <c r="AG270" i="6"/>
  <c r="AG271" i="6"/>
  <c r="AG272" i="6"/>
  <c r="AG273" i="6"/>
  <c r="AG274" i="6"/>
  <c r="AG275" i="6"/>
  <c r="AG276" i="6"/>
  <c r="AG277" i="6"/>
  <c r="AG278" i="6"/>
  <c r="AG279" i="6"/>
  <c r="AG280" i="6"/>
  <c r="AG281" i="6"/>
  <c r="AG282" i="6"/>
  <c r="AG283" i="6"/>
  <c r="AG284" i="6"/>
  <c r="AG285" i="6"/>
  <c r="AG286" i="6"/>
  <c r="AG287" i="6"/>
  <c r="AG288" i="6"/>
  <c r="AG289" i="6"/>
  <c r="AG290" i="6"/>
  <c r="AG291" i="6"/>
  <c r="AG292" i="6"/>
  <c r="AG293" i="6"/>
  <c r="AG294" i="6"/>
  <c r="AG295" i="6"/>
  <c r="AG296" i="6"/>
  <c r="AG297" i="6"/>
  <c r="AG298" i="6"/>
  <c r="AG299" i="6"/>
  <c r="AG300" i="6"/>
  <c r="AG301" i="6"/>
  <c r="AG302" i="6"/>
  <c r="AG303" i="6"/>
  <c r="AG304" i="6"/>
  <c r="AG305" i="6"/>
  <c r="AG306" i="6"/>
  <c r="AG307" i="6"/>
  <c r="AG308" i="6"/>
  <c r="AG309" i="6"/>
  <c r="AG310" i="6"/>
  <c r="AG311" i="6"/>
  <c r="AG312" i="6"/>
  <c r="AG313" i="6"/>
  <c r="AG314" i="6"/>
  <c r="AG315" i="6"/>
  <c r="AG316" i="6"/>
  <c r="AG317" i="6"/>
  <c r="AG318" i="6"/>
  <c r="AG319" i="6"/>
  <c r="AG320" i="6"/>
  <c r="AG321" i="6"/>
  <c r="AG322" i="6"/>
  <c r="AG323" i="6"/>
  <c r="AG324" i="6"/>
  <c r="AG325" i="6"/>
  <c r="AG326" i="6"/>
  <c r="AG327" i="6"/>
  <c r="AG328" i="6"/>
  <c r="AG329" i="6"/>
  <c r="AG330" i="6"/>
  <c r="AG331" i="6"/>
  <c r="AG332" i="6"/>
  <c r="AG333" i="6"/>
  <c r="AG334" i="6"/>
  <c r="AG335" i="6"/>
  <c r="AG336" i="6"/>
  <c r="AG337" i="6"/>
  <c r="AG338" i="6"/>
  <c r="AG339" i="6"/>
  <c r="AG340" i="6"/>
  <c r="AG341" i="6"/>
  <c r="AG342" i="6"/>
  <c r="AG343" i="6"/>
  <c r="AG344" i="6"/>
  <c r="AG345" i="6"/>
  <c r="AG346" i="6"/>
  <c r="AG347" i="6"/>
  <c r="AG348" i="6"/>
  <c r="AG349" i="6"/>
  <c r="AG350" i="6"/>
  <c r="AG351" i="6"/>
  <c r="AG352" i="6"/>
  <c r="AG353" i="6"/>
  <c r="AG354" i="6"/>
  <c r="AG355" i="6"/>
  <c r="AG356" i="6"/>
  <c r="AG357" i="6"/>
  <c r="AG358" i="6"/>
  <c r="AG359" i="6"/>
  <c r="AG360" i="6"/>
  <c r="AG361" i="6"/>
  <c r="AG362" i="6"/>
  <c r="AG363" i="6"/>
  <c r="AG364" i="6"/>
  <c r="AG365" i="6"/>
  <c r="AG366" i="6"/>
  <c r="AG367" i="6"/>
  <c r="AG368" i="6"/>
  <c r="AG369" i="6"/>
  <c r="AG370" i="6"/>
  <c r="AG371" i="6"/>
  <c r="AG372" i="6"/>
  <c r="AG373" i="6"/>
  <c r="AG374" i="6"/>
  <c r="AG375" i="6"/>
  <c r="AG376" i="6"/>
  <c r="AG377" i="6"/>
  <c r="AG378" i="6"/>
  <c r="AG379" i="6"/>
  <c r="AG380" i="6"/>
  <c r="AG381" i="6"/>
  <c r="AG382" i="6"/>
  <c r="AG383" i="6"/>
  <c r="AG384" i="6"/>
  <c r="AG385" i="6"/>
  <c r="AG386" i="6"/>
  <c r="AG387" i="6"/>
  <c r="AG388" i="6"/>
  <c r="AG389" i="6"/>
  <c r="AG390" i="6"/>
  <c r="AG391" i="6"/>
  <c r="AG392" i="6"/>
  <c r="AG393" i="6"/>
  <c r="AG394" i="6"/>
  <c r="AG395" i="6"/>
  <c r="AG396" i="6"/>
  <c r="AG397" i="6"/>
  <c r="AG398" i="6"/>
  <c r="AG399" i="6"/>
  <c r="AG400" i="6"/>
  <c r="AG401" i="6"/>
  <c r="AG402" i="6"/>
  <c r="AG403" i="6"/>
  <c r="AG404" i="6"/>
  <c r="AG405" i="6"/>
  <c r="AG406" i="6"/>
  <c r="AG407" i="6"/>
  <c r="AG408" i="6"/>
  <c r="AG409" i="6"/>
  <c r="AG410" i="6"/>
  <c r="AG411" i="6"/>
  <c r="AG412" i="6"/>
  <c r="AG413" i="6"/>
  <c r="AG414" i="6"/>
  <c r="AG415" i="6"/>
  <c r="AG416" i="6"/>
  <c r="AG417" i="6"/>
  <c r="AG418" i="6"/>
  <c r="AG419" i="6"/>
  <c r="AG420" i="6"/>
  <c r="AG421" i="6"/>
  <c r="AG422" i="6"/>
  <c r="AG423" i="6"/>
  <c r="AG424" i="6"/>
  <c r="AG425" i="6"/>
  <c r="AG426" i="6"/>
  <c r="AG427" i="6"/>
  <c r="AG428" i="6"/>
  <c r="AG429" i="6"/>
  <c r="AG430" i="6"/>
  <c r="AG431" i="6"/>
  <c r="AG432" i="6"/>
  <c r="AG433" i="6"/>
  <c r="AG434" i="6"/>
  <c r="AG435" i="6"/>
  <c r="AG436" i="6"/>
  <c r="AG437" i="6"/>
  <c r="AG438" i="6"/>
  <c r="AG439" i="6"/>
  <c r="AG440" i="6"/>
  <c r="AG441" i="6"/>
  <c r="AG442" i="6"/>
  <c r="AG443" i="6"/>
  <c r="AG444" i="6"/>
  <c r="AG445" i="6"/>
  <c r="AG446" i="6"/>
  <c r="AG447" i="6"/>
  <c r="AG448" i="6"/>
  <c r="AG449" i="6"/>
  <c r="AG450" i="6"/>
  <c r="AG451" i="6"/>
  <c r="AG452" i="6"/>
  <c r="AG453" i="6"/>
  <c r="AG454" i="6"/>
  <c r="AG455" i="6"/>
  <c r="AG456" i="6"/>
  <c r="AG457" i="6"/>
  <c r="AG458" i="6"/>
  <c r="AG459" i="6"/>
  <c r="AG460" i="6"/>
  <c r="AG461" i="6"/>
  <c r="AG462" i="6"/>
  <c r="AG463" i="6"/>
  <c r="AG464" i="6"/>
  <c r="AG465" i="6"/>
  <c r="AG466" i="6"/>
  <c r="AG467" i="6"/>
  <c r="AG468" i="6"/>
  <c r="AG469" i="6"/>
  <c r="AG470" i="6"/>
  <c r="AG471" i="6"/>
  <c r="AG472" i="6"/>
  <c r="AG473" i="6"/>
  <c r="AG474" i="6"/>
  <c r="AG475" i="6"/>
  <c r="AG476" i="6"/>
  <c r="AG477" i="6"/>
  <c r="AG478" i="6"/>
  <c r="AG479" i="6"/>
  <c r="AG480" i="6"/>
  <c r="AG481" i="6"/>
  <c r="AG482" i="6"/>
  <c r="AG483" i="6"/>
  <c r="AG484" i="6"/>
  <c r="AG485" i="6"/>
  <c r="AG486" i="6"/>
  <c r="AG487" i="6"/>
  <c r="AG488" i="6"/>
  <c r="AG489" i="6"/>
  <c r="AG490" i="6"/>
  <c r="AG491" i="6"/>
  <c r="AG492" i="6"/>
  <c r="AG493" i="6"/>
  <c r="AG494" i="6"/>
  <c r="AG495" i="6"/>
  <c r="AG496" i="6"/>
  <c r="AG497" i="6"/>
  <c r="AG498" i="6"/>
  <c r="AG499" i="6"/>
  <c r="AG500" i="6"/>
  <c r="AG501" i="6"/>
  <c r="AG502" i="6"/>
  <c r="AG503" i="6"/>
  <c r="AG504" i="6"/>
  <c r="AG505" i="6"/>
  <c r="AG506" i="6"/>
  <c r="AG507" i="6"/>
  <c r="AG508" i="6"/>
  <c r="AG509" i="6"/>
  <c r="AG510" i="6"/>
  <c r="AG511" i="6"/>
  <c r="AG512" i="6"/>
  <c r="AG513" i="6"/>
  <c r="AG514" i="6"/>
  <c r="AG515" i="6"/>
  <c r="AG516" i="6"/>
  <c r="AG517" i="6"/>
  <c r="AG518" i="6"/>
  <c r="AG519" i="6"/>
  <c r="AG520" i="6"/>
  <c r="AG521" i="6"/>
  <c r="AG522" i="6"/>
  <c r="AG523" i="6"/>
  <c r="AG524" i="6"/>
  <c r="AG525" i="6"/>
  <c r="AG526" i="6"/>
  <c r="AG527" i="6"/>
  <c r="AG528" i="6"/>
  <c r="AG529" i="6"/>
  <c r="AG530" i="6"/>
  <c r="AG531" i="6"/>
  <c r="AG532" i="6"/>
  <c r="AG533" i="6"/>
  <c r="AG534" i="6"/>
  <c r="AG535" i="6"/>
  <c r="AG536" i="6"/>
  <c r="AG537" i="6"/>
  <c r="AG538" i="6"/>
  <c r="AG539" i="6"/>
  <c r="AG540" i="6"/>
  <c r="AG541" i="6"/>
  <c r="AG542" i="6"/>
  <c r="AG543" i="6"/>
  <c r="AG544" i="6"/>
  <c r="AG545" i="6"/>
  <c r="AG546" i="6"/>
  <c r="AG547" i="6"/>
  <c r="AG548" i="6"/>
  <c r="AG549" i="6"/>
  <c r="AG550" i="6"/>
  <c r="AG551" i="6"/>
  <c r="AG552" i="6"/>
  <c r="AG553" i="6"/>
  <c r="AG554" i="6"/>
  <c r="AG555" i="6"/>
  <c r="AG556" i="6"/>
  <c r="AG557" i="6"/>
  <c r="AG558" i="6"/>
  <c r="AG559" i="6"/>
  <c r="AG560" i="6"/>
  <c r="AG561" i="6"/>
  <c r="AG562" i="6"/>
  <c r="AG563" i="6"/>
  <c r="AG564" i="6"/>
  <c r="AG565" i="6"/>
  <c r="AG566" i="6"/>
  <c r="AG567" i="6"/>
  <c r="AG568" i="6"/>
  <c r="AG569" i="6"/>
  <c r="AG570" i="6"/>
  <c r="AG571" i="6"/>
  <c r="AG572" i="6"/>
  <c r="AG573" i="6"/>
  <c r="AG574" i="6"/>
  <c r="AG575" i="6"/>
  <c r="AG576" i="6"/>
  <c r="AG577" i="6"/>
  <c r="AG578" i="6"/>
  <c r="AG579" i="6"/>
  <c r="AG580" i="6"/>
  <c r="AG581" i="6"/>
  <c r="AG582" i="6"/>
  <c r="AG583" i="6"/>
  <c r="AG584" i="6"/>
  <c r="AG585" i="6"/>
  <c r="AG586" i="6"/>
  <c r="AG587" i="6"/>
  <c r="AG588" i="6"/>
  <c r="AG589" i="6"/>
  <c r="AG590" i="6"/>
  <c r="AG591" i="6"/>
  <c r="AG592" i="6"/>
  <c r="AG593" i="6"/>
  <c r="AG594" i="6"/>
  <c r="AG595" i="6"/>
  <c r="AG596" i="6"/>
  <c r="AG597" i="6"/>
  <c r="AG598" i="6"/>
  <c r="AG599" i="6"/>
  <c r="AG600" i="6"/>
  <c r="AG601" i="6"/>
  <c r="AG602" i="6"/>
  <c r="AG603" i="6"/>
  <c r="AG604" i="6"/>
  <c r="AG605" i="6"/>
  <c r="AG606" i="6"/>
  <c r="AG607" i="6"/>
  <c r="AG608" i="6"/>
  <c r="AG609" i="6"/>
  <c r="AG610" i="6"/>
  <c r="AG611" i="6"/>
  <c r="AG612" i="6"/>
  <c r="AG613" i="6"/>
  <c r="AG614" i="6"/>
  <c r="AG615" i="6"/>
  <c r="AG616" i="6"/>
  <c r="AG617" i="6"/>
  <c r="AG618" i="6"/>
  <c r="AG619" i="6"/>
  <c r="AG620" i="6"/>
  <c r="AG621" i="6"/>
  <c r="AG622" i="6"/>
  <c r="AG623" i="6"/>
  <c r="AG624" i="6"/>
  <c r="AG625" i="6"/>
  <c r="AG626" i="6"/>
  <c r="AG627" i="6"/>
  <c r="AG628" i="6"/>
  <c r="AG629" i="6"/>
  <c r="AG630" i="6"/>
  <c r="AG631" i="6"/>
  <c r="AG632" i="6"/>
  <c r="AG633" i="6"/>
  <c r="AG634" i="6"/>
  <c r="AG635" i="6"/>
  <c r="AG636" i="6"/>
  <c r="AG637" i="6"/>
  <c r="AG638" i="6"/>
  <c r="AG639" i="6"/>
  <c r="AG640" i="6"/>
  <c r="AG641" i="6"/>
  <c r="AG642" i="6"/>
  <c r="AG643" i="6"/>
  <c r="AG644" i="6"/>
  <c r="AG645" i="6"/>
  <c r="AG646" i="6"/>
  <c r="AG647" i="6"/>
  <c r="AG648" i="6"/>
  <c r="AG649" i="6"/>
  <c r="AG650" i="6"/>
  <c r="AG651" i="6"/>
  <c r="AG652" i="6"/>
  <c r="AG653" i="6"/>
  <c r="AG654" i="6"/>
  <c r="AG655" i="6"/>
  <c r="AG656" i="6"/>
  <c r="AG657" i="6"/>
  <c r="AG658" i="6"/>
  <c r="AG659" i="6"/>
  <c r="AG660" i="6"/>
  <c r="AG661" i="6"/>
  <c r="AG662" i="6"/>
  <c r="AG663" i="6"/>
  <c r="AG664" i="6"/>
  <c r="AG665" i="6"/>
  <c r="AG666" i="6"/>
  <c r="AG667" i="6"/>
  <c r="AG668" i="6"/>
  <c r="AG669" i="6"/>
  <c r="AG670" i="6"/>
  <c r="AG671" i="6"/>
  <c r="AG672" i="6"/>
  <c r="AG673" i="6"/>
  <c r="AG674" i="6"/>
  <c r="AG675" i="6"/>
  <c r="AG676" i="6"/>
  <c r="AG677" i="6"/>
  <c r="AG678" i="6"/>
  <c r="AG679" i="6"/>
  <c r="AG680" i="6"/>
  <c r="AG681" i="6"/>
  <c r="AG682" i="6"/>
  <c r="AG683" i="6"/>
  <c r="AG684" i="6"/>
  <c r="AG685" i="6"/>
  <c r="AG686" i="6"/>
  <c r="AG687" i="6"/>
  <c r="AG688" i="6"/>
  <c r="AG689" i="6"/>
  <c r="AG690" i="6"/>
  <c r="AG691" i="6"/>
  <c r="AG692" i="6"/>
  <c r="AG693" i="6"/>
  <c r="AG694" i="6"/>
  <c r="AG695" i="6"/>
  <c r="AG696" i="6"/>
  <c r="AG697" i="6"/>
  <c r="AG698" i="6"/>
  <c r="AG699" i="6"/>
  <c r="AG700" i="6"/>
  <c r="AG701" i="6"/>
  <c r="AG702" i="6"/>
  <c r="AG703" i="6"/>
  <c r="AG704" i="6"/>
  <c r="AG705" i="6"/>
  <c r="AG706" i="6"/>
  <c r="AG707" i="6"/>
  <c r="AG708" i="6"/>
  <c r="AG709" i="6"/>
  <c r="AG710" i="6"/>
  <c r="AG711" i="6"/>
  <c r="AG712" i="6"/>
  <c r="AG713" i="6"/>
  <c r="AG714" i="6"/>
  <c r="AG715" i="6"/>
  <c r="AG716" i="6"/>
  <c r="AG717" i="6"/>
  <c r="AG718" i="6"/>
  <c r="AG719" i="6"/>
  <c r="AG720" i="6"/>
  <c r="AG721" i="6"/>
  <c r="AG722" i="6"/>
  <c r="AG723" i="6"/>
  <c r="AG724" i="6"/>
  <c r="AG725" i="6"/>
  <c r="AG726" i="6"/>
  <c r="AG727" i="6"/>
  <c r="AG728" i="6"/>
  <c r="AG729" i="6"/>
  <c r="AG730" i="6"/>
  <c r="AG731" i="6"/>
  <c r="AG732" i="6"/>
  <c r="AG733" i="6"/>
  <c r="AG734" i="6"/>
  <c r="AG735" i="6"/>
  <c r="AG736" i="6"/>
  <c r="AG737" i="6"/>
  <c r="AG738" i="6"/>
  <c r="AG739" i="6"/>
  <c r="AG740" i="6"/>
  <c r="AG741" i="6"/>
  <c r="AG742" i="6"/>
  <c r="AG743" i="6"/>
  <c r="AG744" i="6"/>
  <c r="AG745" i="6"/>
  <c r="AG746" i="6"/>
  <c r="AG747" i="6"/>
  <c r="AG748" i="6"/>
  <c r="AG749" i="6"/>
  <c r="AG750" i="6"/>
  <c r="AG751" i="6"/>
  <c r="AG752" i="6"/>
  <c r="AG753" i="6"/>
  <c r="AG754" i="6"/>
  <c r="AG755" i="6"/>
  <c r="AG756" i="6"/>
  <c r="AG757" i="6"/>
  <c r="AG758" i="6"/>
  <c r="AG759" i="6"/>
  <c r="AG760" i="6"/>
  <c r="AG761" i="6"/>
  <c r="AG762" i="6"/>
  <c r="AG763" i="6"/>
  <c r="AG764" i="6"/>
  <c r="AG765" i="6"/>
  <c r="AG766" i="6"/>
  <c r="AG767" i="6"/>
  <c r="AG768" i="6"/>
  <c r="AG769" i="6"/>
  <c r="AG770" i="6"/>
  <c r="AG771" i="6"/>
  <c r="AG772" i="6"/>
  <c r="AG773" i="6"/>
  <c r="AG774" i="6"/>
  <c r="AG775" i="6"/>
  <c r="AG776" i="6"/>
  <c r="AG777" i="6"/>
  <c r="AG778" i="6"/>
  <c r="AG779" i="6"/>
  <c r="AG780" i="6"/>
  <c r="AG781" i="6"/>
  <c r="AG782" i="6"/>
  <c r="AG783" i="6"/>
  <c r="AG784" i="6"/>
  <c r="AG785" i="6"/>
  <c r="AG786" i="6"/>
  <c r="AG787" i="6"/>
  <c r="AG788" i="6"/>
  <c r="AG789" i="6"/>
  <c r="AG790" i="6"/>
  <c r="AG791" i="6"/>
  <c r="AG792" i="6"/>
  <c r="AG793" i="6"/>
  <c r="AG794" i="6"/>
  <c r="AG795" i="6"/>
  <c r="AG796" i="6"/>
  <c r="AG797" i="6"/>
  <c r="AG798" i="6"/>
  <c r="AG799" i="6"/>
  <c r="AG800" i="6"/>
  <c r="AG801" i="6"/>
  <c r="AG802" i="6"/>
  <c r="AG803" i="6"/>
  <c r="AG804" i="6"/>
  <c r="AG805" i="6"/>
  <c r="AG806" i="6"/>
  <c r="AG807" i="6"/>
  <c r="AG808" i="6"/>
  <c r="AG809" i="6"/>
  <c r="AF2" i="6"/>
  <c r="AF3" i="6"/>
  <c r="AF4" i="6"/>
  <c r="AF5" i="6"/>
  <c r="AF6" i="6"/>
  <c r="AF7" i="6"/>
  <c r="AF8" i="6"/>
  <c r="AF9" i="6"/>
  <c r="AF10" i="6"/>
  <c r="AF11" i="6"/>
  <c r="AF12" i="6"/>
  <c r="AF13" i="6"/>
  <c r="AF14" i="6"/>
  <c r="AF15" i="6"/>
  <c r="AF16" i="6"/>
  <c r="AF17" i="6"/>
  <c r="AF18" i="6"/>
  <c r="AF19" i="6"/>
  <c r="AF20" i="6"/>
  <c r="AF21" i="6"/>
  <c r="AF22" i="6"/>
  <c r="AF23" i="6"/>
  <c r="AF24" i="6"/>
  <c r="AF25" i="6"/>
  <c r="AF26" i="6"/>
  <c r="AF27" i="6"/>
  <c r="AF28" i="6"/>
  <c r="AF29" i="6"/>
  <c r="AF30" i="6"/>
  <c r="AF31" i="6"/>
  <c r="AF32" i="6"/>
  <c r="AF33" i="6"/>
  <c r="AF34" i="6"/>
  <c r="AF35" i="6"/>
  <c r="AF36" i="6"/>
  <c r="AF37" i="6"/>
  <c r="AF38" i="6"/>
  <c r="AF39" i="6"/>
  <c r="AF40" i="6"/>
  <c r="AF41" i="6"/>
  <c r="AF42" i="6"/>
  <c r="AF43" i="6"/>
  <c r="AF44" i="6"/>
  <c r="AF45" i="6"/>
  <c r="AF46" i="6"/>
  <c r="AF47" i="6"/>
  <c r="AF48" i="6"/>
  <c r="AF49" i="6"/>
  <c r="AF50" i="6"/>
  <c r="AF51" i="6"/>
  <c r="AF52" i="6"/>
  <c r="AF53" i="6"/>
  <c r="AF54" i="6"/>
  <c r="AF55" i="6"/>
  <c r="AF56" i="6"/>
  <c r="AF57" i="6"/>
  <c r="AF58" i="6"/>
  <c r="AF59" i="6"/>
  <c r="AF60" i="6"/>
  <c r="AF61" i="6"/>
  <c r="AF62" i="6"/>
  <c r="AF63" i="6"/>
  <c r="AF64" i="6"/>
  <c r="AF65" i="6"/>
  <c r="AF66" i="6"/>
  <c r="AF67" i="6"/>
  <c r="AF68" i="6"/>
  <c r="AF69" i="6"/>
  <c r="AF70" i="6"/>
  <c r="AF71" i="6"/>
  <c r="AF72" i="6"/>
  <c r="AF73" i="6"/>
  <c r="AF74" i="6"/>
  <c r="AF75" i="6"/>
  <c r="AF76" i="6"/>
  <c r="AF77" i="6"/>
  <c r="AF78" i="6"/>
  <c r="AF79" i="6"/>
  <c r="AF80" i="6"/>
  <c r="AF81" i="6"/>
  <c r="AF82" i="6"/>
  <c r="AF83" i="6"/>
  <c r="AF84" i="6"/>
  <c r="AF85" i="6"/>
  <c r="AF86" i="6"/>
  <c r="AF87" i="6"/>
  <c r="AF88" i="6"/>
  <c r="AF89" i="6"/>
  <c r="AF90" i="6"/>
  <c r="AF91" i="6"/>
  <c r="AF92" i="6"/>
  <c r="AF93" i="6"/>
  <c r="AF94" i="6"/>
  <c r="AF95" i="6"/>
  <c r="AF96" i="6"/>
  <c r="AF97" i="6"/>
  <c r="AF98" i="6"/>
  <c r="AF99" i="6"/>
  <c r="AF100" i="6"/>
  <c r="AF101" i="6"/>
  <c r="AF102" i="6"/>
  <c r="AF103" i="6"/>
  <c r="AF104" i="6"/>
  <c r="AF105" i="6"/>
  <c r="AF106" i="6"/>
  <c r="AF107" i="6"/>
  <c r="AF108" i="6"/>
  <c r="AF109" i="6"/>
  <c r="AF110" i="6"/>
  <c r="AF111" i="6"/>
  <c r="AF112" i="6"/>
  <c r="AF113" i="6"/>
  <c r="AF114" i="6"/>
  <c r="AF115" i="6"/>
  <c r="AF116" i="6"/>
  <c r="AF117" i="6"/>
  <c r="AF118" i="6"/>
  <c r="AF119" i="6"/>
  <c r="AF120" i="6"/>
  <c r="AF121" i="6"/>
  <c r="AF122" i="6"/>
  <c r="AF123" i="6"/>
  <c r="AF124" i="6"/>
  <c r="AF125" i="6"/>
  <c r="AF126" i="6"/>
  <c r="AF127" i="6"/>
  <c r="AF128" i="6"/>
  <c r="AF129" i="6"/>
  <c r="AF130" i="6"/>
  <c r="AF131" i="6"/>
  <c r="AF132" i="6"/>
  <c r="AF133" i="6"/>
  <c r="AF134" i="6"/>
  <c r="AF135" i="6"/>
  <c r="AF136" i="6"/>
  <c r="AF137" i="6"/>
  <c r="AF138" i="6"/>
  <c r="AF139" i="6"/>
  <c r="AF140" i="6"/>
  <c r="AF141" i="6"/>
  <c r="AF142" i="6"/>
  <c r="AF143" i="6"/>
  <c r="AF144" i="6"/>
  <c r="AF145" i="6"/>
  <c r="AF146" i="6"/>
  <c r="AF147" i="6"/>
  <c r="AF148" i="6"/>
  <c r="AF149" i="6"/>
  <c r="AF150" i="6"/>
  <c r="AF151" i="6"/>
  <c r="AF152" i="6"/>
  <c r="AF153" i="6"/>
  <c r="AF154" i="6"/>
  <c r="AF155" i="6"/>
  <c r="AF156" i="6"/>
  <c r="AF157" i="6"/>
  <c r="AF158" i="6"/>
  <c r="AF159" i="6"/>
  <c r="AF160" i="6"/>
  <c r="AF161" i="6"/>
  <c r="AF162" i="6"/>
  <c r="AF163" i="6"/>
  <c r="AF164" i="6"/>
  <c r="AF165" i="6"/>
  <c r="AF166" i="6"/>
  <c r="AF167" i="6"/>
  <c r="AF168" i="6"/>
  <c r="AF169" i="6"/>
  <c r="AF170" i="6"/>
  <c r="AF171" i="6"/>
  <c r="AF172" i="6"/>
  <c r="AF173" i="6"/>
  <c r="AF174" i="6"/>
  <c r="AF175" i="6"/>
  <c r="AF176" i="6"/>
  <c r="AF177" i="6"/>
  <c r="AF178" i="6"/>
  <c r="AF179" i="6"/>
  <c r="AF180" i="6"/>
  <c r="AF181" i="6"/>
  <c r="AF182" i="6"/>
  <c r="AF183" i="6"/>
  <c r="AF184" i="6"/>
  <c r="AF185" i="6"/>
  <c r="AF186" i="6"/>
  <c r="AF187" i="6"/>
  <c r="AF188" i="6"/>
  <c r="AF189" i="6"/>
  <c r="AF190" i="6"/>
  <c r="AF191" i="6"/>
  <c r="AF192" i="6"/>
  <c r="AF193" i="6"/>
  <c r="AF194" i="6"/>
  <c r="AF195" i="6"/>
  <c r="AF196" i="6"/>
  <c r="AF197" i="6"/>
  <c r="AF198" i="6"/>
  <c r="AF199" i="6"/>
  <c r="AF200" i="6"/>
  <c r="AF201" i="6"/>
  <c r="AF202" i="6"/>
  <c r="AF203" i="6"/>
  <c r="AF204" i="6"/>
  <c r="AF205" i="6"/>
  <c r="AF206" i="6"/>
  <c r="AF207" i="6"/>
  <c r="AF208" i="6"/>
  <c r="AF209" i="6"/>
  <c r="AF210" i="6"/>
  <c r="AF211" i="6"/>
  <c r="AF212" i="6"/>
  <c r="AF213" i="6"/>
  <c r="AF214" i="6"/>
  <c r="AF215" i="6"/>
  <c r="AF216" i="6"/>
  <c r="AF217" i="6"/>
  <c r="AF218" i="6"/>
  <c r="AF219" i="6"/>
  <c r="AF220" i="6"/>
  <c r="AF221" i="6"/>
  <c r="AF222" i="6"/>
  <c r="AF223" i="6"/>
  <c r="AF224" i="6"/>
  <c r="AF225" i="6"/>
  <c r="AF226" i="6"/>
  <c r="AF227" i="6"/>
  <c r="AF228" i="6"/>
  <c r="AF229" i="6"/>
  <c r="AF230" i="6"/>
  <c r="AF231" i="6"/>
  <c r="AF232" i="6"/>
  <c r="AF233" i="6"/>
  <c r="AF234" i="6"/>
  <c r="AF235" i="6"/>
  <c r="AF236" i="6"/>
  <c r="AF237" i="6"/>
  <c r="AF238" i="6"/>
  <c r="AF239" i="6"/>
  <c r="AF240" i="6"/>
  <c r="AF241" i="6"/>
  <c r="AF242" i="6"/>
  <c r="AF243" i="6"/>
  <c r="AF244" i="6"/>
  <c r="AF245" i="6"/>
  <c r="AF246" i="6"/>
  <c r="AF247" i="6"/>
  <c r="AF248" i="6"/>
  <c r="AF249" i="6"/>
  <c r="AF250" i="6"/>
  <c r="AF251" i="6"/>
  <c r="AF252" i="6"/>
  <c r="AF253" i="6"/>
  <c r="AF254" i="6"/>
  <c r="AF255" i="6"/>
  <c r="AF256" i="6"/>
  <c r="AF257" i="6"/>
  <c r="AF258" i="6"/>
  <c r="AF259" i="6"/>
  <c r="AF260" i="6"/>
  <c r="AF261" i="6"/>
  <c r="AF262" i="6"/>
  <c r="AF263" i="6"/>
  <c r="AF264" i="6"/>
  <c r="AF265" i="6"/>
  <c r="AF266" i="6"/>
  <c r="AF267" i="6"/>
  <c r="AF268" i="6"/>
  <c r="AF269" i="6"/>
  <c r="AF270" i="6"/>
  <c r="AF271" i="6"/>
  <c r="AF272" i="6"/>
  <c r="AF273" i="6"/>
  <c r="AF274" i="6"/>
  <c r="AF275" i="6"/>
  <c r="AF276" i="6"/>
  <c r="AF277" i="6"/>
  <c r="AF278" i="6"/>
  <c r="AF279" i="6"/>
  <c r="AF280" i="6"/>
  <c r="AF281" i="6"/>
  <c r="AF282" i="6"/>
  <c r="AF283" i="6"/>
  <c r="AF284" i="6"/>
  <c r="AF285" i="6"/>
  <c r="AF286" i="6"/>
  <c r="AF287" i="6"/>
  <c r="AF288" i="6"/>
  <c r="AF289" i="6"/>
  <c r="AF290" i="6"/>
  <c r="AF291" i="6"/>
  <c r="AF292" i="6"/>
  <c r="AF293" i="6"/>
  <c r="AF294" i="6"/>
  <c r="AF295" i="6"/>
  <c r="AF296" i="6"/>
  <c r="AF297" i="6"/>
  <c r="AF298" i="6"/>
  <c r="AF299" i="6"/>
  <c r="AF300" i="6"/>
  <c r="AF301" i="6"/>
  <c r="AF302" i="6"/>
  <c r="AF303" i="6"/>
  <c r="AF304" i="6"/>
  <c r="AF305" i="6"/>
  <c r="AF306" i="6"/>
  <c r="AF307" i="6"/>
  <c r="AF308" i="6"/>
  <c r="AF309" i="6"/>
  <c r="AF310" i="6"/>
  <c r="AF311" i="6"/>
  <c r="AF312" i="6"/>
  <c r="AF313" i="6"/>
  <c r="AF314" i="6"/>
  <c r="AF315" i="6"/>
  <c r="AF316" i="6"/>
  <c r="AF317" i="6"/>
  <c r="AF318" i="6"/>
  <c r="AF319" i="6"/>
  <c r="AF320" i="6"/>
  <c r="AF321" i="6"/>
  <c r="AF322" i="6"/>
  <c r="AF323" i="6"/>
  <c r="AF324" i="6"/>
  <c r="AF325" i="6"/>
  <c r="AF326" i="6"/>
  <c r="AF327" i="6"/>
  <c r="AF328" i="6"/>
  <c r="AF329" i="6"/>
  <c r="AF330" i="6"/>
  <c r="AF331" i="6"/>
  <c r="AF332" i="6"/>
  <c r="AF333" i="6"/>
  <c r="AF334" i="6"/>
  <c r="AF335" i="6"/>
  <c r="AF336" i="6"/>
  <c r="AF337" i="6"/>
  <c r="AF338" i="6"/>
  <c r="AF339" i="6"/>
  <c r="AF340" i="6"/>
  <c r="AF341" i="6"/>
  <c r="AF342" i="6"/>
  <c r="AF343" i="6"/>
  <c r="AF344" i="6"/>
  <c r="AF345" i="6"/>
  <c r="AF346" i="6"/>
  <c r="AF347" i="6"/>
  <c r="AF348" i="6"/>
  <c r="AF349" i="6"/>
  <c r="AF350" i="6"/>
  <c r="AF351" i="6"/>
  <c r="AF352" i="6"/>
  <c r="AF353" i="6"/>
  <c r="AF354" i="6"/>
  <c r="AF355" i="6"/>
  <c r="AF356" i="6"/>
  <c r="AF357" i="6"/>
  <c r="AF358" i="6"/>
  <c r="AF359" i="6"/>
  <c r="AF360" i="6"/>
  <c r="AF361" i="6"/>
  <c r="AF362" i="6"/>
  <c r="AF363" i="6"/>
  <c r="AF364" i="6"/>
  <c r="AF365" i="6"/>
  <c r="AF366" i="6"/>
  <c r="AF367" i="6"/>
  <c r="AF368" i="6"/>
  <c r="AF369" i="6"/>
  <c r="AF370" i="6"/>
  <c r="AF371" i="6"/>
  <c r="AF372" i="6"/>
  <c r="AF373" i="6"/>
  <c r="AF374" i="6"/>
  <c r="AF375" i="6"/>
  <c r="AF376" i="6"/>
  <c r="AF377" i="6"/>
  <c r="AF378" i="6"/>
  <c r="AF379" i="6"/>
  <c r="AF380" i="6"/>
  <c r="AF381" i="6"/>
  <c r="AF382" i="6"/>
  <c r="AF383" i="6"/>
  <c r="AF384" i="6"/>
  <c r="AF385" i="6"/>
  <c r="AF386" i="6"/>
  <c r="AF387" i="6"/>
  <c r="AF388" i="6"/>
  <c r="AF389" i="6"/>
  <c r="AF390" i="6"/>
  <c r="AF391" i="6"/>
  <c r="AF392" i="6"/>
  <c r="AF393" i="6"/>
  <c r="AF394" i="6"/>
  <c r="AF395" i="6"/>
  <c r="AF396" i="6"/>
  <c r="AF397" i="6"/>
  <c r="AF398" i="6"/>
  <c r="AF399" i="6"/>
  <c r="AF400" i="6"/>
  <c r="AF401" i="6"/>
  <c r="AF402" i="6"/>
  <c r="AF403" i="6"/>
  <c r="AF404" i="6"/>
  <c r="AF405" i="6"/>
  <c r="AF406" i="6"/>
  <c r="AF407" i="6"/>
  <c r="AF408" i="6"/>
  <c r="AF409" i="6"/>
  <c r="AF410" i="6"/>
  <c r="AF411" i="6"/>
  <c r="AF412" i="6"/>
  <c r="AF413" i="6"/>
  <c r="AF414" i="6"/>
  <c r="AF415" i="6"/>
  <c r="AF416" i="6"/>
  <c r="AF417" i="6"/>
  <c r="AF418" i="6"/>
  <c r="AF419" i="6"/>
  <c r="AF420" i="6"/>
  <c r="AF421" i="6"/>
  <c r="AF422" i="6"/>
  <c r="AF423" i="6"/>
  <c r="AF424" i="6"/>
  <c r="AF425" i="6"/>
  <c r="AF426" i="6"/>
  <c r="AF427" i="6"/>
  <c r="AF428" i="6"/>
  <c r="AF429" i="6"/>
  <c r="AF430" i="6"/>
  <c r="AF431" i="6"/>
  <c r="AF432" i="6"/>
  <c r="AF433" i="6"/>
  <c r="AF434" i="6"/>
  <c r="AF435" i="6"/>
  <c r="AF436" i="6"/>
  <c r="AF437" i="6"/>
  <c r="AF438" i="6"/>
  <c r="AF439" i="6"/>
  <c r="AF440" i="6"/>
  <c r="AF441" i="6"/>
  <c r="AF442" i="6"/>
  <c r="AF443" i="6"/>
  <c r="AF444" i="6"/>
  <c r="AF445" i="6"/>
  <c r="AF446" i="6"/>
  <c r="AF447" i="6"/>
  <c r="AF448" i="6"/>
  <c r="AF449" i="6"/>
  <c r="AF450" i="6"/>
  <c r="AF451" i="6"/>
  <c r="AF452" i="6"/>
  <c r="AF453" i="6"/>
  <c r="AF454" i="6"/>
  <c r="AF455" i="6"/>
  <c r="AF456" i="6"/>
  <c r="AF457" i="6"/>
  <c r="AF458" i="6"/>
  <c r="AF459" i="6"/>
  <c r="AF460" i="6"/>
  <c r="AF461" i="6"/>
  <c r="AF462" i="6"/>
  <c r="AF463" i="6"/>
  <c r="AF464" i="6"/>
  <c r="AF465" i="6"/>
  <c r="AF466" i="6"/>
  <c r="AF467" i="6"/>
  <c r="AF468" i="6"/>
  <c r="AF469" i="6"/>
  <c r="AF470" i="6"/>
  <c r="AF471" i="6"/>
  <c r="AF472" i="6"/>
  <c r="AF473" i="6"/>
  <c r="AF474" i="6"/>
  <c r="AF475" i="6"/>
  <c r="AF476" i="6"/>
  <c r="AF477" i="6"/>
  <c r="AF478" i="6"/>
  <c r="AF479" i="6"/>
  <c r="AF480" i="6"/>
  <c r="AF481" i="6"/>
  <c r="AF482" i="6"/>
  <c r="AF483" i="6"/>
  <c r="AF484" i="6"/>
  <c r="AF485" i="6"/>
  <c r="AF486" i="6"/>
  <c r="AF487" i="6"/>
  <c r="AF488" i="6"/>
  <c r="AF489" i="6"/>
  <c r="AF490" i="6"/>
  <c r="AF491" i="6"/>
  <c r="AF492" i="6"/>
  <c r="AF493" i="6"/>
  <c r="AF494" i="6"/>
  <c r="AF495" i="6"/>
  <c r="AF496" i="6"/>
  <c r="AF497" i="6"/>
  <c r="AF498" i="6"/>
  <c r="AF499" i="6"/>
  <c r="AF500" i="6"/>
  <c r="AF501" i="6"/>
  <c r="AF502" i="6"/>
  <c r="AF503" i="6"/>
  <c r="AF504" i="6"/>
  <c r="AF505" i="6"/>
  <c r="AF506" i="6"/>
  <c r="AF507" i="6"/>
  <c r="AF508" i="6"/>
  <c r="AF509" i="6"/>
  <c r="AF510" i="6"/>
  <c r="AF511" i="6"/>
  <c r="AF512" i="6"/>
  <c r="AF513" i="6"/>
  <c r="AF514" i="6"/>
  <c r="AF515" i="6"/>
  <c r="AF516" i="6"/>
  <c r="AF517" i="6"/>
  <c r="AF518" i="6"/>
  <c r="AF519" i="6"/>
  <c r="AF520" i="6"/>
  <c r="AF521" i="6"/>
  <c r="AF522" i="6"/>
  <c r="AF523" i="6"/>
  <c r="AF524" i="6"/>
  <c r="AF525" i="6"/>
  <c r="AF526" i="6"/>
  <c r="AF527" i="6"/>
  <c r="AF528" i="6"/>
  <c r="AF529" i="6"/>
  <c r="AF530" i="6"/>
  <c r="AF531" i="6"/>
  <c r="AF532" i="6"/>
  <c r="AF533" i="6"/>
  <c r="AF534" i="6"/>
  <c r="AF535" i="6"/>
  <c r="AF536" i="6"/>
  <c r="AF537" i="6"/>
  <c r="AF538" i="6"/>
  <c r="AF539" i="6"/>
  <c r="AF540" i="6"/>
  <c r="AF541" i="6"/>
  <c r="AF542" i="6"/>
  <c r="AF543" i="6"/>
  <c r="AF544" i="6"/>
  <c r="AF545" i="6"/>
  <c r="AF546" i="6"/>
  <c r="AF547" i="6"/>
  <c r="AF548" i="6"/>
  <c r="AF549" i="6"/>
  <c r="AF550" i="6"/>
  <c r="AF551" i="6"/>
  <c r="AF552" i="6"/>
  <c r="AF553" i="6"/>
  <c r="AF554" i="6"/>
  <c r="AF555" i="6"/>
  <c r="AF556" i="6"/>
  <c r="AF557" i="6"/>
  <c r="AF558" i="6"/>
  <c r="AF559" i="6"/>
  <c r="AF560" i="6"/>
  <c r="AF561" i="6"/>
  <c r="AF562" i="6"/>
  <c r="AF563" i="6"/>
  <c r="AF564" i="6"/>
  <c r="AF565" i="6"/>
  <c r="AF566" i="6"/>
  <c r="AF567" i="6"/>
  <c r="AF568" i="6"/>
  <c r="AF569" i="6"/>
  <c r="AF570" i="6"/>
  <c r="AF571" i="6"/>
  <c r="AF572" i="6"/>
  <c r="AF573" i="6"/>
  <c r="AF574" i="6"/>
  <c r="AF575" i="6"/>
  <c r="AF576" i="6"/>
  <c r="AF577" i="6"/>
  <c r="AF578" i="6"/>
  <c r="AF579" i="6"/>
  <c r="AF580" i="6"/>
  <c r="AF581" i="6"/>
  <c r="AF582" i="6"/>
  <c r="AF583" i="6"/>
  <c r="AF584" i="6"/>
  <c r="AF585" i="6"/>
  <c r="AF586" i="6"/>
  <c r="AF587" i="6"/>
  <c r="AF588" i="6"/>
  <c r="AF589" i="6"/>
  <c r="AF590" i="6"/>
  <c r="AF591" i="6"/>
  <c r="AF592" i="6"/>
  <c r="AF593" i="6"/>
  <c r="AF594" i="6"/>
  <c r="AF595" i="6"/>
  <c r="AF596" i="6"/>
  <c r="AF597" i="6"/>
  <c r="AF598" i="6"/>
  <c r="AF599" i="6"/>
  <c r="AF600" i="6"/>
  <c r="AF601" i="6"/>
  <c r="AF602" i="6"/>
  <c r="AF603" i="6"/>
  <c r="AF604" i="6"/>
  <c r="AF605" i="6"/>
  <c r="AF606" i="6"/>
  <c r="AF607" i="6"/>
  <c r="AF608" i="6"/>
  <c r="AF609" i="6"/>
  <c r="AF610" i="6"/>
  <c r="AF611" i="6"/>
  <c r="AF612" i="6"/>
  <c r="AF613" i="6"/>
  <c r="AF614" i="6"/>
  <c r="AF615" i="6"/>
  <c r="AF616" i="6"/>
  <c r="AF617" i="6"/>
  <c r="AF618" i="6"/>
  <c r="AF619" i="6"/>
  <c r="AF620" i="6"/>
  <c r="AF621" i="6"/>
  <c r="AF622" i="6"/>
  <c r="AF623" i="6"/>
  <c r="AF624" i="6"/>
  <c r="AF625" i="6"/>
  <c r="AF626" i="6"/>
  <c r="AF627" i="6"/>
  <c r="AF628" i="6"/>
  <c r="AF629" i="6"/>
  <c r="AF630" i="6"/>
  <c r="AF631" i="6"/>
  <c r="AF632" i="6"/>
  <c r="AF633" i="6"/>
  <c r="AF634" i="6"/>
  <c r="AF635" i="6"/>
  <c r="AF636" i="6"/>
  <c r="AF637" i="6"/>
  <c r="AF638" i="6"/>
  <c r="AF639" i="6"/>
  <c r="AF640" i="6"/>
  <c r="AF641" i="6"/>
  <c r="AF642" i="6"/>
  <c r="AF643" i="6"/>
  <c r="AF644" i="6"/>
  <c r="AF645" i="6"/>
  <c r="AF646" i="6"/>
  <c r="AF647" i="6"/>
  <c r="AF648" i="6"/>
  <c r="AF649" i="6"/>
  <c r="AF650" i="6"/>
  <c r="AF651" i="6"/>
  <c r="AF652" i="6"/>
  <c r="AF653" i="6"/>
  <c r="AF654" i="6"/>
  <c r="AF655" i="6"/>
  <c r="AF656" i="6"/>
  <c r="AF657" i="6"/>
  <c r="AF658" i="6"/>
  <c r="AF659" i="6"/>
  <c r="AF660" i="6"/>
  <c r="AF661" i="6"/>
  <c r="AF662" i="6"/>
  <c r="AF663" i="6"/>
  <c r="AF664" i="6"/>
  <c r="AF665" i="6"/>
  <c r="AF666" i="6"/>
  <c r="AF667" i="6"/>
  <c r="AF668" i="6"/>
  <c r="AF669" i="6"/>
  <c r="AF670" i="6"/>
  <c r="AF671" i="6"/>
  <c r="AF672" i="6"/>
  <c r="AF673" i="6"/>
  <c r="AF674" i="6"/>
  <c r="AF675" i="6"/>
  <c r="AF676" i="6"/>
  <c r="AF677" i="6"/>
  <c r="AF678" i="6"/>
  <c r="AF679" i="6"/>
  <c r="AF680" i="6"/>
  <c r="AF681" i="6"/>
  <c r="AF682" i="6"/>
  <c r="AF683" i="6"/>
  <c r="AF684" i="6"/>
  <c r="AF685" i="6"/>
  <c r="AF686" i="6"/>
  <c r="AF687" i="6"/>
  <c r="AF688" i="6"/>
  <c r="AF689" i="6"/>
  <c r="AF690" i="6"/>
  <c r="AF691" i="6"/>
  <c r="AF692" i="6"/>
  <c r="AF693" i="6"/>
  <c r="AF694" i="6"/>
  <c r="AF695" i="6"/>
  <c r="AF696" i="6"/>
  <c r="AF697" i="6"/>
  <c r="AF698" i="6"/>
  <c r="AF699" i="6"/>
  <c r="AF700" i="6"/>
  <c r="AF701" i="6"/>
  <c r="AF702" i="6"/>
  <c r="AF703" i="6"/>
  <c r="AF704" i="6"/>
  <c r="AF705" i="6"/>
  <c r="AF706" i="6"/>
  <c r="AF707" i="6"/>
  <c r="AF708" i="6"/>
  <c r="AF709" i="6"/>
  <c r="AF710" i="6"/>
  <c r="AF711" i="6"/>
  <c r="AF712" i="6"/>
  <c r="AF713" i="6"/>
  <c r="AF714" i="6"/>
  <c r="AF715" i="6"/>
  <c r="AF716" i="6"/>
  <c r="AF717" i="6"/>
  <c r="AF718" i="6"/>
  <c r="AF719" i="6"/>
  <c r="AF720" i="6"/>
  <c r="AF721" i="6"/>
  <c r="AF722" i="6"/>
  <c r="AF723" i="6"/>
  <c r="AF724" i="6"/>
  <c r="AF725" i="6"/>
  <c r="AF726" i="6"/>
  <c r="AF727" i="6"/>
  <c r="AF728" i="6"/>
  <c r="AF729" i="6"/>
  <c r="AF730" i="6"/>
  <c r="AF731" i="6"/>
  <c r="AF732" i="6"/>
  <c r="AF733" i="6"/>
  <c r="AF734" i="6"/>
  <c r="AF735" i="6"/>
  <c r="AF736" i="6"/>
  <c r="AF737" i="6"/>
  <c r="AF738" i="6"/>
  <c r="AF739" i="6"/>
  <c r="AF740" i="6"/>
  <c r="AF741" i="6"/>
  <c r="AF742" i="6"/>
  <c r="AF743" i="6"/>
  <c r="AF744" i="6"/>
  <c r="AF745" i="6"/>
  <c r="AF746" i="6"/>
  <c r="AF747" i="6"/>
  <c r="AF748" i="6"/>
  <c r="AF749" i="6"/>
  <c r="AF750" i="6"/>
  <c r="AF751" i="6"/>
  <c r="AF752" i="6"/>
  <c r="AF753" i="6"/>
  <c r="AF754" i="6"/>
  <c r="AF755" i="6"/>
  <c r="AF756" i="6"/>
  <c r="AF757" i="6"/>
  <c r="AF758" i="6"/>
  <c r="AF759" i="6"/>
  <c r="AF760" i="6"/>
  <c r="AF761" i="6"/>
  <c r="AF762" i="6"/>
  <c r="AF763" i="6"/>
  <c r="AF764" i="6"/>
  <c r="AF765" i="6"/>
  <c r="AF766" i="6"/>
  <c r="AF767" i="6"/>
  <c r="AF768" i="6"/>
  <c r="AF769" i="6"/>
  <c r="AF770" i="6"/>
  <c r="AF771" i="6"/>
  <c r="AF772" i="6"/>
  <c r="AF773" i="6"/>
  <c r="AF774" i="6"/>
  <c r="AF775" i="6"/>
  <c r="AF776" i="6"/>
  <c r="AF777" i="6"/>
  <c r="AF778" i="6"/>
  <c r="AF779" i="6"/>
  <c r="AF780" i="6"/>
  <c r="AF781" i="6"/>
  <c r="AF782" i="6"/>
  <c r="AF783" i="6"/>
  <c r="AF784" i="6"/>
  <c r="AF785" i="6"/>
  <c r="AF786" i="6"/>
  <c r="AF787" i="6"/>
  <c r="AF788" i="6"/>
  <c r="AF789" i="6"/>
  <c r="AF790" i="6"/>
  <c r="AF791" i="6"/>
  <c r="AF792" i="6"/>
  <c r="AF793" i="6"/>
  <c r="AF794" i="6"/>
  <c r="AF795" i="6"/>
  <c r="AF796" i="6"/>
  <c r="AF797" i="6"/>
  <c r="AF798" i="6"/>
  <c r="AF799" i="6"/>
  <c r="AF800" i="6"/>
  <c r="AF801" i="6"/>
  <c r="AF802" i="6"/>
  <c r="AF803" i="6"/>
  <c r="AF804" i="6"/>
  <c r="AF805" i="6"/>
  <c r="AF806" i="6"/>
  <c r="AF807" i="6"/>
  <c r="AF808" i="6"/>
  <c r="AF809" i="6"/>
  <c r="AE27" i="6"/>
  <c r="AE28" i="6"/>
  <c r="AE29" i="6"/>
  <c r="AE30" i="6"/>
  <c r="AE31" i="6"/>
  <c r="AE32" i="6"/>
  <c r="AE33" i="6"/>
  <c r="AE34" i="6"/>
  <c r="AE35" i="6"/>
  <c r="AE36" i="6"/>
  <c r="AE37" i="6"/>
  <c r="AE38" i="6"/>
  <c r="AE39" i="6"/>
  <c r="AE40" i="6"/>
  <c r="AE41" i="6"/>
  <c r="AE42" i="6"/>
  <c r="AE43" i="6"/>
  <c r="AE44" i="6"/>
  <c r="AE45" i="6"/>
  <c r="AE46" i="6"/>
  <c r="AE47" i="6"/>
  <c r="AE48" i="6"/>
  <c r="AE49" i="6"/>
  <c r="AE50" i="6"/>
  <c r="AE51" i="6"/>
  <c r="AE52" i="6"/>
  <c r="AE53" i="6"/>
  <c r="AE54" i="6"/>
  <c r="AE55" i="6"/>
  <c r="AE56" i="6"/>
  <c r="AE57" i="6"/>
  <c r="AE58" i="6"/>
  <c r="AE59" i="6"/>
  <c r="AE60" i="6"/>
  <c r="AE61" i="6"/>
  <c r="AE62" i="6"/>
  <c r="AE63" i="6"/>
  <c r="AE64" i="6"/>
  <c r="AE65" i="6"/>
  <c r="AE66" i="6"/>
  <c r="AE67" i="6"/>
  <c r="AE68" i="6"/>
  <c r="AE69" i="6"/>
  <c r="AE70" i="6"/>
  <c r="AE71" i="6"/>
  <c r="AE72" i="6"/>
  <c r="AE73" i="6"/>
  <c r="AE74" i="6"/>
  <c r="AE75" i="6"/>
  <c r="AE76" i="6"/>
  <c r="AE77" i="6"/>
  <c r="AE78" i="6"/>
  <c r="AE79" i="6"/>
  <c r="AE80" i="6"/>
  <c r="AE81" i="6"/>
  <c r="AE82" i="6"/>
  <c r="AE83" i="6"/>
  <c r="AE84" i="6"/>
  <c r="AE85" i="6"/>
  <c r="AE86" i="6"/>
  <c r="AE87" i="6"/>
  <c r="AE88" i="6"/>
  <c r="AE89" i="6"/>
  <c r="AE90" i="6"/>
  <c r="AE91" i="6"/>
  <c r="AE92" i="6"/>
  <c r="AE93" i="6"/>
  <c r="AE94" i="6"/>
  <c r="AE95" i="6"/>
  <c r="AE96" i="6"/>
  <c r="AE97" i="6"/>
  <c r="AE98" i="6"/>
  <c r="AE99" i="6"/>
  <c r="AE100" i="6"/>
  <c r="AE101" i="6"/>
  <c r="AE102" i="6"/>
  <c r="AE103" i="6"/>
  <c r="AE104" i="6"/>
  <c r="AE105" i="6"/>
  <c r="AE106" i="6"/>
  <c r="AE107" i="6"/>
  <c r="AE108" i="6"/>
  <c r="AE109" i="6"/>
  <c r="AE110" i="6"/>
  <c r="AE111" i="6"/>
  <c r="AE112" i="6"/>
  <c r="AE113" i="6"/>
  <c r="AE114" i="6"/>
  <c r="AE115" i="6"/>
  <c r="AE116" i="6"/>
  <c r="AE117" i="6"/>
  <c r="AE118" i="6"/>
  <c r="AE119" i="6"/>
  <c r="AE120" i="6"/>
  <c r="AE121" i="6"/>
  <c r="AE122" i="6"/>
  <c r="AE123" i="6"/>
  <c r="AE124" i="6"/>
  <c r="AE125" i="6"/>
  <c r="AE126" i="6"/>
  <c r="AE127" i="6"/>
  <c r="AE128" i="6"/>
  <c r="AE129" i="6"/>
  <c r="AE130" i="6"/>
  <c r="AE131" i="6"/>
  <c r="AE132" i="6"/>
  <c r="AE133" i="6"/>
  <c r="AE134" i="6"/>
  <c r="AE135" i="6"/>
  <c r="AE136" i="6"/>
  <c r="AE137" i="6"/>
  <c r="AE138" i="6"/>
  <c r="AE139" i="6"/>
  <c r="AE140" i="6"/>
  <c r="AE141" i="6"/>
  <c r="AE142" i="6"/>
  <c r="AE143" i="6"/>
  <c r="AE144" i="6"/>
  <c r="AE145" i="6"/>
  <c r="AE146" i="6"/>
  <c r="AE147" i="6"/>
  <c r="AE148" i="6"/>
  <c r="AE149" i="6"/>
  <c r="AE150" i="6"/>
  <c r="AE151" i="6"/>
  <c r="AE152" i="6"/>
  <c r="AE153" i="6"/>
  <c r="AE154" i="6"/>
  <c r="AE155" i="6"/>
  <c r="AE156" i="6"/>
  <c r="AE157" i="6"/>
  <c r="AE158" i="6"/>
  <c r="AE159" i="6"/>
  <c r="AE160" i="6"/>
  <c r="AE161" i="6"/>
  <c r="AE162" i="6"/>
  <c r="AE163" i="6"/>
  <c r="AE164" i="6"/>
  <c r="AE165" i="6"/>
  <c r="AE166" i="6"/>
  <c r="AE167" i="6"/>
  <c r="AE168" i="6"/>
  <c r="AE169" i="6"/>
  <c r="AE170" i="6"/>
  <c r="AE171" i="6"/>
  <c r="AE172" i="6"/>
  <c r="AE173" i="6"/>
  <c r="AE174" i="6"/>
  <c r="AE175" i="6"/>
  <c r="AE176" i="6"/>
  <c r="AE177" i="6"/>
  <c r="AE178" i="6"/>
  <c r="AE179" i="6"/>
  <c r="AE180" i="6"/>
  <c r="AE181" i="6"/>
  <c r="AE182" i="6"/>
  <c r="AE183" i="6"/>
  <c r="AE184" i="6"/>
  <c r="AE185" i="6"/>
  <c r="AE186" i="6"/>
  <c r="AE187" i="6"/>
  <c r="AE188" i="6"/>
  <c r="AE189" i="6"/>
  <c r="AE190" i="6"/>
  <c r="AE191" i="6"/>
  <c r="AE192" i="6"/>
  <c r="AE193" i="6"/>
  <c r="AE194" i="6"/>
  <c r="AE195" i="6"/>
  <c r="AE196" i="6"/>
  <c r="AE197" i="6"/>
  <c r="AE198" i="6"/>
  <c r="AE199" i="6"/>
  <c r="AE200" i="6"/>
  <c r="AE201" i="6"/>
  <c r="AE202" i="6"/>
  <c r="AE203" i="6"/>
  <c r="AE204" i="6"/>
  <c r="AE205" i="6"/>
  <c r="AE206" i="6"/>
  <c r="AE207" i="6"/>
  <c r="AE208" i="6"/>
  <c r="AE209" i="6"/>
  <c r="AE210" i="6"/>
  <c r="AE211" i="6"/>
  <c r="AE212" i="6"/>
  <c r="AE213" i="6"/>
  <c r="AE214" i="6"/>
  <c r="AE215" i="6"/>
  <c r="AE216" i="6"/>
  <c r="AE217" i="6"/>
  <c r="AE218" i="6"/>
  <c r="AE219" i="6"/>
  <c r="AE220" i="6"/>
  <c r="AE221" i="6"/>
  <c r="AE222" i="6"/>
  <c r="AE223" i="6"/>
  <c r="AE224" i="6"/>
  <c r="AE225" i="6"/>
  <c r="AE226" i="6"/>
  <c r="AE227" i="6"/>
  <c r="AE228" i="6"/>
  <c r="AE229" i="6"/>
  <c r="AE230" i="6"/>
  <c r="AE231" i="6"/>
  <c r="AE232" i="6"/>
  <c r="AE233" i="6"/>
  <c r="AE234" i="6"/>
  <c r="AE235" i="6"/>
  <c r="AE236" i="6"/>
  <c r="AE237" i="6"/>
  <c r="AE238" i="6"/>
  <c r="AE239" i="6"/>
  <c r="AE240" i="6"/>
  <c r="AE241" i="6"/>
  <c r="AE242" i="6"/>
  <c r="AE243" i="6"/>
  <c r="AE244" i="6"/>
  <c r="AE245" i="6"/>
  <c r="AE246" i="6"/>
  <c r="AE247" i="6"/>
  <c r="AE248" i="6"/>
  <c r="AE249" i="6"/>
  <c r="AE250" i="6"/>
  <c r="AE251" i="6"/>
  <c r="AE252" i="6"/>
  <c r="AE253" i="6"/>
  <c r="AE254" i="6"/>
  <c r="AE255" i="6"/>
  <c r="AE256" i="6"/>
  <c r="AE257" i="6"/>
  <c r="AE258" i="6"/>
  <c r="AE259" i="6"/>
  <c r="AE260" i="6"/>
  <c r="AE261" i="6"/>
  <c r="AE262" i="6"/>
  <c r="AE263" i="6"/>
  <c r="AE264" i="6"/>
  <c r="AE265" i="6"/>
  <c r="AE266" i="6"/>
  <c r="AE267" i="6"/>
  <c r="AE268" i="6"/>
  <c r="AE269" i="6"/>
  <c r="AE270" i="6"/>
  <c r="AE271" i="6"/>
  <c r="AE272" i="6"/>
  <c r="AE273" i="6"/>
  <c r="AE274" i="6"/>
  <c r="AE275" i="6"/>
  <c r="AE276" i="6"/>
  <c r="AE277" i="6"/>
  <c r="AE278" i="6"/>
  <c r="AE279" i="6"/>
  <c r="AE280" i="6"/>
  <c r="AE281" i="6"/>
  <c r="AE282" i="6"/>
  <c r="AE283" i="6"/>
  <c r="AE284" i="6"/>
  <c r="AE285" i="6"/>
  <c r="AE286" i="6"/>
  <c r="AE287" i="6"/>
  <c r="AE288" i="6"/>
  <c r="AE289" i="6"/>
  <c r="AE290" i="6"/>
  <c r="AE291" i="6"/>
  <c r="AE292" i="6"/>
  <c r="AE293" i="6"/>
  <c r="AE294" i="6"/>
  <c r="AE295" i="6"/>
  <c r="AE296" i="6"/>
  <c r="AE297" i="6"/>
  <c r="AE298" i="6"/>
  <c r="AE299" i="6"/>
  <c r="AE300" i="6"/>
  <c r="AE301" i="6"/>
  <c r="AE302" i="6"/>
  <c r="AE303" i="6"/>
  <c r="AE304" i="6"/>
  <c r="AE305" i="6"/>
  <c r="AE306" i="6"/>
  <c r="AE307" i="6"/>
  <c r="AE308" i="6"/>
  <c r="AE309" i="6"/>
  <c r="AE310" i="6"/>
  <c r="AE311" i="6"/>
  <c r="AE312" i="6"/>
  <c r="AE313" i="6"/>
  <c r="AE314" i="6"/>
  <c r="AE315" i="6"/>
  <c r="AE316" i="6"/>
  <c r="AE317" i="6"/>
  <c r="AE318" i="6"/>
  <c r="AE319" i="6"/>
  <c r="AE320" i="6"/>
  <c r="AE321" i="6"/>
  <c r="AE322" i="6"/>
  <c r="AE323" i="6"/>
  <c r="AE324" i="6"/>
  <c r="AE325" i="6"/>
  <c r="AE326" i="6"/>
  <c r="AE327" i="6"/>
  <c r="AE328" i="6"/>
  <c r="AE329" i="6"/>
  <c r="AE330" i="6"/>
  <c r="AE331" i="6"/>
  <c r="AE332" i="6"/>
  <c r="AE333" i="6"/>
  <c r="AE334" i="6"/>
  <c r="AE335" i="6"/>
  <c r="AE336" i="6"/>
  <c r="AE337" i="6"/>
  <c r="AE338" i="6"/>
  <c r="AE339" i="6"/>
  <c r="AE340" i="6"/>
  <c r="AE341" i="6"/>
  <c r="AE342" i="6"/>
  <c r="AE343" i="6"/>
  <c r="AE344" i="6"/>
  <c r="AE345" i="6"/>
  <c r="AE346" i="6"/>
  <c r="AE347" i="6"/>
  <c r="AE348" i="6"/>
  <c r="AE349" i="6"/>
  <c r="AE350" i="6"/>
  <c r="AE351" i="6"/>
  <c r="AE352" i="6"/>
  <c r="AE353" i="6"/>
  <c r="AE354" i="6"/>
  <c r="AE355" i="6"/>
  <c r="AE356" i="6"/>
  <c r="AE357" i="6"/>
  <c r="AE358" i="6"/>
  <c r="AE359" i="6"/>
  <c r="AE360" i="6"/>
  <c r="AE361" i="6"/>
  <c r="AE362" i="6"/>
  <c r="AE363" i="6"/>
  <c r="AE364" i="6"/>
  <c r="AE365" i="6"/>
  <c r="AE366" i="6"/>
  <c r="AE367" i="6"/>
  <c r="AE368" i="6"/>
  <c r="AE369" i="6"/>
  <c r="AE370" i="6"/>
  <c r="AE371" i="6"/>
  <c r="AE372" i="6"/>
  <c r="AE373" i="6"/>
  <c r="AE374" i="6"/>
  <c r="AE375" i="6"/>
  <c r="AE376" i="6"/>
  <c r="AE377" i="6"/>
  <c r="AE378" i="6"/>
  <c r="AE379" i="6"/>
  <c r="AE380" i="6"/>
  <c r="AE381" i="6"/>
  <c r="AE382" i="6"/>
  <c r="AE383" i="6"/>
  <c r="AE384" i="6"/>
  <c r="AE385" i="6"/>
  <c r="AE386" i="6"/>
  <c r="AE387" i="6"/>
  <c r="AE388" i="6"/>
  <c r="AE389" i="6"/>
  <c r="AE390" i="6"/>
  <c r="AE391" i="6"/>
  <c r="AE392" i="6"/>
  <c r="AE393" i="6"/>
  <c r="AE394" i="6"/>
  <c r="AE395" i="6"/>
  <c r="AE396" i="6"/>
  <c r="AE397" i="6"/>
  <c r="AE398" i="6"/>
  <c r="AE399" i="6"/>
  <c r="AE400" i="6"/>
  <c r="AE401" i="6"/>
  <c r="AE402" i="6"/>
  <c r="AE403" i="6"/>
  <c r="AE404" i="6"/>
  <c r="AE405" i="6"/>
  <c r="AE406" i="6"/>
  <c r="AE407" i="6"/>
  <c r="AE408" i="6"/>
  <c r="AE409" i="6"/>
  <c r="AE410" i="6"/>
  <c r="AE411" i="6"/>
  <c r="AE412" i="6"/>
  <c r="AE413" i="6"/>
  <c r="AE414" i="6"/>
  <c r="AE415" i="6"/>
  <c r="AE416" i="6"/>
  <c r="AE417" i="6"/>
  <c r="AE418" i="6"/>
  <c r="AE419" i="6"/>
  <c r="AE420" i="6"/>
  <c r="AE421" i="6"/>
  <c r="AE422" i="6"/>
  <c r="AE423" i="6"/>
  <c r="AE424" i="6"/>
  <c r="AE425" i="6"/>
  <c r="AE426" i="6"/>
  <c r="AE427" i="6"/>
  <c r="AE428" i="6"/>
  <c r="AE429" i="6"/>
  <c r="AE430" i="6"/>
  <c r="AE431" i="6"/>
  <c r="AE432" i="6"/>
  <c r="AE433" i="6"/>
  <c r="AE434" i="6"/>
  <c r="AE435" i="6"/>
  <c r="AE436" i="6"/>
  <c r="AE437" i="6"/>
  <c r="AE438" i="6"/>
  <c r="AE439" i="6"/>
  <c r="AE440" i="6"/>
  <c r="AE441" i="6"/>
  <c r="AE442" i="6"/>
  <c r="AE443" i="6"/>
  <c r="AE444" i="6"/>
  <c r="AE445" i="6"/>
  <c r="AE446" i="6"/>
  <c r="AE447" i="6"/>
  <c r="AE448" i="6"/>
  <c r="AE449" i="6"/>
  <c r="AE450" i="6"/>
  <c r="AE451" i="6"/>
  <c r="AE452" i="6"/>
  <c r="AE453" i="6"/>
  <c r="AE454" i="6"/>
  <c r="AE455" i="6"/>
  <c r="AE456" i="6"/>
  <c r="AE457" i="6"/>
  <c r="AE458" i="6"/>
  <c r="AE459" i="6"/>
  <c r="AE460" i="6"/>
  <c r="AE461" i="6"/>
  <c r="AE462" i="6"/>
  <c r="AE463" i="6"/>
  <c r="AE464" i="6"/>
  <c r="AE465" i="6"/>
  <c r="AE466" i="6"/>
  <c r="AE467" i="6"/>
  <c r="AE468" i="6"/>
  <c r="AE469" i="6"/>
  <c r="AE470" i="6"/>
  <c r="AE471" i="6"/>
  <c r="AE472" i="6"/>
  <c r="AE473" i="6"/>
  <c r="AE474" i="6"/>
  <c r="AE475" i="6"/>
  <c r="AE476" i="6"/>
  <c r="AE477" i="6"/>
  <c r="AE478" i="6"/>
  <c r="AE479" i="6"/>
  <c r="AE480" i="6"/>
  <c r="AE481" i="6"/>
  <c r="AE482" i="6"/>
  <c r="AE483" i="6"/>
  <c r="AE484" i="6"/>
  <c r="AE485" i="6"/>
  <c r="AE486" i="6"/>
  <c r="AE487" i="6"/>
  <c r="AE488" i="6"/>
  <c r="AE489" i="6"/>
  <c r="AE490" i="6"/>
  <c r="AE491" i="6"/>
  <c r="AE492" i="6"/>
  <c r="AE493" i="6"/>
  <c r="AE494" i="6"/>
  <c r="AE495" i="6"/>
  <c r="AE496" i="6"/>
  <c r="AE497" i="6"/>
  <c r="AE498" i="6"/>
  <c r="AE499" i="6"/>
  <c r="AE500" i="6"/>
  <c r="AE501" i="6"/>
  <c r="AE502" i="6"/>
  <c r="AE503" i="6"/>
  <c r="AE504" i="6"/>
  <c r="AE505" i="6"/>
  <c r="AE506" i="6"/>
  <c r="AE507" i="6"/>
  <c r="AE508" i="6"/>
  <c r="AE509" i="6"/>
  <c r="AE510" i="6"/>
  <c r="AE511" i="6"/>
  <c r="AE512" i="6"/>
  <c r="AE513" i="6"/>
  <c r="AE514" i="6"/>
  <c r="AE515" i="6"/>
  <c r="AE516" i="6"/>
  <c r="AE517" i="6"/>
  <c r="AE518" i="6"/>
  <c r="AE519" i="6"/>
  <c r="AE520" i="6"/>
  <c r="AE521" i="6"/>
  <c r="AE522" i="6"/>
  <c r="AE523" i="6"/>
  <c r="AE524" i="6"/>
  <c r="AE525" i="6"/>
  <c r="AE526" i="6"/>
  <c r="AE527" i="6"/>
  <c r="AE528" i="6"/>
  <c r="AE529" i="6"/>
  <c r="AE530" i="6"/>
  <c r="AE531" i="6"/>
  <c r="AE532" i="6"/>
  <c r="AE533" i="6"/>
  <c r="AE534" i="6"/>
  <c r="AE535" i="6"/>
  <c r="AE536" i="6"/>
  <c r="AE537" i="6"/>
  <c r="AE538" i="6"/>
  <c r="AE539" i="6"/>
  <c r="AE540" i="6"/>
  <c r="AE541" i="6"/>
  <c r="AE542" i="6"/>
  <c r="AE543" i="6"/>
  <c r="AE544" i="6"/>
  <c r="AE545" i="6"/>
  <c r="AE546" i="6"/>
  <c r="AE547" i="6"/>
  <c r="AE548" i="6"/>
  <c r="AE549" i="6"/>
  <c r="AE550" i="6"/>
  <c r="AE551" i="6"/>
  <c r="AE552" i="6"/>
  <c r="AE553" i="6"/>
  <c r="AE554" i="6"/>
  <c r="AE555" i="6"/>
  <c r="AE556" i="6"/>
  <c r="AE557" i="6"/>
  <c r="AE558" i="6"/>
  <c r="AE559" i="6"/>
  <c r="AE560" i="6"/>
  <c r="AE561" i="6"/>
  <c r="AE562" i="6"/>
  <c r="AE563" i="6"/>
  <c r="AE564" i="6"/>
  <c r="AE565" i="6"/>
  <c r="AE566" i="6"/>
  <c r="AE567" i="6"/>
  <c r="AE568" i="6"/>
  <c r="AE569" i="6"/>
  <c r="AE570" i="6"/>
  <c r="AE571" i="6"/>
  <c r="AE572" i="6"/>
  <c r="AE573" i="6"/>
  <c r="AE574" i="6"/>
  <c r="AE575" i="6"/>
  <c r="AE576" i="6"/>
  <c r="AE577" i="6"/>
  <c r="AE578" i="6"/>
  <c r="AE579" i="6"/>
  <c r="AE580" i="6"/>
  <c r="AE581" i="6"/>
  <c r="AE582" i="6"/>
  <c r="AE583" i="6"/>
  <c r="AE584" i="6"/>
  <c r="AE585" i="6"/>
  <c r="AE586" i="6"/>
  <c r="AE587" i="6"/>
  <c r="AE588" i="6"/>
  <c r="AE589" i="6"/>
  <c r="AE590" i="6"/>
  <c r="AE591" i="6"/>
  <c r="AE592" i="6"/>
  <c r="AE593" i="6"/>
  <c r="AE594" i="6"/>
  <c r="AE595" i="6"/>
  <c r="AE596" i="6"/>
  <c r="AE597" i="6"/>
  <c r="AE598" i="6"/>
  <c r="AE599" i="6"/>
  <c r="AE600" i="6"/>
  <c r="AE601" i="6"/>
  <c r="AE602" i="6"/>
  <c r="AE603" i="6"/>
  <c r="AE604" i="6"/>
  <c r="AE605" i="6"/>
  <c r="AE606" i="6"/>
  <c r="AE607" i="6"/>
  <c r="AE608" i="6"/>
  <c r="AE609" i="6"/>
  <c r="AE610" i="6"/>
  <c r="AE611" i="6"/>
  <c r="AE612" i="6"/>
  <c r="AE613" i="6"/>
  <c r="AE614" i="6"/>
  <c r="AE615" i="6"/>
  <c r="AE616" i="6"/>
  <c r="AE617" i="6"/>
  <c r="AE618" i="6"/>
  <c r="AE619" i="6"/>
  <c r="AE620" i="6"/>
  <c r="AE621" i="6"/>
  <c r="AE622" i="6"/>
  <c r="AE623" i="6"/>
  <c r="AE624" i="6"/>
  <c r="AE625" i="6"/>
  <c r="AE626" i="6"/>
  <c r="AE627" i="6"/>
  <c r="AE628" i="6"/>
  <c r="AE629" i="6"/>
  <c r="AE630" i="6"/>
  <c r="AE631" i="6"/>
  <c r="AE632" i="6"/>
  <c r="AE633" i="6"/>
  <c r="AE634" i="6"/>
  <c r="AE635" i="6"/>
  <c r="AE636" i="6"/>
  <c r="AE637" i="6"/>
  <c r="AE638" i="6"/>
  <c r="AE639" i="6"/>
  <c r="AE640" i="6"/>
  <c r="AE641" i="6"/>
  <c r="AE642" i="6"/>
  <c r="AE643" i="6"/>
  <c r="AE644" i="6"/>
  <c r="AE645" i="6"/>
  <c r="AE646" i="6"/>
  <c r="AE647" i="6"/>
  <c r="AE648" i="6"/>
  <c r="AE649" i="6"/>
  <c r="AE650" i="6"/>
  <c r="AE651" i="6"/>
  <c r="AE652" i="6"/>
  <c r="AE653" i="6"/>
  <c r="AE654" i="6"/>
  <c r="AE655" i="6"/>
  <c r="AE656" i="6"/>
  <c r="AE657" i="6"/>
  <c r="AE658" i="6"/>
  <c r="AE659" i="6"/>
  <c r="AE660" i="6"/>
  <c r="AE661" i="6"/>
  <c r="AE662" i="6"/>
  <c r="AE663" i="6"/>
  <c r="AE664" i="6"/>
  <c r="AE665" i="6"/>
  <c r="AE666" i="6"/>
  <c r="AE667" i="6"/>
  <c r="AE668" i="6"/>
  <c r="AE669" i="6"/>
  <c r="AE670" i="6"/>
  <c r="AE671" i="6"/>
  <c r="AE672" i="6"/>
  <c r="AE673" i="6"/>
  <c r="AE674" i="6"/>
  <c r="AE675" i="6"/>
  <c r="AE676" i="6"/>
  <c r="AE677" i="6"/>
  <c r="AE678" i="6"/>
  <c r="AE679" i="6"/>
  <c r="AE680" i="6"/>
  <c r="AE681" i="6"/>
  <c r="AE682" i="6"/>
  <c r="AE683" i="6"/>
  <c r="AE684" i="6"/>
  <c r="AE685" i="6"/>
  <c r="AE686" i="6"/>
  <c r="AE687" i="6"/>
  <c r="AE688" i="6"/>
  <c r="AE689" i="6"/>
  <c r="AE690" i="6"/>
  <c r="AE691" i="6"/>
  <c r="AE692" i="6"/>
  <c r="AE693" i="6"/>
  <c r="AE694" i="6"/>
  <c r="AE695" i="6"/>
  <c r="AE696" i="6"/>
  <c r="AE697" i="6"/>
  <c r="AE698" i="6"/>
  <c r="AE699" i="6"/>
  <c r="AE700" i="6"/>
  <c r="AE701" i="6"/>
  <c r="AE702" i="6"/>
  <c r="AE703" i="6"/>
  <c r="AE704" i="6"/>
  <c r="AE705" i="6"/>
  <c r="AE706" i="6"/>
  <c r="AE707" i="6"/>
  <c r="AE708" i="6"/>
  <c r="AE709" i="6"/>
  <c r="AE710" i="6"/>
  <c r="AE711" i="6"/>
  <c r="AE712" i="6"/>
  <c r="AE713" i="6"/>
  <c r="AE714" i="6"/>
  <c r="AE715" i="6"/>
  <c r="AE716" i="6"/>
  <c r="AE717" i="6"/>
  <c r="AE718" i="6"/>
  <c r="AE719" i="6"/>
  <c r="AE720" i="6"/>
  <c r="AE721" i="6"/>
  <c r="AE722" i="6"/>
  <c r="AE723" i="6"/>
  <c r="AE724" i="6"/>
  <c r="AE725" i="6"/>
  <c r="AE726" i="6"/>
  <c r="AE727" i="6"/>
  <c r="AE728" i="6"/>
  <c r="AE729" i="6"/>
  <c r="AE730" i="6"/>
  <c r="AE731" i="6"/>
  <c r="AE732" i="6"/>
  <c r="AE733" i="6"/>
  <c r="AE734" i="6"/>
  <c r="AE735" i="6"/>
  <c r="AE736" i="6"/>
  <c r="AE737" i="6"/>
  <c r="AE738" i="6"/>
  <c r="AE739" i="6"/>
  <c r="AE740" i="6"/>
  <c r="AE741" i="6"/>
  <c r="AE742" i="6"/>
  <c r="AE743" i="6"/>
  <c r="AE744" i="6"/>
  <c r="AE745" i="6"/>
  <c r="AE746" i="6"/>
  <c r="AE747" i="6"/>
  <c r="AE748" i="6"/>
  <c r="AE749" i="6"/>
  <c r="AE750" i="6"/>
  <c r="AE751" i="6"/>
  <c r="AE752" i="6"/>
  <c r="AE753" i="6"/>
  <c r="AE754" i="6"/>
  <c r="AE755" i="6"/>
  <c r="AE756" i="6"/>
  <c r="AE757" i="6"/>
  <c r="AE758" i="6"/>
  <c r="AE759" i="6"/>
  <c r="AE760" i="6"/>
  <c r="AE761" i="6"/>
  <c r="AE762" i="6"/>
  <c r="AE763" i="6"/>
  <c r="AE764" i="6"/>
  <c r="AE765" i="6"/>
  <c r="AE766" i="6"/>
  <c r="AE767" i="6"/>
  <c r="AE768" i="6"/>
  <c r="AE769" i="6"/>
  <c r="AE770" i="6"/>
  <c r="AE771" i="6"/>
  <c r="AE772" i="6"/>
  <c r="AE773" i="6"/>
  <c r="AE774" i="6"/>
  <c r="AE775" i="6"/>
  <c r="AE776" i="6"/>
  <c r="AE777" i="6"/>
  <c r="AE778" i="6"/>
  <c r="AE779" i="6"/>
  <c r="AE780" i="6"/>
  <c r="AE781" i="6"/>
  <c r="AE782" i="6"/>
  <c r="AE783" i="6"/>
  <c r="AE784" i="6"/>
  <c r="AE785" i="6"/>
  <c r="AE786" i="6"/>
  <c r="AE787" i="6"/>
  <c r="AE788" i="6"/>
  <c r="AE789" i="6"/>
  <c r="AE790" i="6"/>
  <c r="AE791" i="6"/>
  <c r="AE792" i="6"/>
  <c r="AE793" i="6"/>
  <c r="AE794" i="6"/>
  <c r="AE795" i="6"/>
  <c r="AE796" i="6"/>
  <c r="AE797" i="6"/>
  <c r="AE798" i="6"/>
  <c r="AE799" i="6"/>
  <c r="AE800" i="6"/>
  <c r="AE801" i="6"/>
  <c r="AE802" i="6"/>
  <c r="AE803" i="6"/>
  <c r="AE804" i="6"/>
  <c r="AE805" i="6"/>
  <c r="AE806" i="6"/>
  <c r="AE807" i="6"/>
  <c r="AE808" i="6"/>
  <c r="AE809" i="6"/>
  <c r="AE3" i="6"/>
  <c r="AE4" i="6"/>
  <c r="AE5" i="6"/>
  <c r="AE6" i="6"/>
  <c r="AE7" i="6"/>
  <c r="AE8" i="6"/>
  <c r="AE9" i="6"/>
  <c r="AE10" i="6"/>
  <c r="AE11" i="6"/>
  <c r="AE12" i="6"/>
  <c r="AE13" i="6"/>
  <c r="AE14" i="6"/>
  <c r="AE15" i="6"/>
  <c r="AE16" i="6"/>
  <c r="AE17" i="6"/>
  <c r="AE18" i="6"/>
  <c r="AE19" i="6"/>
  <c r="AE20" i="6"/>
  <c r="AE21" i="6"/>
  <c r="AE22" i="6"/>
  <c r="AE23" i="6"/>
  <c r="AE24" i="6"/>
  <c r="AE25" i="6"/>
  <c r="AE26" i="6"/>
  <c r="AE2" i="6"/>
  <c r="AD2" i="6"/>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C2" i="6"/>
  <c r="AC3"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0" i="6"/>
  <c r="AC161" i="6"/>
  <c r="AC162" i="6"/>
  <c r="AC163" i="6"/>
  <c r="AC164" i="6"/>
  <c r="AC165" i="6"/>
  <c r="AC166" i="6"/>
  <c r="AC167" i="6"/>
  <c r="AC168" i="6"/>
  <c r="AC169" i="6"/>
  <c r="AC170" i="6"/>
  <c r="AC171" i="6"/>
  <c r="AC172" i="6"/>
  <c r="AC173" i="6"/>
  <c r="AC174" i="6"/>
  <c r="AC175" i="6"/>
  <c r="AC176" i="6"/>
  <c r="AC177" i="6"/>
  <c r="AC178" i="6"/>
  <c r="AC179" i="6"/>
  <c r="AC180" i="6"/>
  <c r="AC181" i="6"/>
  <c r="AC182" i="6"/>
  <c r="AC183" i="6"/>
  <c r="AC184" i="6"/>
  <c r="AC185" i="6"/>
  <c r="AC186" i="6"/>
  <c r="AC187" i="6"/>
  <c r="AC188" i="6"/>
  <c r="AC189" i="6"/>
  <c r="AC190" i="6"/>
  <c r="AC191" i="6"/>
  <c r="AC192" i="6"/>
  <c r="AC193" i="6"/>
  <c r="AC194" i="6"/>
  <c r="AC195" i="6"/>
  <c r="AC196" i="6"/>
  <c r="AC197" i="6"/>
  <c r="AC198" i="6"/>
  <c r="AC199" i="6"/>
  <c r="AC200" i="6"/>
  <c r="AC201" i="6"/>
  <c r="AC202" i="6"/>
  <c r="AC203" i="6"/>
  <c r="AC204" i="6"/>
  <c r="AC205" i="6"/>
  <c r="AC206" i="6"/>
  <c r="AC207" i="6"/>
  <c r="AC208" i="6"/>
  <c r="AC209" i="6"/>
  <c r="AC210" i="6"/>
  <c r="AC211" i="6"/>
  <c r="AC212" i="6"/>
  <c r="AC213" i="6"/>
  <c r="AC214" i="6"/>
  <c r="AC215" i="6"/>
  <c r="AC216" i="6"/>
  <c r="AC217" i="6"/>
  <c r="AC218" i="6"/>
  <c r="AC219" i="6"/>
  <c r="AC220" i="6"/>
  <c r="AC221" i="6"/>
  <c r="AC222" i="6"/>
  <c r="AC223" i="6"/>
  <c r="AC224" i="6"/>
  <c r="AC225" i="6"/>
  <c r="AC226" i="6"/>
  <c r="AC227" i="6"/>
  <c r="AC228" i="6"/>
  <c r="AC229" i="6"/>
  <c r="AC230" i="6"/>
  <c r="AC231" i="6"/>
  <c r="AC232" i="6"/>
  <c r="AC233" i="6"/>
  <c r="AC234" i="6"/>
  <c r="AC235" i="6"/>
  <c r="AC236" i="6"/>
  <c r="AC237" i="6"/>
  <c r="AC238" i="6"/>
  <c r="AC239" i="6"/>
  <c r="AC240" i="6"/>
  <c r="AC241" i="6"/>
  <c r="AC242" i="6"/>
  <c r="AC243" i="6"/>
  <c r="AC244" i="6"/>
  <c r="AC245" i="6"/>
  <c r="AC246" i="6"/>
  <c r="AC247" i="6"/>
  <c r="AC248" i="6"/>
  <c r="AC249" i="6"/>
  <c r="AC250" i="6"/>
  <c r="AC251" i="6"/>
  <c r="AC252" i="6"/>
  <c r="AC253" i="6"/>
  <c r="AC254" i="6"/>
  <c r="AC255" i="6"/>
  <c r="AC256" i="6"/>
  <c r="AC257" i="6"/>
  <c r="AC258" i="6"/>
  <c r="AC259" i="6"/>
  <c r="AC260" i="6"/>
  <c r="AC261" i="6"/>
  <c r="AC262" i="6"/>
  <c r="AC263" i="6"/>
  <c r="AC264" i="6"/>
  <c r="AC265" i="6"/>
  <c r="AC266" i="6"/>
  <c r="AC267" i="6"/>
  <c r="AC268" i="6"/>
  <c r="AC269" i="6"/>
  <c r="AC270" i="6"/>
  <c r="AC271" i="6"/>
  <c r="AC272" i="6"/>
  <c r="AC273" i="6"/>
  <c r="AC274" i="6"/>
  <c r="AC275" i="6"/>
  <c r="AC276" i="6"/>
  <c r="AC277" i="6"/>
  <c r="AC278" i="6"/>
  <c r="AC279" i="6"/>
  <c r="AC280" i="6"/>
  <c r="AC281" i="6"/>
  <c r="AC282" i="6"/>
  <c r="AC283" i="6"/>
  <c r="AC284" i="6"/>
  <c r="AC285" i="6"/>
  <c r="AC286" i="6"/>
  <c r="AC287" i="6"/>
  <c r="AC288" i="6"/>
  <c r="AC289" i="6"/>
  <c r="AC290" i="6"/>
  <c r="AC291" i="6"/>
  <c r="AC292" i="6"/>
  <c r="AC293" i="6"/>
  <c r="AC294" i="6"/>
  <c r="AC295" i="6"/>
  <c r="AC296" i="6"/>
  <c r="AC297" i="6"/>
  <c r="AC298" i="6"/>
  <c r="AC299" i="6"/>
  <c r="AC300" i="6"/>
  <c r="AC301" i="6"/>
  <c r="AC302" i="6"/>
  <c r="AC303" i="6"/>
  <c r="AC304" i="6"/>
  <c r="AC305" i="6"/>
  <c r="AC306" i="6"/>
  <c r="AC307" i="6"/>
  <c r="AC308" i="6"/>
  <c r="AC309" i="6"/>
  <c r="AC310" i="6"/>
  <c r="AC311" i="6"/>
  <c r="AC312" i="6"/>
  <c r="AC313" i="6"/>
  <c r="AC314" i="6"/>
  <c r="AC315" i="6"/>
  <c r="AC316"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402" i="6"/>
  <c r="AC403" i="6"/>
  <c r="AC404" i="6"/>
  <c r="AC405" i="6"/>
  <c r="AC406" i="6"/>
  <c r="AC407" i="6"/>
  <c r="AC408" i="6"/>
  <c r="AC409" i="6"/>
  <c r="AC410" i="6"/>
  <c r="AC411" i="6"/>
  <c r="AC412" i="6"/>
  <c r="AC413" i="6"/>
  <c r="AC414" i="6"/>
  <c r="AC415" i="6"/>
  <c r="AC416" i="6"/>
  <c r="AC417" i="6"/>
  <c r="AC418" i="6"/>
  <c r="AC419" i="6"/>
  <c r="AC420" i="6"/>
  <c r="AC421" i="6"/>
  <c r="AC422" i="6"/>
  <c r="AC423" i="6"/>
  <c r="AC424" i="6"/>
  <c r="AC425" i="6"/>
  <c r="AC426" i="6"/>
  <c r="AC427" i="6"/>
  <c r="AC428" i="6"/>
  <c r="AC429" i="6"/>
  <c r="AC430" i="6"/>
  <c r="AC431" i="6"/>
  <c r="AC432" i="6"/>
  <c r="AC433" i="6"/>
  <c r="AC434" i="6"/>
  <c r="AC435" i="6"/>
  <c r="AC436" i="6"/>
  <c r="AC437" i="6"/>
  <c r="AC438" i="6"/>
  <c r="AC439" i="6"/>
  <c r="AC440" i="6"/>
  <c r="AC441" i="6"/>
  <c r="AC442" i="6"/>
  <c r="AC443" i="6"/>
  <c r="AC444" i="6"/>
  <c r="AC445" i="6"/>
  <c r="AC446" i="6"/>
  <c r="AC447" i="6"/>
  <c r="AC448" i="6"/>
  <c r="AC449" i="6"/>
  <c r="AC450" i="6"/>
  <c r="AC451" i="6"/>
  <c r="AC452" i="6"/>
  <c r="AC453" i="6"/>
  <c r="AC454" i="6"/>
  <c r="AC455" i="6"/>
  <c r="AC456" i="6"/>
  <c r="AC457" i="6"/>
  <c r="AC458" i="6"/>
  <c r="AC459" i="6"/>
  <c r="AC460" i="6"/>
  <c r="AC461" i="6"/>
  <c r="AC462" i="6"/>
  <c r="AC463" i="6"/>
  <c r="AC464" i="6"/>
  <c r="AC465" i="6"/>
  <c r="AC466" i="6"/>
  <c r="AC467" i="6"/>
  <c r="AC468" i="6"/>
  <c r="AC469" i="6"/>
  <c r="AC470" i="6"/>
  <c r="AC471" i="6"/>
  <c r="AC472" i="6"/>
  <c r="AC473" i="6"/>
  <c r="AC474" i="6"/>
  <c r="AC475" i="6"/>
  <c r="AC476" i="6"/>
  <c r="AC477" i="6"/>
  <c r="AC478" i="6"/>
  <c r="AC479" i="6"/>
  <c r="AC480" i="6"/>
  <c r="AC481" i="6"/>
  <c r="AC482" i="6"/>
  <c r="AC483" i="6"/>
  <c r="AC484" i="6"/>
  <c r="AC485" i="6"/>
  <c r="AC486" i="6"/>
  <c r="AC487" i="6"/>
  <c r="AC488" i="6"/>
  <c r="AC489" i="6"/>
  <c r="AC490" i="6"/>
  <c r="AC491" i="6"/>
  <c r="AC492" i="6"/>
  <c r="AC493" i="6"/>
  <c r="AC494" i="6"/>
  <c r="AC495" i="6"/>
  <c r="AC496" i="6"/>
  <c r="AC497" i="6"/>
  <c r="AC498" i="6"/>
  <c r="AC499" i="6"/>
  <c r="AC500" i="6"/>
  <c r="AC501" i="6"/>
  <c r="AC502" i="6"/>
  <c r="AC503" i="6"/>
  <c r="AC504" i="6"/>
  <c r="AC505" i="6"/>
  <c r="AC506" i="6"/>
  <c r="AC507" i="6"/>
  <c r="AC508" i="6"/>
  <c r="AC509" i="6"/>
  <c r="AC510" i="6"/>
  <c r="AC511" i="6"/>
  <c r="AC512" i="6"/>
  <c r="AC513" i="6"/>
  <c r="AC514" i="6"/>
  <c r="AC515" i="6"/>
  <c r="AC516" i="6"/>
  <c r="AC517" i="6"/>
  <c r="AC518" i="6"/>
  <c r="AC519" i="6"/>
  <c r="AC520" i="6"/>
  <c r="AC521" i="6"/>
  <c r="AC522" i="6"/>
  <c r="AC523" i="6"/>
  <c r="AC524" i="6"/>
  <c r="AC525" i="6"/>
  <c r="AC526" i="6"/>
  <c r="AC527" i="6"/>
  <c r="AC528" i="6"/>
  <c r="AC529" i="6"/>
  <c r="AC530" i="6"/>
  <c r="AC531" i="6"/>
  <c r="AC532" i="6"/>
  <c r="AC533" i="6"/>
  <c r="AC534" i="6"/>
  <c r="AC535" i="6"/>
  <c r="AC536" i="6"/>
  <c r="AC537" i="6"/>
  <c r="AC538" i="6"/>
  <c r="AC539" i="6"/>
  <c r="AC540" i="6"/>
  <c r="AC541" i="6"/>
  <c r="AC542" i="6"/>
  <c r="AC543" i="6"/>
  <c r="AC544" i="6"/>
  <c r="AC545" i="6"/>
  <c r="AC546" i="6"/>
  <c r="AC547" i="6"/>
  <c r="AC548" i="6"/>
  <c r="AC549" i="6"/>
  <c r="AC550" i="6"/>
  <c r="AC551" i="6"/>
  <c r="AC552" i="6"/>
  <c r="AC553" i="6"/>
  <c r="AC554" i="6"/>
  <c r="AC555" i="6"/>
  <c r="AC556" i="6"/>
  <c r="AC557" i="6"/>
  <c r="AC558" i="6"/>
  <c r="AC559" i="6"/>
  <c r="AC560" i="6"/>
  <c r="AC561" i="6"/>
  <c r="AC562" i="6"/>
  <c r="AC563" i="6"/>
  <c r="AC564" i="6"/>
  <c r="AC565" i="6"/>
  <c r="AC566" i="6"/>
  <c r="AC567" i="6"/>
  <c r="AC568" i="6"/>
  <c r="AC569" i="6"/>
  <c r="AC570" i="6"/>
  <c r="AC571" i="6"/>
  <c r="AC572" i="6"/>
  <c r="AC573" i="6"/>
  <c r="AC574" i="6"/>
  <c r="AC575" i="6"/>
  <c r="AC576" i="6"/>
  <c r="AC577" i="6"/>
  <c r="AC578" i="6"/>
  <c r="AC579" i="6"/>
  <c r="AC580" i="6"/>
  <c r="AC581" i="6"/>
  <c r="AC582" i="6"/>
  <c r="AC583" i="6"/>
  <c r="AC584" i="6"/>
  <c r="AC585" i="6"/>
  <c r="AC586" i="6"/>
  <c r="AC587" i="6"/>
  <c r="AC588" i="6"/>
  <c r="AC589" i="6"/>
  <c r="AC590" i="6"/>
  <c r="AC591" i="6"/>
  <c r="AC592" i="6"/>
  <c r="AC593" i="6"/>
  <c r="AC594" i="6"/>
  <c r="AC595" i="6"/>
  <c r="AC596" i="6"/>
  <c r="AC597" i="6"/>
  <c r="AC598" i="6"/>
  <c r="AC599" i="6"/>
  <c r="AC600" i="6"/>
  <c r="AC601" i="6"/>
  <c r="AC602" i="6"/>
  <c r="AC603" i="6"/>
  <c r="AC604" i="6"/>
  <c r="AC605" i="6"/>
  <c r="AC606" i="6"/>
  <c r="AC607" i="6"/>
  <c r="AC608" i="6"/>
  <c r="AC609" i="6"/>
  <c r="AC610" i="6"/>
  <c r="AC611" i="6"/>
  <c r="AC612" i="6"/>
  <c r="AC613" i="6"/>
  <c r="AC614" i="6"/>
  <c r="AC615" i="6"/>
  <c r="AC616" i="6"/>
  <c r="AC617" i="6"/>
  <c r="AC618" i="6"/>
  <c r="AC619" i="6"/>
  <c r="AC620" i="6"/>
  <c r="AC621" i="6"/>
  <c r="AC622" i="6"/>
  <c r="AC623" i="6"/>
  <c r="AC624" i="6"/>
  <c r="AC625" i="6"/>
  <c r="AC626" i="6"/>
  <c r="AC627" i="6"/>
  <c r="AC628" i="6"/>
  <c r="AC629" i="6"/>
  <c r="AC630" i="6"/>
  <c r="AC631" i="6"/>
  <c r="AC632" i="6"/>
  <c r="AC633" i="6"/>
  <c r="AC634" i="6"/>
  <c r="AC635" i="6"/>
  <c r="AC636" i="6"/>
  <c r="AC637" i="6"/>
  <c r="AC638" i="6"/>
  <c r="AC639" i="6"/>
  <c r="AC640" i="6"/>
  <c r="AC641" i="6"/>
  <c r="AC642" i="6"/>
  <c r="AC643" i="6"/>
  <c r="AC644" i="6"/>
  <c r="AC645" i="6"/>
  <c r="AC646" i="6"/>
  <c r="AC647" i="6"/>
  <c r="AC648" i="6"/>
  <c r="AC649" i="6"/>
  <c r="AC650" i="6"/>
  <c r="AC651" i="6"/>
  <c r="AC652" i="6"/>
  <c r="AC653" i="6"/>
  <c r="AC654" i="6"/>
  <c r="AC655" i="6"/>
  <c r="AC656" i="6"/>
  <c r="AC657" i="6"/>
  <c r="AC658" i="6"/>
  <c r="AC659" i="6"/>
  <c r="AC660" i="6"/>
  <c r="AC661" i="6"/>
  <c r="AC662" i="6"/>
  <c r="AC663" i="6"/>
  <c r="AC664" i="6"/>
  <c r="AC665" i="6"/>
  <c r="AC666" i="6"/>
  <c r="AC667" i="6"/>
  <c r="AC668" i="6"/>
  <c r="AC669" i="6"/>
  <c r="AC670" i="6"/>
  <c r="AC671" i="6"/>
  <c r="AC672" i="6"/>
  <c r="AC673" i="6"/>
  <c r="AC674" i="6"/>
  <c r="AC675" i="6"/>
  <c r="AC676" i="6"/>
  <c r="AC677" i="6"/>
  <c r="AC678" i="6"/>
  <c r="AC679" i="6"/>
  <c r="AC680" i="6"/>
  <c r="AC681" i="6"/>
  <c r="AC682" i="6"/>
  <c r="AC683" i="6"/>
  <c r="AC684" i="6"/>
  <c r="AC685" i="6"/>
  <c r="AC686" i="6"/>
  <c r="AC687" i="6"/>
  <c r="AC688" i="6"/>
  <c r="AC689" i="6"/>
  <c r="AC690" i="6"/>
  <c r="AC691" i="6"/>
  <c r="AC692" i="6"/>
  <c r="AC693" i="6"/>
  <c r="AC694" i="6"/>
  <c r="AC695" i="6"/>
  <c r="AC696" i="6"/>
  <c r="AC697" i="6"/>
  <c r="AC698" i="6"/>
  <c r="AC699" i="6"/>
  <c r="AC700" i="6"/>
  <c r="AC701" i="6"/>
  <c r="AC702" i="6"/>
  <c r="AC703" i="6"/>
  <c r="AC704" i="6"/>
  <c r="AC705" i="6"/>
  <c r="AC706" i="6"/>
  <c r="AC707" i="6"/>
  <c r="AC708" i="6"/>
  <c r="AC709" i="6"/>
  <c r="AC710" i="6"/>
  <c r="AC711" i="6"/>
  <c r="AC712" i="6"/>
  <c r="AC713" i="6"/>
  <c r="AC714" i="6"/>
  <c r="AC715" i="6"/>
  <c r="AC716" i="6"/>
  <c r="AC717" i="6"/>
  <c r="AC718" i="6"/>
  <c r="AC719" i="6"/>
  <c r="AC720" i="6"/>
  <c r="AC721" i="6"/>
  <c r="AC722" i="6"/>
  <c r="AC723" i="6"/>
  <c r="AC724" i="6"/>
  <c r="AC725" i="6"/>
  <c r="AC726" i="6"/>
  <c r="AC727" i="6"/>
  <c r="AC728" i="6"/>
  <c r="AC729" i="6"/>
  <c r="AC730" i="6"/>
  <c r="AC731" i="6"/>
  <c r="AC732" i="6"/>
  <c r="AC733" i="6"/>
  <c r="AC734" i="6"/>
  <c r="AC735" i="6"/>
  <c r="AC736" i="6"/>
  <c r="AC737" i="6"/>
  <c r="AC738" i="6"/>
  <c r="AC739" i="6"/>
  <c r="AC740" i="6"/>
  <c r="AC741" i="6"/>
  <c r="AC742" i="6"/>
  <c r="AC743" i="6"/>
  <c r="AC744" i="6"/>
  <c r="AC745" i="6"/>
  <c r="AC746" i="6"/>
  <c r="AC747" i="6"/>
  <c r="AC748" i="6"/>
  <c r="AC749" i="6"/>
  <c r="AC750" i="6"/>
  <c r="AC751" i="6"/>
  <c r="AC752" i="6"/>
  <c r="AC753" i="6"/>
  <c r="AC754" i="6"/>
  <c r="AC755" i="6"/>
  <c r="AC756" i="6"/>
  <c r="AC757" i="6"/>
  <c r="AC758" i="6"/>
  <c r="AC759" i="6"/>
  <c r="AC760" i="6"/>
  <c r="AC761" i="6"/>
  <c r="AC762" i="6"/>
  <c r="AC763" i="6"/>
  <c r="AC764" i="6"/>
  <c r="AC765" i="6"/>
  <c r="AC766" i="6"/>
  <c r="AC767" i="6"/>
  <c r="AC768" i="6"/>
  <c r="AC769" i="6"/>
  <c r="AC770" i="6"/>
  <c r="AC771" i="6"/>
  <c r="AC772" i="6"/>
  <c r="AC773" i="6"/>
  <c r="AC774" i="6"/>
  <c r="AC775" i="6"/>
  <c r="AC776" i="6"/>
  <c r="AC777" i="6"/>
  <c r="AC778" i="6"/>
  <c r="AC779" i="6"/>
  <c r="AC780" i="6"/>
  <c r="AC781" i="6"/>
  <c r="AC782" i="6"/>
  <c r="AC783" i="6"/>
  <c r="AC784" i="6"/>
  <c r="AC785" i="6"/>
  <c r="AC786" i="6"/>
  <c r="AC787" i="6"/>
  <c r="AC788" i="6"/>
  <c r="AC789" i="6"/>
  <c r="AC790" i="6"/>
  <c r="AC791" i="6"/>
  <c r="AC792" i="6"/>
  <c r="AC793" i="6"/>
  <c r="AC794" i="6"/>
  <c r="AC795" i="6"/>
  <c r="AC796" i="6"/>
  <c r="AC797" i="6"/>
  <c r="AC798" i="6"/>
  <c r="AC799" i="6"/>
  <c r="AC800" i="6"/>
  <c r="AC801" i="6"/>
  <c r="AC802" i="6"/>
  <c r="AC803" i="6"/>
  <c r="AC804" i="6"/>
  <c r="AC805" i="6"/>
  <c r="AC806" i="6"/>
  <c r="AC807" i="6"/>
  <c r="AC808" i="6"/>
  <c r="AC809" i="6"/>
  <c r="AB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B61" i="6"/>
  <c r="AB62" i="6"/>
  <c r="AB63" i="6"/>
  <c r="AB64" i="6"/>
  <c r="AB65" i="6"/>
  <c r="AB66" i="6"/>
  <c r="AB67" i="6"/>
  <c r="AB68" i="6"/>
  <c r="AB69" i="6"/>
  <c r="AB70" i="6"/>
  <c r="AB71" i="6"/>
  <c r="AB72" i="6"/>
  <c r="AB73" i="6"/>
  <c r="AB74" i="6"/>
  <c r="AB75" i="6"/>
  <c r="AB76" i="6"/>
  <c r="AB77" i="6"/>
  <c r="AB78" i="6"/>
  <c r="AB79" i="6"/>
  <c r="AB80" i="6"/>
  <c r="AB81" i="6"/>
  <c r="AB82" i="6"/>
  <c r="AB83" i="6"/>
  <c r="AB84" i="6"/>
  <c r="AB85" i="6"/>
  <c r="AB86" i="6"/>
  <c r="AB87" i="6"/>
  <c r="AB88" i="6"/>
  <c r="AB89" i="6"/>
  <c r="AB90" i="6"/>
  <c r="AB91" i="6"/>
  <c r="AB92" i="6"/>
  <c r="AB93" i="6"/>
  <c r="AB94" i="6"/>
  <c r="AB95" i="6"/>
  <c r="AB96" i="6"/>
  <c r="AB97" i="6"/>
  <c r="AB98" i="6"/>
  <c r="AB99" i="6"/>
  <c r="AB100" i="6"/>
  <c r="AB101" i="6"/>
  <c r="AB102" i="6"/>
  <c r="AB103" i="6"/>
  <c r="AB104" i="6"/>
  <c r="AB105" i="6"/>
  <c r="AB106" i="6"/>
  <c r="AB107" i="6"/>
  <c r="AB108" i="6"/>
  <c r="AB109" i="6"/>
  <c r="AB110" i="6"/>
  <c r="AB111" i="6"/>
  <c r="AB112" i="6"/>
  <c r="AB113" i="6"/>
  <c r="AB114" i="6"/>
  <c r="AB115" i="6"/>
  <c r="AB116" i="6"/>
  <c r="AB117" i="6"/>
  <c r="AB118" i="6"/>
  <c r="AB119" i="6"/>
  <c r="AB120" i="6"/>
  <c r="AB121" i="6"/>
  <c r="AB122" i="6"/>
  <c r="AB123" i="6"/>
  <c r="AB124" i="6"/>
  <c r="AB125" i="6"/>
  <c r="AB126" i="6"/>
  <c r="AB127" i="6"/>
  <c r="AB128" i="6"/>
  <c r="AB129" i="6"/>
  <c r="AB130" i="6"/>
  <c r="AB131" i="6"/>
  <c r="AB132" i="6"/>
  <c r="AB133" i="6"/>
  <c r="AB134" i="6"/>
  <c r="AB135" i="6"/>
  <c r="AB136" i="6"/>
  <c r="AB137" i="6"/>
  <c r="AB138" i="6"/>
  <c r="AB139" i="6"/>
  <c r="AB140" i="6"/>
  <c r="AB141" i="6"/>
  <c r="AB142" i="6"/>
  <c r="AB143" i="6"/>
  <c r="AB144" i="6"/>
  <c r="AB145" i="6"/>
  <c r="AB146" i="6"/>
  <c r="AB147" i="6"/>
  <c r="AB148" i="6"/>
  <c r="AB149" i="6"/>
  <c r="AB150" i="6"/>
  <c r="AB151" i="6"/>
  <c r="AB152" i="6"/>
  <c r="AB153" i="6"/>
  <c r="AB154" i="6"/>
  <c r="AB155" i="6"/>
  <c r="AB156" i="6"/>
  <c r="AB157" i="6"/>
  <c r="AB158" i="6"/>
  <c r="AB159" i="6"/>
  <c r="AB160" i="6"/>
  <c r="AB161" i="6"/>
  <c r="AB162" i="6"/>
  <c r="AB163" i="6"/>
  <c r="AB164" i="6"/>
  <c r="AB165" i="6"/>
  <c r="AB166" i="6"/>
  <c r="AB167" i="6"/>
  <c r="AB168" i="6"/>
  <c r="AB169" i="6"/>
  <c r="AB170" i="6"/>
  <c r="AB171" i="6"/>
  <c r="AB172" i="6"/>
  <c r="AB173" i="6"/>
  <c r="AB174" i="6"/>
  <c r="AB175" i="6"/>
  <c r="AB176" i="6"/>
  <c r="AB177" i="6"/>
  <c r="AB178" i="6"/>
  <c r="AB179" i="6"/>
  <c r="AB180" i="6"/>
  <c r="AB181" i="6"/>
  <c r="AB182" i="6"/>
  <c r="AB183" i="6"/>
  <c r="AB184" i="6"/>
  <c r="AB185" i="6"/>
  <c r="AB186" i="6"/>
  <c r="AB187" i="6"/>
  <c r="AB188" i="6"/>
  <c r="AB189" i="6"/>
  <c r="AB190" i="6"/>
  <c r="AB191" i="6"/>
  <c r="AB192" i="6"/>
  <c r="AB193" i="6"/>
  <c r="AB194" i="6"/>
  <c r="AB195" i="6"/>
  <c r="AB196" i="6"/>
  <c r="AB197" i="6"/>
  <c r="AB198" i="6"/>
  <c r="AB199" i="6"/>
  <c r="AB200" i="6"/>
  <c r="AB201" i="6"/>
  <c r="AB202" i="6"/>
  <c r="AB203" i="6"/>
  <c r="AB204" i="6"/>
  <c r="AB205" i="6"/>
  <c r="AB206" i="6"/>
  <c r="AB207" i="6"/>
  <c r="AB208" i="6"/>
  <c r="AB209" i="6"/>
  <c r="AB210" i="6"/>
  <c r="AB211" i="6"/>
  <c r="AB212" i="6"/>
  <c r="AB213" i="6"/>
  <c r="AB214" i="6"/>
  <c r="AB215" i="6"/>
  <c r="AB216" i="6"/>
  <c r="AB217" i="6"/>
  <c r="AB218" i="6"/>
  <c r="AB219" i="6"/>
  <c r="AB220" i="6"/>
  <c r="AB221" i="6"/>
  <c r="AB222" i="6"/>
  <c r="AB223" i="6"/>
  <c r="AB224" i="6"/>
  <c r="AB225" i="6"/>
  <c r="AB226" i="6"/>
  <c r="AB227" i="6"/>
  <c r="AB228" i="6"/>
  <c r="AB229" i="6"/>
  <c r="AB230" i="6"/>
  <c r="AB231" i="6"/>
  <c r="AB232" i="6"/>
  <c r="AB233" i="6"/>
  <c r="AB234" i="6"/>
  <c r="AB235" i="6"/>
  <c r="AB236" i="6"/>
  <c r="AB237" i="6"/>
  <c r="AB238" i="6"/>
  <c r="AB239" i="6"/>
  <c r="AB240" i="6"/>
  <c r="AB241" i="6"/>
  <c r="AB242" i="6"/>
  <c r="AB243" i="6"/>
  <c r="AB244" i="6"/>
  <c r="AB245" i="6"/>
  <c r="AB246" i="6"/>
  <c r="AB247" i="6"/>
  <c r="AB248" i="6"/>
  <c r="AB249" i="6"/>
  <c r="AB250" i="6"/>
  <c r="AB251" i="6"/>
  <c r="AB252" i="6"/>
  <c r="AB253" i="6"/>
  <c r="AB254" i="6"/>
  <c r="AB255" i="6"/>
  <c r="AB256" i="6"/>
  <c r="AB257" i="6"/>
  <c r="AB258" i="6"/>
  <c r="AB259" i="6"/>
  <c r="AB260" i="6"/>
  <c r="AB261" i="6"/>
  <c r="AB262" i="6"/>
  <c r="AB263" i="6"/>
  <c r="AB264" i="6"/>
  <c r="AB265" i="6"/>
  <c r="AB266" i="6"/>
  <c r="AB267" i="6"/>
  <c r="AB268" i="6"/>
  <c r="AB269" i="6"/>
  <c r="AB270" i="6"/>
  <c r="AB271" i="6"/>
  <c r="AB272" i="6"/>
  <c r="AB273" i="6"/>
  <c r="AB274" i="6"/>
  <c r="AB275" i="6"/>
  <c r="AB276" i="6"/>
  <c r="AB277" i="6"/>
  <c r="AB278" i="6"/>
  <c r="AB279" i="6"/>
  <c r="AB280" i="6"/>
  <c r="AB281" i="6"/>
  <c r="AB282" i="6"/>
  <c r="AB283" i="6"/>
  <c r="AB284" i="6"/>
  <c r="AB285" i="6"/>
  <c r="AB286" i="6"/>
  <c r="AB287" i="6"/>
  <c r="AB288" i="6"/>
  <c r="AB289" i="6"/>
  <c r="AB290" i="6"/>
  <c r="AB291" i="6"/>
  <c r="AB292" i="6"/>
  <c r="AB293" i="6"/>
  <c r="AB294" i="6"/>
  <c r="AB295" i="6"/>
  <c r="AB296" i="6"/>
  <c r="AB297" i="6"/>
  <c r="AB298" i="6"/>
  <c r="AB299" i="6"/>
  <c r="AB300" i="6"/>
  <c r="AB301" i="6"/>
  <c r="AB302" i="6"/>
  <c r="AB303" i="6"/>
  <c r="AB304" i="6"/>
  <c r="AB305" i="6"/>
  <c r="AB306" i="6"/>
  <c r="AB307" i="6"/>
  <c r="AB308" i="6"/>
  <c r="AB309" i="6"/>
  <c r="AB310" i="6"/>
  <c r="AB311" i="6"/>
  <c r="AB312" i="6"/>
  <c r="AB313" i="6"/>
  <c r="AB314" i="6"/>
  <c r="AB315" i="6"/>
  <c r="AB316" i="6"/>
  <c r="AB317" i="6"/>
  <c r="AB318" i="6"/>
  <c r="AB319" i="6"/>
  <c r="AB320" i="6"/>
  <c r="AB321" i="6"/>
  <c r="AB322" i="6"/>
  <c r="AB323" i="6"/>
  <c r="AB324" i="6"/>
  <c r="AB325" i="6"/>
  <c r="AB326" i="6"/>
  <c r="AB327" i="6"/>
  <c r="AB328" i="6"/>
  <c r="AB329" i="6"/>
  <c r="AB330" i="6"/>
  <c r="AB331" i="6"/>
  <c r="AB332" i="6"/>
  <c r="AB333" i="6"/>
  <c r="AB334" i="6"/>
  <c r="AB335" i="6"/>
  <c r="AB336" i="6"/>
  <c r="AB337" i="6"/>
  <c r="AB338" i="6"/>
  <c r="AB339" i="6"/>
  <c r="AB340" i="6"/>
  <c r="AB341" i="6"/>
  <c r="AB342" i="6"/>
  <c r="AB343" i="6"/>
  <c r="AB344" i="6"/>
  <c r="AB345" i="6"/>
  <c r="AB346" i="6"/>
  <c r="AB347" i="6"/>
  <c r="AB348" i="6"/>
  <c r="AB349" i="6"/>
  <c r="AB350" i="6"/>
  <c r="AB351" i="6"/>
  <c r="AB352" i="6"/>
  <c r="AB353" i="6"/>
  <c r="AB354" i="6"/>
  <c r="AB355" i="6"/>
  <c r="AB356" i="6"/>
  <c r="AB357" i="6"/>
  <c r="AB358" i="6"/>
  <c r="AB359" i="6"/>
  <c r="AB360" i="6"/>
  <c r="AB361" i="6"/>
  <c r="AB362" i="6"/>
  <c r="AB363" i="6"/>
  <c r="AB364" i="6"/>
  <c r="AB365" i="6"/>
  <c r="AB366" i="6"/>
  <c r="AB367" i="6"/>
  <c r="AB368" i="6"/>
  <c r="AB369" i="6"/>
  <c r="AB370" i="6"/>
  <c r="AB371" i="6"/>
  <c r="AB372" i="6"/>
  <c r="AB373" i="6"/>
  <c r="AB374" i="6"/>
  <c r="AB375" i="6"/>
  <c r="AB376" i="6"/>
  <c r="AB377" i="6"/>
  <c r="AB378" i="6"/>
  <c r="AB379" i="6"/>
  <c r="AB380" i="6"/>
  <c r="AB381" i="6"/>
  <c r="AB382" i="6"/>
  <c r="AB383" i="6"/>
  <c r="AB384" i="6"/>
  <c r="AB385" i="6"/>
  <c r="AB386" i="6"/>
  <c r="AB387" i="6"/>
  <c r="AB388" i="6"/>
  <c r="AB389" i="6"/>
  <c r="AB390" i="6"/>
  <c r="AB391" i="6"/>
  <c r="AB392" i="6"/>
  <c r="AB393" i="6"/>
  <c r="AB394" i="6"/>
  <c r="AB395" i="6"/>
  <c r="AB396" i="6"/>
  <c r="AB397" i="6"/>
  <c r="AB398" i="6"/>
  <c r="AB399" i="6"/>
  <c r="AB400" i="6"/>
  <c r="AB401" i="6"/>
  <c r="AB402" i="6"/>
  <c r="AB403" i="6"/>
  <c r="AB404" i="6"/>
  <c r="AB405" i="6"/>
  <c r="AB406" i="6"/>
  <c r="AB407" i="6"/>
  <c r="AB408" i="6"/>
  <c r="AB409" i="6"/>
  <c r="AB410" i="6"/>
  <c r="AB411" i="6"/>
  <c r="AB412" i="6"/>
  <c r="AB413" i="6"/>
  <c r="AB414" i="6"/>
  <c r="AB415" i="6"/>
  <c r="AB416" i="6"/>
  <c r="AB417" i="6"/>
  <c r="AB418" i="6"/>
  <c r="AB419" i="6"/>
  <c r="AB420" i="6"/>
  <c r="AB421" i="6"/>
  <c r="AB422" i="6"/>
  <c r="AB423" i="6"/>
  <c r="AB424" i="6"/>
  <c r="AB425" i="6"/>
  <c r="AB426" i="6"/>
  <c r="AB427" i="6"/>
  <c r="AB428" i="6"/>
  <c r="AB429" i="6"/>
  <c r="AB430" i="6"/>
  <c r="AB431" i="6"/>
  <c r="AB432" i="6"/>
  <c r="AB433" i="6"/>
  <c r="AB434" i="6"/>
  <c r="AB435" i="6"/>
  <c r="AB436" i="6"/>
  <c r="AB437" i="6"/>
  <c r="AB438" i="6"/>
  <c r="AB439" i="6"/>
  <c r="AB440" i="6"/>
  <c r="AB441" i="6"/>
  <c r="AB442" i="6"/>
  <c r="AB443" i="6"/>
  <c r="AB444" i="6"/>
  <c r="AB445" i="6"/>
  <c r="AB446" i="6"/>
  <c r="AB447" i="6"/>
  <c r="AB448" i="6"/>
  <c r="AB449" i="6"/>
  <c r="AB450" i="6"/>
  <c r="AB451" i="6"/>
  <c r="AB452" i="6"/>
  <c r="AB453" i="6"/>
  <c r="AB454" i="6"/>
  <c r="AB455" i="6"/>
  <c r="AB456" i="6"/>
  <c r="AB457" i="6"/>
  <c r="AB458" i="6"/>
  <c r="AB459" i="6"/>
  <c r="AB460" i="6"/>
  <c r="AB461" i="6"/>
  <c r="AB462" i="6"/>
  <c r="AB463" i="6"/>
  <c r="AB464" i="6"/>
  <c r="AB465" i="6"/>
  <c r="AB466" i="6"/>
  <c r="AB467" i="6"/>
  <c r="AB468" i="6"/>
  <c r="AB469" i="6"/>
  <c r="AB470" i="6"/>
  <c r="AB471" i="6"/>
  <c r="AB472" i="6"/>
  <c r="AB473" i="6"/>
  <c r="AB474" i="6"/>
  <c r="AB475" i="6"/>
  <c r="AB476" i="6"/>
  <c r="AB477" i="6"/>
  <c r="AB478" i="6"/>
  <c r="AB479" i="6"/>
  <c r="AB480" i="6"/>
  <c r="AB481" i="6"/>
  <c r="AB482" i="6"/>
  <c r="AB483" i="6"/>
  <c r="AB484" i="6"/>
  <c r="AB485" i="6"/>
  <c r="AB486" i="6"/>
  <c r="AB487" i="6"/>
  <c r="AB488" i="6"/>
  <c r="AB489" i="6"/>
  <c r="AB490" i="6"/>
  <c r="AB491" i="6"/>
  <c r="AB492" i="6"/>
  <c r="AB493" i="6"/>
  <c r="AB494" i="6"/>
  <c r="AB495" i="6"/>
  <c r="AB496" i="6"/>
  <c r="AB497" i="6"/>
  <c r="AB498" i="6"/>
  <c r="AB499" i="6"/>
  <c r="AB500" i="6"/>
  <c r="AB501" i="6"/>
  <c r="AB502" i="6"/>
  <c r="AB503" i="6"/>
  <c r="AB504" i="6"/>
  <c r="AB505" i="6"/>
  <c r="AB506" i="6"/>
  <c r="AB507" i="6"/>
  <c r="AB508" i="6"/>
  <c r="AB509" i="6"/>
  <c r="AB510" i="6"/>
  <c r="AB511" i="6"/>
  <c r="AB512" i="6"/>
  <c r="AB513" i="6"/>
  <c r="AB514" i="6"/>
  <c r="AB515" i="6"/>
  <c r="AB516" i="6"/>
  <c r="AB517" i="6"/>
  <c r="AB518" i="6"/>
  <c r="AB519" i="6"/>
  <c r="AB520" i="6"/>
  <c r="AB521" i="6"/>
  <c r="AB522" i="6"/>
  <c r="AB523" i="6"/>
  <c r="AB524" i="6"/>
  <c r="AB525" i="6"/>
  <c r="AB526" i="6"/>
  <c r="AB527" i="6"/>
  <c r="AB528" i="6"/>
  <c r="AB529" i="6"/>
  <c r="AB530" i="6"/>
  <c r="AB531" i="6"/>
  <c r="AB532" i="6"/>
  <c r="AB533" i="6"/>
  <c r="AB534" i="6"/>
  <c r="AB535" i="6"/>
  <c r="AB536" i="6"/>
  <c r="AB537" i="6"/>
  <c r="AB538" i="6"/>
  <c r="AB539" i="6"/>
  <c r="AB540" i="6"/>
  <c r="AB541" i="6"/>
  <c r="AB542" i="6"/>
  <c r="AB543" i="6"/>
  <c r="AB544" i="6"/>
  <c r="AB545" i="6"/>
  <c r="AB546" i="6"/>
  <c r="AB547" i="6"/>
  <c r="AB548" i="6"/>
  <c r="AB549" i="6"/>
  <c r="AB550" i="6"/>
  <c r="AB551" i="6"/>
  <c r="AB552" i="6"/>
  <c r="AB553" i="6"/>
  <c r="AB554" i="6"/>
  <c r="AB555" i="6"/>
  <c r="AB556" i="6"/>
  <c r="AB557" i="6"/>
  <c r="AB558" i="6"/>
  <c r="AB559" i="6"/>
  <c r="AB560" i="6"/>
  <c r="AB561" i="6"/>
  <c r="AB562" i="6"/>
  <c r="AB563" i="6"/>
  <c r="AB564" i="6"/>
  <c r="AB565" i="6"/>
  <c r="AB566" i="6"/>
  <c r="AB567" i="6"/>
  <c r="AB568" i="6"/>
  <c r="AB569" i="6"/>
  <c r="AB570" i="6"/>
  <c r="AB571" i="6"/>
  <c r="AB572" i="6"/>
  <c r="AB573" i="6"/>
  <c r="AB574" i="6"/>
  <c r="AB575" i="6"/>
  <c r="AB576" i="6"/>
  <c r="AB577" i="6"/>
  <c r="AB578" i="6"/>
  <c r="AB579" i="6"/>
  <c r="AB580" i="6"/>
  <c r="AB581" i="6"/>
  <c r="AB582" i="6"/>
  <c r="AB583" i="6"/>
  <c r="AB584" i="6"/>
  <c r="AB585" i="6"/>
  <c r="AB586" i="6"/>
  <c r="AB587" i="6"/>
  <c r="AB588" i="6"/>
  <c r="AB589" i="6"/>
  <c r="AB590" i="6"/>
  <c r="AB591" i="6"/>
  <c r="AB592" i="6"/>
  <c r="AB593" i="6"/>
  <c r="AB594" i="6"/>
  <c r="AB595" i="6"/>
  <c r="AB596" i="6"/>
  <c r="AB597" i="6"/>
  <c r="AB598" i="6"/>
  <c r="AB599" i="6"/>
  <c r="AB600" i="6"/>
  <c r="AB601" i="6"/>
  <c r="AB602" i="6"/>
  <c r="AB603" i="6"/>
  <c r="AB604" i="6"/>
  <c r="AB605" i="6"/>
  <c r="AB606" i="6"/>
  <c r="AB607" i="6"/>
  <c r="AB608" i="6"/>
  <c r="AB609" i="6"/>
  <c r="AB610" i="6"/>
  <c r="AB611" i="6"/>
  <c r="AB612" i="6"/>
  <c r="AB613" i="6"/>
  <c r="AB614" i="6"/>
  <c r="AB615" i="6"/>
  <c r="AB616" i="6"/>
  <c r="AB617" i="6"/>
  <c r="AB618" i="6"/>
  <c r="AB619" i="6"/>
  <c r="AB620" i="6"/>
  <c r="AB621" i="6"/>
  <c r="AB622" i="6"/>
  <c r="AB623" i="6"/>
  <c r="AB624" i="6"/>
  <c r="AB625" i="6"/>
  <c r="AB626" i="6"/>
  <c r="AB627" i="6"/>
  <c r="AB628" i="6"/>
  <c r="AB629" i="6"/>
  <c r="AB630" i="6"/>
  <c r="AB631" i="6"/>
  <c r="AB632" i="6"/>
  <c r="AB633" i="6"/>
  <c r="AB634" i="6"/>
  <c r="AB635" i="6"/>
  <c r="AB636" i="6"/>
  <c r="AB637" i="6"/>
  <c r="AB638" i="6"/>
  <c r="AB639" i="6"/>
  <c r="AB640" i="6"/>
  <c r="AB641" i="6"/>
  <c r="AB642" i="6"/>
  <c r="AB643" i="6"/>
  <c r="AB644" i="6"/>
  <c r="AB645" i="6"/>
  <c r="AB646" i="6"/>
  <c r="AB647" i="6"/>
  <c r="AB648" i="6"/>
  <c r="AB649" i="6"/>
  <c r="AB650" i="6"/>
  <c r="AB651" i="6"/>
  <c r="AB652" i="6"/>
  <c r="AB653" i="6"/>
  <c r="AB654" i="6"/>
  <c r="AB655" i="6"/>
  <c r="AB656" i="6"/>
  <c r="AB657" i="6"/>
  <c r="AB658" i="6"/>
  <c r="AB659" i="6"/>
  <c r="AB660" i="6"/>
  <c r="AB661" i="6"/>
  <c r="AB662" i="6"/>
  <c r="AB663" i="6"/>
  <c r="AB664" i="6"/>
  <c r="AB665" i="6"/>
  <c r="AB666" i="6"/>
  <c r="AB667" i="6"/>
  <c r="AB668" i="6"/>
  <c r="AB669" i="6"/>
  <c r="AB670" i="6"/>
  <c r="AB671" i="6"/>
  <c r="AB672" i="6"/>
  <c r="AB673" i="6"/>
  <c r="AB674" i="6"/>
  <c r="AB675" i="6"/>
  <c r="AB676" i="6"/>
  <c r="AB677" i="6"/>
  <c r="AB678" i="6"/>
  <c r="AB679" i="6"/>
  <c r="AB680" i="6"/>
  <c r="AB681" i="6"/>
  <c r="AB682" i="6"/>
  <c r="AB683" i="6"/>
  <c r="AB684" i="6"/>
  <c r="AB685" i="6"/>
  <c r="AB686" i="6"/>
  <c r="AB687" i="6"/>
  <c r="AB688" i="6"/>
  <c r="AB689" i="6"/>
  <c r="AB690" i="6"/>
  <c r="AB691" i="6"/>
  <c r="AB692" i="6"/>
  <c r="AB693" i="6"/>
  <c r="AB694" i="6"/>
  <c r="AB695" i="6"/>
  <c r="AB696" i="6"/>
  <c r="AB697" i="6"/>
  <c r="AB698" i="6"/>
  <c r="AB699" i="6"/>
  <c r="AB700" i="6"/>
  <c r="AB701" i="6"/>
  <c r="AB702" i="6"/>
  <c r="AB703" i="6"/>
  <c r="AB704" i="6"/>
  <c r="AB705" i="6"/>
  <c r="AB706" i="6"/>
  <c r="AB707" i="6"/>
  <c r="AB708" i="6"/>
  <c r="AB709" i="6"/>
  <c r="AB710" i="6"/>
  <c r="AB711" i="6"/>
  <c r="AB712" i="6"/>
  <c r="AB713" i="6"/>
  <c r="AB714" i="6"/>
  <c r="AB715" i="6"/>
  <c r="AB716" i="6"/>
  <c r="AB717" i="6"/>
  <c r="AB718" i="6"/>
  <c r="AB719" i="6"/>
  <c r="AB720" i="6"/>
  <c r="AB721" i="6"/>
  <c r="AB722" i="6"/>
  <c r="AB723" i="6"/>
  <c r="AB724" i="6"/>
  <c r="AB725" i="6"/>
  <c r="AB726" i="6"/>
  <c r="AB727" i="6"/>
  <c r="AB728" i="6"/>
  <c r="AB729" i="6"/>
  <c r="AB730" i="6"/>
  <c r="AB731" i="6"/>
  <c r="AB732" i="6"/>
  <c r="AB733" i="6"/>
  <c r="AB734" i="6"/>
  <c r="AB735" i="6"/>
  <c r="AB736" i="6"/>
  <c r="AB737" i="6"/>
  <c r="AB738" i="6"/>
  <c r="AB739" i="6"/>
  <c r="AB740" i="6"/>
  <c r="AB741" i="6"/>
  <c r="AB742" i="6"/>
  <c r="AB743" i="6"/>
  <c r="AB744" i="6"/>
  <c r="AB745" i="6"/>
  <c r="AB746" i="6"/>
  <c r="AB747" i="6"/>
  <c r="AB748" i="6"/>
  <c r="AB749" i="6"/>
  <c r="AB750" i="6"/>
  <c r="AB751" i="6"/>
  <c r="AB752" i="6"/>
  <c r="AB753" i="6"/>
  <c r="AB754" i="6"/>
  <c r="AB755" i="6"/>
  <c r="AB756" i="6"/>
  <c r="AB757" i="6"/>
  <c r="AB758" i="6"/>
  <c r="AB759" i="6"/>
  <c r="AB760" i="6"/>
  <c r="AB761" i="6"/>
  <c r="AB762" i="6"/>
  <c r="AB763" i="6"/>
  <c r="AB764" i="6"/>
  <c r="AB765" i="6"/>
  <c r="AB766" i="6"/>
  <c r="AB767" i="6"/>
  <c r="AB768" i="6"/>
  <c r="AB769" i="6"/>
  <c r="AB770" i="6"/>
  <c r="AB771" i="6"/>
  <c r="AB772" i="6"/>
  <c r="AB773" i="6"/>
  <c r="AB774" i="6"/>
  <c r="AB775" i="6"/>
  <c r="AB776" i="6"/>
  <c r="AB777" i="6"/>
  <c r="AB778" i="6"/>
  <c r="AB779" i="6"/>
  <c r="AB780" i="6"/>
  <c r="AB781" i="6"/>
  <c r="AB782" i="6"/>
  <c r="AB783" i="6"/>
  <c r="AB784" i="6"/>
  <c r="AB785" i="6"/>
  <c r="AB786" i="6"/>
  <c r="AB787" i="6"/>
  <c r="AB788" i="6"/>
  <c r="AB789" i="6"/>
  <c r="AB790" i="6"/>
  <c r="AB791" i="6"/>
  <c r="AB792" i="6"/>
  <c r="AB793" i="6"/>
  <c r="AB794" i="6"/>
  <c r="AB795" i="6"/>
  <c r="AB796" i="6"/>
  <c r="AB797" i="6"/>
  <c r="AB798" i="6"/>
  <c r="AB799" i="6"/>
  <c r="AB800" i="6"/>
  <c r="AB801" i="6"/>
  <c r="AB802" i="6"/>
  <c r="AB803" i="6"/>
  <c r="AB804" i="6"/>
  <c r="AB805" i="6"/>
  <c r="AB806" i="6"/>
  <c r="AB807" i="6"/>
  <c r="AB808" i="6"/>
  <c r="AB809" i="6"/>
  <c r="AA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402" i="6"/>
  <c r="AA403" i="6"/>
  <c r="AA404" i="6"/>
  <c r="AA405" i="6"/>
  <c r="AA406" i="6"/>
  <c r="AA407" i="6"/>
  <c r="AA408" i="6"/>
  <c r="AA409" i="6"/>
  <c r="AA410" i="6"/>
  <c r="AA411" i="6"/>
  <c r="AA412" i="6"/>
  <c r="AA413" i="6"/>
  <c r="AA414" i="6"/>
  <c r="AA415" i="6"/>
  <c r="AA416" i="6"/>
  <c r="AA417" i="6"/>
  <c r="AA418" i="6"/>
  <c r="AA419" i="6"/>
  <c r="AA420" i="6"/>
  <c r="AA421" i="6"/>
  <c r="AA422" i="6"/>
  <c r="AA423" i="6"/>
  <c r="AA424" i="6"/>
  <c r="AA425" i="6"/>
  <c r="AA426" i="6"/>
  <c r="AA427" i="6"/>
  <c r="AA428" i="6"/>
  <c r="AA429" i="6"/>
  <c r="AA430" i="6"/>
  <c r="AA431" i="6"/>
  <c r="AA432" i="6"/>
  <c r="AA433" i="6"/>
  <c r="AA434" i="6"/>
  <c r="AA435" i="6"/>
  <c r="AA436" i="6"/>
  <c r="AA437" i="6"/>
  <c r="AA438" i="6"/>
  <c r="AA439" i="6"/>
  <c r="AA440" i="6"/>
  <c r="AA441" i="6"/>
  <c r="AA442" i="6"/>
  <c r="AA443" i="6"/>
  <c r="AA444" i="6"/>
  <c r="AA445" i="6"/>
  <c r="AA446" i="6"/>
  <c r="AA447" i="6"/>
  <c r="AA448" i="6"/>
  <c r="AA449" i="6"/>
  <c r="AA450" i="6"/>
  <c r="AA451" i="6"/>
  <c r="AA452" i="6"/>
  <c r="AA453" i="6"/>
  <c r="AA454" i="6"/>
  <c r="AA455" i="6"/>
  <c r="AA456" i="6"/>
  <c r="AA457" i="6"/>
  <c r="AA458" i="6"/>
  <c r="AA459" i="6"/>
  <c r="AA460" i="6"/>
  <c r="AA461" i="6"/>
  <c r="AA462" i="6"/>
  <c r="AA463" i="6"/>
  <c r="AA464" i="6"/>
  <c r="AA465" i="6"/>
  <c r="AA466" i="6"/>
  <c r="AA467" i="6"/>
  <c r="AA468" i="6"/>
  <c r="AA469" i="6"/>
  <c r="AA470" i="6"/>
  <c r="AA471" i="6"/>
  <c r="AA472" i="6"/>
  <c r="AA473" i="6"/>
  <c r="AA474" i="6"/>
  <c r="AA475" i="6"/>
  <c r="AA476" i="6"/>
  <c r="AA477" i="6"/>
  <c r="AA478" i="6"/>
  <c r="AA479" i="6"/>
  <c r="AA480" i="6"/>
  <c r="AA481" i="6"/>
  <c r="AA482" i="6"/>
  <c r="AA483" i="6"/>
  <c r="AA484" i="6"/>
  <c r="AA485" i="6"/>
  <c r="AA486" i="6"/>
  <c r="AA487" i="6"/>
  <c r="AA488" i="6"/>
  <c r="AA489" i="6"/>
  <c r="AA490" i="6"/>
  <c r="AA491" i="6"/>
  <c r="AA492" i="6"/>
  <c r="AA493" i="6"/>
  <c r="AA494" i="6"/>
  <c r="AA495" i="6"/>
  <c r="AA496" i="6"/>
  <c r="AA497" i="6"/>
  <c r="AA498" i="6"/>
  <c r="AA499" i="6"/>
  <c r="AA500" i="6"/>
  <c r="AA501" i="6"/>
  <c r="AA502" i="6"/>
  <c r="AA503" i="6"/>
  <c r="AA504" i="6"/>
  <c r="AA505" i="6"/>
  <c r="AA506" i="6"/>
  <c r="AA507" i="6"/>
  <c r="AA508" i="6"/>
  <c r="AA509" i="6"/>
  <c r="AA510" i="6"/>
  <c r="AA511" i="6"/>
  <c r="AA512" i="6"/>
  <c r="AA513" i="6"/>
  <c r="AA514" i="6"/>
  <c r="AA515" i="6"/>
  <c r="AA516" i="6"/>
  <c r="AA517" i="6"/>
  <c r="AA518" i="6"/>
  <c r="AA519" i="6"/>
  <c r="AA520" i="6"/>
  <c r="AA521" i="6"/>
  <c r="AA522" i="6"/>
  <c r="AA523" i="6"/>
  <c r="AA524" i="6"/>
  <c r="AA525" i="6"/>
  <c r="AA526" i="6"/>
  <c r="AA527" i="6"/>
  <c r="AA528" i="6"/>
  <c r="AA529" i="6"/>
  <c r="AA530" i="6"/>
  <c r="AA531" i="6"/>
  <c r="AA532" i="6"/>
  <c r="AA533" i="6"/>
  <c r="AA534" i="6"/>
  <c r="AA535" i="6"/>
  <c r="AA536" i="6"/>
  <c r="AA537" i="6"/>
  <c r="AA538" i="6"/>
  <c r="AA539" i="6"/>
  <c r="AA540" i="6"/>
  <c r="AA541" i="6"/>
  <c r="AA542" i="6"/>
  <c r="AA543" i="6"/>
  <c r="AA544" i="6"/>
  <c r="AA545" i="6"/>
  <c r="AA546" i="6"/>
  <c r="AA547" i="6"/>
  <c r="AA548" i="6"/>
  <c r="AA549" i="6"/>
  <c r="AA550" i="6"/>
  <c r="AA551" i="6"/>
  <c r="AA552" i="6"/>
  <c r="AA553" i="6"/>
  <c r="AA554" i="6"/>
  <c r="AA555" i="6"/>
  <c r="AA556" i="6"/>
  <c r="AA557" i="6"/>
  <c r="AA558" i="6"/>
  <c r="AA559" i="6"/>
  <c r="AA560" i="6"/>
  <c r="AA561" i="6"/>
  <c r="AA562" i="6"/>
  <c r="AA563" i="6"/>
  <c r="AA564" i="6"/>
  <c r="AA565" i="6"/>
  <c r="AA566" i="6"/>
  <c r="AA567" i="6"/>
  <c r="AA568" i="6"/>
  <c r="AA569" i="6"/>
  <c r="AA570" i="6"/>
  <c r="AA571" i="6"/>
  <c r="AA572" i="6"/>
  <c r="AA573" i="6"/>
  <c r="AA574" i="6"/>
  <c r="AA575" i="6"/>
  <c r="AA576" i="6"/>
  <c r="AA577" i="6"/>
  <c r="AA578" i="6"/>
  <c r="AA579" i="6"/>
  <c r="AA580" i="6"/>
  <c r="AA581" i="6"/>
  <c r="AA582" i="6"/>
  <c r="AA583" i="6"/>
  <c r="AA584" i="6"/>
  <c r="AA585" i="6"/>
  <c r="AA586" i="6"/>
  <c r="AA587" i="6"/>
  <c r="AA588" i="6"/>
  <c r="AA589" i="6"/>
  <c r="AA590" i="6"/>
  <c r="AA591" i="6"/>
  <c r="AA592" i="6"/>
  <c r="AA593" i="6"/>
  <c r="AA594" i="6"/>
  <c r="AA595" i="6"/>
  <c r="AA596" i="6"/>
  <c r="AA597" i="6"/>
  <c r="AA598" i="6"/>
  <c r="AA599" i="6"/>
  <c r="AA600" i="6"/>
  <c r="AA601" i="6"/>
  <c r="AA602" i="6"/>
  <c r="AA603" i="6"/>
  <c r="AA604" i="6"/>
  <c r="AA605" i="6"/>
  <c r="AA606" i="6"/>
  <c r="AA607" i="6"/>
  <c r="AA608" i="6"/>
  <c r="AA609" i="6"/>
  <c r="AA610" i="6"/>
  <c r="AA611" i="6"/>
  <c r="AA612" i="6"/>
  <c r="AA613" i="6"/>
  <c r="AA614" i="6"/>
  <c r="AA615" i="6"/>
  <c r="AA616" i="6"/>
  <c r="AA617" i="6"/>
  <c r="AA618" i="6"/>
  <c r="AA619" i="6"/>
  <c r="AA620" i="6"/>
  <c r="AA621" i="6"/>
  <c r="AA622" i="6"/>
  <c r="AA623" i="6"/>
  <c r="AA624" i="6"/>
  <c r="AA625" i="6"/>
  <c r="AA626" i="6"/>
  <c r="AA627" i="6"/>
  <c r="AA628" i="6"/>
  <c r="AA629" i="6"/>
  <c r="AA630" i="6"/>
  <c r="AA631" i="6"/>
  <c r="AA632" i="6"/>
  <c r="AA633" i="6"/>
  <c r="AA634" i="6"/>
  <c r="AA635" i="6"/>
  <c r="AA636" i="6"/>
  <c r="AA637" i="6"/>
  <c r="AA638" i="6"/>
  <c r="AA639" i="6"/>
  <c r="AA640" i="6"/>
  <c r="AA641" i="6"/>
  <c r="AA642" i="6"/>
  <c r="AA643" i="6"/>
  <c r="AA644" i="6"/>
  <c r="AA645" i="6"/>
  <c r="AA646" i="6"/>
  <c r="AA647" i="6"/>
  <c r="AA648" i="6"/>
  <c r="AA649" i="6"/>
  <c r="AA650" i="6"/>
  <c r="AA651" i="6"/>
  <c r="AA652" i="6"/>
  <c r="AA653" i="6"/>
  <c r="AA654" i="6"/>
  <c r="AA655" i="6"/>
  <c r="AA656" i="6"/>
  <c r="AA657" i="6"/>
  <c r="AA658" i="6"/>
  <c r="AA659" i="6"/>
  <c r="AA660" i="6"/>
  <c r="AA661" i="6"/>
  <c r="AA662" i="6"/>
  <c r="AA663" i="6"/>
  <c r="AA664" i="6"/>
  <c r="AA665" i="6"/>
  <c r="AA666" i="6"/>
  <c r="AA667" i="6"/>
  <c r="AA668" i="6"/>
  <c r="AA669" i="6"/>
  <c r="AA670" i="6"/>
  <c r="AA671" i="6"/>
  <c r="AA672" i="6"/>
  <c r="AA673" i="6"/>
  <c r="AA674" i="6"/>
  <c r="AA675" i="6"/>
  <c r="AA676" i="6"/>
  <c r="AA677" i="6"/>
  <c r="AA678" i="6"/>
  <c r="AA679" i="6"/>
  <c r="AA680" i="6"/>
  <c r="AA681" i="6"/>
  <c r="AA682" i="6"/>
  <c r="AA683" i="6"/>
  <c r="AA684" i="6"/>
  <c r="AA685" i="6"/>
  <c r="AA686" i="6"/>
  <c r="AA687" i="6"/>
  <c r="AA688" i="6"/>
  <c r="AA689" i="6"/>
  <c r="AA690" i="6"/>
  <c r="AA691" i="6"/>
  <c r="AA692" i="6"/>
  <c r="AA693" i="6"/>
  <c r="AA694" i="6"/>
  <c r="AA695" i="6"/>
  <c r="AA696" i="6"/>
  <c r="AA697" i="6"/>
  <c r="AA698" i="6"/>
  <c r="AA699" i="6"/>
  <c r="AA700" i="6"/>
  <c r="AA701" i="6"/>
  <c r="AA702" i="6"/>
  <c r="AA703" i="6"/>
  <c r="AA704" i="6"/>
  <c r="AA705" i="6"/>
  <c r="AA706" i="6"/>
  <c r="AA707" i="6"/>
  <c r="AA708" i="6"/>
  <c r="AA709" i="6"/>
  <c r="AA710" i="6"/>
  <c r="AA711" i="6"/>
  <c r="AA712" i="6"/>
  <c r="AA713" i="6"/>
  <c r="AA714" i="6"/>
  <c r="AA715" i="6"/>
  <c r="AA716" i="6"/>
  <c r="AA717" i="6"/>
  <c r="AA718" i="6"/>
  <c r="AA719" i="6"/>
  <c r="AA720" i="6"/>
  <c r="AA721" i="6"/>
  <c r="AA722" i="6"/>
  <c r="AA723" i="6"/>
  <c r="AA724" i="6"/>
  <c r="AA725" i="6"/>
  <c r="AA726" i="6"/>
  <c r="AA727" i="6"/>
  <c r="AA728" i="6"/>
  <c r="AA729" i="6"/>
  <c r="AA730" i="6"/>
  <c r="AA731" i="6"/>
  <c r="AA732" i="6"/>
  <c r="AA733" i="6"/>
  <c r="AA734" i="6"/>
  <c r="AA735" i="6"/>
  <c r="AA736" i="6"/>
  <c r="AA737" i="6"/>
  <c r="AA738" i="6"/>
  <c r="AA739" i="6"/>
  <c r="AA740" i="6"/>
  <c r="AA741" i="6"/>
  <c r="AA742" i="6"/>
  <c r="AA743" i="6"/>
  <c r="AA744" i="6"/>
  <c r="AA745" i="6"/>
  <c r="AA746" i="6"/>
  <c r="AA747" i="6"/>
  <c r="AA748" i="6"/>
  <c r="AA749" i="6"/>
  <c r="AA750" i="6"/>
  <c r="AA751" i="6"/>
  <c r="AA752" i="6"/>
  <c r="AA753" i="6"/>
  <c r="AA754" i="6"/>
  <c r="AA755" i="6"/>
  <c r="AA756" i="6"/>
  <c r="AA757" i="6"/>
  <c r="AA758" i="6"/>
  <c r="AA759" i="6"/>
  <c r="AA760" i="6"/>
  <c r="AA761" i="6"/>
  <c r="AA762" i="6"/>
  <c r="AA763" i="6"/>
  <c r="AA764" i="6"/>
  <c r="AA765" i="6"/>
  <c r="AA766" i="6"/>
  <c r="AA767" i="6"/>
  <c r="AA768" i="6"/>
  <c r="AA769" i="6"/>
  <c r="AA770" i="6"/>
  <c r="AA771" i="6"/>
  <c r="AA772" i="6"/>
  <c r="AA773" i="6"/>
  <c r="AA774" i="6"/>
  <c r="AA775" i="6"/>
  <c r="AA776" i="6"/>
  <c r="AA777" i="6"/>
  <c r="AA778" i="6"/>
  <c r="AA779" i="6"/>
  <c r="AA780" i="6"/>
  <c r="AA781" i="6"/>
  <c r="AA782" i="6"/>
  <c r="AA783" i="6"/>
  <c r="AA784" i="6"/>
  <c r="AA785" i="6"/>
  <c r="AA786" i="6"/>
  <c r="AA787" i="6"/>
  <c r="AA788" i="6"/>
  <c r="AA789" i="6"/>
  <c r="AA790" i="6"/>
  <c r="AA791" i="6"/>
  <c r="AA792" i="6"/>
  <c r="AA793" i="6"/>
  <c r="AA794" i="6"/>
  <c r="AA795" i="6"/>
  <c r="AA796" i="6"/>
  <c r="AA797" i="6"/>
  <c r="AA798" i="6"/>
  <c r="AA799" i="6"/>
  <c r="AA800" i="6"/>
  <c r="AA801" i="6"/>
  <c r="AA802" i="6"/>
  <c r="AA803" i="6"/>
  <c r="AA804" i="6"/>
  <c r="AA805" i="6"/>
  <c r="AA806" i="6"/>
  <c r="AA807" i="6"/>
  <c r="AA808" i="6"/>
  <c r="AA809" i="6"/>
  <c r="Z2" i="6"/>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402" i="6"/>
  <c r="Z403" i="6"/>
  <c r="Z404" i="6"/>
  <c r="Z405" i="6"/>
  <c r="Z406" i="6"/>
  <c r="Z407" i="6"/>
  <c r="Z408" i="6"/>
  <c r="Z409" i="6"/>
  <c r="Z410" i="6"/>
  <c r="Z411" i="6"/>
  <c r="Z412" i="6"/>
  <c r="Z413" i="6"/>
  <c r="Z414" i="6"/>
  <c r="Z415" i="6"/>
  <c r="Z416" i="6"/>
  <c r="Z417" i="6"/>
  <c r="Z418" i="6"/>
  <c r="Z419" i="6"/>
  <c r="Z420" i="6"/>
  <c r="Z421" i="6"/>
  <c r="Z422" i="6"/>
  <c r="Z423" i="6"/>
  <c r="Z424" i="6"/>
  <c r="Z425" i="6"/>
  <c r="Z426" i="6"/>
  <c r="Z427" i="6"/>
  <c r="Z428" i="6"/>
  <c r="Z429" i="6"/>
  <c r="Z430" i="6"/>
  <c r="Z431" i="6"/>
  <c r="Z432" i="6"/>
  <c r="Z433" i="6"/>
  <c r="Z434" i="6"/>
  <c r="Z435" i="6"/>
  <c r="Z436" i="6"/>
  <c r="Z437" i="6"/>
  <c r="Z438" i="6"/>
  <c r="Z439" i="6"/>
  <c r="Z440" i="6"/>
  <c r="Z441" i="6"/>
  <c r="Z442" i="6"/>
  <c r="Z443" i="6"/>
  <c r="Z444" i="6"/>
  <c r="Z445" i="6"/>
  <c r="Z446" i="6"/>
  <c r="Z447" i="6"/>
  <c r="Z448" i="6"/>
  <c r="Z449" i="6"/>
  <c r="Z450" i="6"/>
  <c r="Z451" i="6"/>
  <c r="Z452" i="6"/>
  <c r="Z453" i="6"/>
  <c r="Z454" i="6"/>
  <c r="Z455" i="6"/>
  <c r="Z456" i="6"/>
  <c r="Z457" i="6"/>
  <c r="Z458" i="6"/>
  <c r="Z459" i="6"/>
  <c r="Z460" i="6"/>
  <c r="Z461" i="6"/>
  <c r="Z462" i="6"/>
  <c r="Z463" i="6"/>
  <c r="Z464" i="6"/>
  <c r="Z465" i="6"/>
  <c r="Z466" i="6"/>
  <c r="Z467" i="6"/>
  <c r="Z468" i="6"/>
  <c r="Z469" i="6"/>
  <c r="Z470" i="6"/>
  <c r="Z471" i="6"/>
  <c r="Z472" i="6"/>
  <c r="Z473" i="6"/>
  <c r="Z474" i="6"/>
  <c r="Z475" i="6"/>
  <c r="Z476" i="6"/>
  <c r="Z477" i="6"/>
  <c r="Z478" i="6"/>
  <c r="Z479" i="6"/>
  <c r="Z480" i="6"/>
  <c r="Z481" i="6"/>
  <c r="Z482" i="6"/>
  <c r="Z483" i="6"/>
  <c r="Z484" i="6"/>
  <c r="Z485" i="6"/>
  <c r="Z486" i="6"/>
  <c r="Z487" i="6"/>
  <c r="Z488" i="6"/>
  <c r="Z489" i="6"/>
  <c r="Z490" i="6"/>
  <c r="Z491" i="6"/>
  <c r="Z492" i="6"/>
  <c r="Z493" i="6"/>
  <c r="Z494" i="6"/>
  <c r="Z495" i="6"/>
  <c r="Z496" i="6"/>
  <c r="Z497" i="6"/>
  <c r="Z498" i="6"/>
  <c r="Z499" i="6"/>
  <c r="Z500" i="6"/>
  <c r="Z501" i="6"/>
  <c r="Z502" i="6"/>
  <c r="Z503" i="6"/>
  <c r="Z504" i="6"/>
  <c r="Z505" i="6"/>
  <c r="Z506" i="6"/>
  <c r="Z507" i="6"/>
  <c r="Z508" i="6"/>
  <c r="Z509" i="6"/>
  <c r="Z510" i="6"/>
  <c r="Z511" i="6"/>
  <c r="Z512" i="6"/>
  <c r="Z513" i="6"/>
  <c r="Z514" i="6"/>
  <c r="Z515" i="6"/>
  <c r="Z516" i="6"/>
  <c r="Z517" i="6"/>
  <c r="Z518" i="6"/>
  <c r="Z519" i="6"/>
  <c r="Z520" i="6"/>
  <c r="Z521" i="6"/>
  <c r="Z522" i="6"/>
  <c r="Z523" i="6"/>
  <c r="Z524" i="6"/>
  <c r="Z525" i="6"/>
  <c r="Z526" i="6"/>
  <c r="Z527" i="6"/>
  <c r="Z528" i="6"/>
  <c r="Z529" i="6"/>
  <c r="Z530" i="6"/>
  <c r="Z531" i="6"/>
  <c r="Z532" i="6"/>
  <c r="Z533" i="6"/>
  <c r="Z534" i="6"/>
  <c r="Z535" i="6"/>
  <c r="Z536" i="6"/>
  <c r="Z537" i="6"/>
  <c r="Z538" i="6"/>
  <c r="Z539" i="6"/>
  <c r="Z540" i="6"/>
  <c r="Z541" i="6"/>
  <c r="Z542" i="6"/>
  <c r="Z543" i="6"/>
  <c r="Z544" i="6"/>
  <c r="Z545" i="6"/>
  <c r="Z546" i="6"/>
  <c r="Z547" i="6"/>
  <c r="Z548" i="6"/>
  <c r="Z549" i="6"/>
  <c r="Z550" i="6"/>
  <c r="Z551" i="6"/>
  <c r="Z552" i="6"/>
  <c r="Z553" i="6"/>
  <c r="Z554" i="6"/>
  <c r="Z555" i="6"/>
  <c r="Z556" i="6"/>
  <c r="Z557" i="6"/>
  <c r="Z558" i="6"/>
  <c r="Z559" i="6"/>
  <c r="Z560" i="6"/>
  <c r="Z561" i="6"/>
  <c r="Z562" i="6"/>
  <c r="Z563" i="6"/>
  <c r="Z564" i="6"/>
  <c r="Z565" i="6"/>
  <c r="Z566" i="6"/>
  <c r="Z567" i="6"/>
  <c r="Z568" i="6"/>
  <c r="Z569" i="6"/>
  <c r="Z570" i="6"/>
  <c r="Z571" i="6"/>
  <c r="Z572" i="6"/>
  <c r="Z573" i="6"/>
  <c r="Z574" i="6"/>
  <c r="Z575" i="6"/>
  <c r="Z576" i="6"/>
  <c r="Z577" i="6"/>
  <c r="Z578" i="6"/>
  <c r="Z579" i="6"/>
  <c r="Z580" i="6"/>
  <c r="Z581" i="6"/>
  <c r="Z582" i="6"/>
  <c r="Z583" i="6"/>
  <c r="Z584" i="6"/>
  <c r="Z585" i="6"/>
  <c r="Z586" i="6"/>
  <c r="Z587" i="6"/>
  <c r="Z588" i="6"/>
  <c r="Z589" i="6"/>
  <c r="Z590" i="6"/>
  <c r="Z591" i="6"/>
  <c r="Z592" i="6"/>
  <c r="Z593" i="6"/>
  <c r="Z594" i="6"/>
  <c r="Z595" i="6"/>
  <c r="Z596" i="6"/>
  <c r="Z597" i="6"/>
  <c r="Z598" i="6"/>
  <c r="Z599" i="6"/>
  <c r="Z600" i="6"/>
  <c r="Z601" i="6"/>
  <c r="Z602" i="6"/>
  <c r="Z603" i="6"/>
  <c r="Z604" i="6"/>
  <c r="Z605" i="6"/>
  <c r="Z606" i="6"/>
  <c r="Z607" i="6"/>
  <c r="Z608" i="6"/>
  <c r="Z609" i="6"/>
  <c r="Z610" i="6"/>
  <c r="Z611" i="6"/>
  <c r="Z612" i="6"/>
  <c r="Z613" i="6"/>
  <c r="Z614" i="6"/>
  <c r="Z615" i="6"/>
  <c r="Z616" i="6"/>
  <c r="Z617" i="6"/>
  <c r="Z618" i="6"/>
  <c r="Z619" i="6"/>
  <c r="Z620" i="6"/>
  <c r="Z621" i="6"/>
  <c r="Z622" i="6"/>
  <c r="Z623" i="6"/>
  <c r="Z624" i="6"/>
  <c r="Z625" i="6"/>
  <c r="Z626" i="6"/>
  <c r="Z627" i="6"/>
  <c r="Z628" i="6"/>
  <c r="Z629" i="6"/>
  <c r="Z630" i="6"/>
  <c r="Z631" i="6"/>
  <c r="Z632" i="6"/>
  <c r="Z633" i="6"/>
  <c r="Z634" i="6"/>
  <c r="Z635" i="6"/>
  <c r="Z636" i="6"/>
  <c r="Z637" i="6"/>
  <c r="Z638" i="6"/>
  <c r="Z639" i="6"/>
  <c r="Z640" i="6"/>
  <c r="Z641" i="6"/>
  <c r="Z642" i="6"/>
  <c r="Z643" i="6"/>
  <c r="Z644" i="6"/>
  <c r="Z645" i="6"/>
  <c r="Z646" i="6"/>
  <c r="Z647" i="6"/>
  <c r="Z648" i="6"/>
  <c r="Z649" i="6"/>
  <c r="Z650" i="6"/>
  <c r="Z651" i="6"/>
  <c r="Z652" i="6"/>
  <c r="Z653" i="6"/>
  <c r="Z654" i="6"/>
  <c r="Z655" i="6"/>
  <c r="Z656" i="6"/>
  <c r="Z657" i="6"/>
  <c r="Z658" i="6"/>
  <c r="Z659" i="6"/>
  <c r="Z660" i="6"/>
  <c r="Z661" i="6"/>
  <c r="Z662" i="6"/>
  <c r="Z663" i="6"/>
  <c r="Z664" i="6"/>
  <c r="Z665" i="6"/>
  <c r="Z666" i="6"/>
  <c r="Z667" i="6"/>
  <c r="Z668" i="6"/>
  <c r="Z669" i="6"/>
  <c r="Z670" i="6"/>
  <c r="Z671" i="6"/>
  <c r="Z672" i="6"/>
  <c r="Z673" i="6"/>
  <c r="Z674" i="6"/>
  <c r="Z675" i="6"/>
  <c r="Z676" i="6"/>
  <c r="Z677" i="6"/>
  <c r="Z678" i="6"/>
  <c r="Z679" i="6"/>
  <c r="Z680" i="6"/>
  <c r="Z681" i="6"/>
  <c r="Z682" i="6"/>
  <c r="Z683" i="6"/>
  <c r="Z684" i="6"/>
  <c r="Z685" i="6"/>
  <c r="Z686" i="6"/>
  <c r="Z687" i="6"/>
  <c r="Z688" i="6"/>
  <c r="Z689" i="6"/>
  <c r="Z690" i="6"/>
  <c r="Z691" i="6"/>
  <c r="Z692" i="6"/>
  <c r="Z693" i="6"/>
  <c r="Z694" i="6"/>
  <c r="Z695" i="6"/>
  <c r="Z696" i="6"/>
  <c r="Z697" i="6"/>
  <c r="Z698" i="6"/>
  <c r="Z699" i="6"/>
  <c r="Z700" i="6"/>
  <c r="Z701" i="6"/>
  <c r="Z702" i="6"/>
  <c r="Z703" i="6"/>
  <c r="Z704" i="6"/>
  <c r="Z705" i="6"/>
  <c r="Z706" i="6"/>
  <c r="Z707" i="6"/>
  <c r="Z708" i="6"/>
  <c r="Z709" i="6"/>
  <c r="Z710" i="6"/>
  <c r="Z711" i="6"/>
  <c r="Z712" i="6"/>
  <c r="Z713" i="6"/>
  <c r="Z714" i="6"/>
  <c r="Z715" i="6"/>
  <c r="Z716" i="6"/>
  <c r="Z717" i="6"/>
  <c r="Z718" i="6"/>
  <c r="Z719" i="6"/>
  <c r="Z720" i="6"/>
  <c r="Z721" i="6"/>
  <c r="Z722" i="6"/>
  <c r="Z723" i="6"/>
  <c r="Z724" i="6"/>
  <c r="Z725" i="6"/>
  <c r="Z726" i="6"/>
  <c r="Z727" i="6"/>
  <c r="Z728" i="6"/>
  <c r="Z729" i="6"/>
  <c r="Z730" i="6"/>
  <c r="Z731" i="6"/>
  <c r="Z732" i="6"/>
  <c r="Z733" i="6"/>
  <c r="Z734" i="6"/>
  <c r="Z735" i="6"/>
  <c r="Z736" i="6"/>
  <c r="Z737" i="6"/>
  <c r="Z738" i="6"/>
  <c r="Z739" i="6"/>
  <c r="Z740" i="6"/>
  <c r="Z741" i="6"/>
  <c r="Z742" i="6"/>
  <c r="Z743" i="6"/>
  <c r="Z744" i="6"/>
  <c r="Z745" i="6"/>
  <c r="Z746" i="6"/>
  <c r="Z747" i="6"/>
  <c r="Z748" i="6"/>
  <c r="Z749" i="6"/>
  <c r="Z750" i="6"/>
  <c r="Z751" i="6"/>
  <c r="Z752" i="6"/>
  <c r="Z753" i="6"/>
  <c r="Z754" i="6"/>
  <c r="Z755" i="6"/>
  <c r="Z756" i="6"/>
  <c r="Z757" i="6"/>
  <c r="Z758" i="6"/>
  <c r="Z759" i="6"/>
  <c r="Z760" i="6"/>
  <c r="Z761" i="6"/>
  <c r="Z762" i="6"/>
  <c r="Z763" i="6"/>
  <c r="Z764" i="6"/>
  <c r="Z765" i="6"/>
  <c r="Z766" i="6"/>
  <c r="Z767" i="6"/>
  <c r="Z768" i="6"/>
  <c r="Z769" i="6"/>
  <c r="Z770" i="6"/>
  <c r="Z771" i="6"/>
  <c r="Z772" i="6"/>
  <c r="Z773" i="6"/>
  <c r="Z774" i="6"/>
  <c r="Z775" i="6"/>
  <c r="Z776" i="6"/>
  <c r="Z777" i="6"/>
  <c r="Z778" i="6"/>
  <c r="Z779" i="6"/>
  <c r="Z780" i="6"/>
  <c r="Z781" i="6"/>
  <c r="Z782" i="6"/>
  <c r="Z783" i="6"/>
  <c r="Z784" i="6"/>
  <c r="Z785" i="6"/>
  <c r="Z786" i="6"/>
  <c r="Z787" i="6"/>
  <c r="Z788" i="6"/>
  <c r="Z789" i="6"/>
  <c r="Z790" i="6"/>
  <c r="Z791" i="6"/>
  <c r="Z792" i="6"/>
  <c r="Z793" i="6"/>
  <c r="Z794" i="6"/>
  <c r="Z795" i="6"/>
  <c r="Z796" i="6"/>
  <c r="Z797" i="6"/>
  <c r="Z798" i="6"/>
  <c r="Z799" i="6"/>
  <c r="Z800" i="6"/>
  <c r="Z801" i="6"/>
  <c r="Z802" i="6"/>
  <c r="Z803" i="6"/>
  <c r="Z804" i="6"/>
  <c r="Z805" i="6"/>
  <c r="Z806" i="6"/>
  <c r="Z807" i="6"/>
  <c r="Z808" i="6"/>
  <c r="Z809" i="6"/>
  <c r="AM8" i="6"/>
  <c r="Y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402" i="6"/>
  <c r="Y403" i="6"/>
  <c r="Y404" i="6"/>
  <c r="Y405" i="6"/>
  <c r="Y406" i="6"/>
  <c r="Y407" i="6"/>
  <c r="Y408" i="6"/>
  <c r="Y409" i="6"/>
  <c r="Y410" i="6"/>
  <c r="Y411" i="6"/>
  <c r="Y412" i="6"/>
  <c r="Y413" i="6"/>
  <c r="Y414" i="6"/>
  <c r="Y415" i="6"/>
  <c r="Y416" i="6"/>
  <c r="Y417" i="6"/>
  <c r="Y418" i="6"/>
  <c r="Y419" i="6"/>
  <c r="Y420" i="6"/>
  <c r="Y421" i="6"/>
  <c r="Y422" i="6"/>
  <c r="Y423" i="6"/>
  <c r="Y424" i="6"/>
  <c r="Y425" i="6"/>
  <c r="Y426" i="6"/>
  <c r="Y427" i="6"/>
  <c r="Y428" i="6"/>
  <c r="Y429" i="6"/>
  <c r="Y430" i="6"/>
  <c r="Y431" i="6"/>
  <c r="Y432" i="6"/>
  <c r="Y433" i="6"/>
  <c r="Y434" i="6"/>
  <c r="Y435" i="6"/>
  <c r="Y436" i="6"/>
  <c r="Y437" i="6"/>
  <c r="Y438" i="6"/>
  <c r="Y439" i="6"/>
  <c r="Y440" i="6"/>
  <c r="Y441" i="6"/>
  <c r="Y442" i="6"/>
  <c r="Y443" i="6"/>
  <c r="Y444" i="6"/>
  <c r="Y445" i="6"/>
  <c r="Y446" i="6"/>
  <c r="Y447" i="6"/>
  <c r="Y448" i="6"/>
  <c r="Y449" i="6"/>
  <c r="Y450" i="6"/>
  <c r="Y451" i="6"/>
  <c r="Y452" i="6"/>
  <c r="Y453" i="6"/>
  <c r="Y454" i="6"/>
  <c r="Y455" i="6"/>
  <c r="Y456" i="6"/>
  <c r="Y457" i="6"/>
  <c r="Y458" i="6"/>
  <c r="Y459" i="6"/>
  <c r="Y460" i="6"/>
  <c r="Y461" i="6"/>
  <c r="Y462" i="6"/>
  <c r="Y463" i="6"/>
  <c r="Y464" i="6"/>
  <c r="Y465" i="6"/>
  <c r="Y466" i="6"/>
  <c r="Y467" i="6"/>
  <c r="Y468" i="6"/>
  <c r="Y469" i="6"/>
  <c r="Y470" i="6"/>
  <c r="Y471" i="6"/>
  <c r="Y472" i="6"/>
  <c r="Y473" i="6"/>
  <c r="Y474" i="6"/>
  <c r="Y475" i="6"/>
  <c r="Y476" i="6"/>
  <c r="Y477" i="6"/>
  <c r="Y478" i="6"/>
  <c r="Y479" i="6"/>
  <c r="Y480" i="6"/>
  <c r="Y481" i="6"/>
  <c r="Y482" i="6"/>
  <c r="Y483" i="6"/>
  <c r="Y484" i="6"/>
  <c r="Y485" i="6"/>
  <c r="Y486" i="6"/>
  <c r="Y487" i="6"/>
  <c r="Y488" i="6"/>
  <c r="Y489" i="6"/>
  <c r="Y490" i="6"/>
  <c r="Y491" i="6"/>
  <c r="Y492" i="6"/>
  <c r="Y493" i="6"/>
  <c r="Y494" i="6"/>
  <c r="Y495" i="6"/>
  <c r="Y496" i="6"/>
  <c r="Y497" i="6"/>
  <c r="Y498" i="6"/>
  <c r="Y499" i="6"/>
  <c r="Y500" i="6"/>
  <c r="Y501" i="6"/>
  <c r="Y502" i="6"/>
  <c r="Y503" i="6"/>
  <c r="Y504" i="6"/>
  <c r="Y505" i="6"/>
  <c r="Y506" i="6"/>
  <c r="Y507" i="6"/>
  <c r="Y508" i="6"/>
  <c r="Y509" i="6"/>
  <c r="Y510" i="6"/>
  <c r="Y511" i="6"/>
  <c r="Y512" i="6"/>
  <c r="Y513" i="6"/>
  <c r="Y514" i="6"/>
  <c r="Y515" i="6"/>
  <c r="Y516" i="6"/>
  <c r="Y517" i="6"/>
  <c r="Y518" i="6"/>
  <c r="Y519" i="6"/>
  <c r="Y520" i="6"/>
  <c r="Y521" i="6"/>
  <c r="Y522" i="6"/>
  <c r="Y523" i="6"/>
  <c r="Y524" i="6"/>
  <c r="Y525" i="6"/>
  <c r="Y526" i="6"/>
  <c r="Y527" i="6"/>
  <c r="Y528" i="6"/>
  <c r="Y529" i="6"/>
  <c r="Y530" i="6"/>
  <c r="Y531" i="6"/>
  <c r="Y532" i="6"/>
  <c r="Y533" i="6"/>
  <c r="Y534" i="6"/>
  <c r="Y535" i="6"/>
  <c r="Y536" i="6"/>
  <c r="Y537" i="6"/>
  <c r="Y538" i="6"/>
  <c r="Y539" i="6"/>
  <c r="Y540" i="6"/>
  <c r="Y541" i="6"/>
  <c r="Y542" i="6"/>
  <c r="Y543" i="6"/>
  <c r="Y544" i="6"/>
  <c r="Y545" i="6"/>
  <c r="Y546" i="6"/>
  <c r="Y547" i="6"/>
  <c r="Y548" i="6"/>
  <c r="Y549" i="6"/>
  <c r="Y550" i="6"/>
  <c r="Y551" i="6"/>
  <c r="Y552" i="6"/>
  <c r="Y553" i="6"/>
  <c r="Y554" i="6"/>
  <c r="Y555" i="6"/>
  <c r="Y556" i="6"/>
  <c r="Y557" i="6"/>
  <c r="Y558" i="6"/>
  <c r="Y559" i="6"/>
  <c r="Y560" i="6"/>
  <c r="Y561" i="6"/>
  <c r="Y562" i="6"/>
  <c r="Y563" i="6"/>
  <c r="Y564" i="6"/>
  <c r="Y565" i="6"/>
  <c r="Y566" i="6"/>
  <c r="Y567" i="6"/>
  <c r="Y568" i="6"/>
  <c r="Y569" i="6"/>
  <c r="Y570" i="6"/>
  <c r="Y571" i="6"/>
  <c r="Y572" i="6"/>
  <c r="Y573" i="6"/>
  <c r="Y574" i="6"/>
  <c r="Y575" i="6"/>
  <c r="Y576" i="6"/>
  <c r="Y577" i="6"/>
  <c r="Y578" i="6"/>
  <c r="Y579" i="6"/>
  <c r="Y580" i="6"/>
  <c r="Y581" i="6"/>
  <c r="Y582" i="6"/>
  <c r="Y583" i="6"/>
  <c r="Y584" i="6"/>
  <c r="Y585" i="6"/>
  <c r="Y586" i="6"/>
  <c r="Y587" i="6"/>
  <c r="Y588" i="6"/>
  <c r="Y589" i="6"/>
  <c r="Y590" i="6"/>
  <c r="Y591" i="6"/>
  <c r="Y592" i="6"/>
  <c r="Y593" i="6"/>
  <c r="Y594" i="6"/>
  <c r="Y595" i="6"/>
  <c r="Y596" i="6"/>
  <c r="Y597" i="6"/>
  <c r="Y598" i="6"/>
  <c r="Y599" i="6"/>
  <c r="Y600" i="6"/>
  <c r="Y601" i="6"/>
  <c r="Y602" i="6"/>
  <c r="Y603" i="6"/>
  <c r="Y604" i="6"/>
  <c r="Y605" i="6"/>
  <c r="Y606" i="6"/>
  <c r="Y607" i="6"/>
  <c r="Y608" i="6"/>
  <c r="Y609" i="6"/>
  <c r="Y610" i="6"/>
  <c r="Y611" i="6"/>
  <c r="Y612" i="6"/>
  <c r="Y613" i="6"/>
  <c r="Y614" i="6"/>
  <c r="Y615" i="6"/>
  <c r="Y616" i="6"/>
  <c r="Y617" i="6"/>
  <c r="Y618" i="6"/>
  <c r="Y619" i="6"/>
  <c r="Y620" i="6"/>
  <c r="Y621" i="6"/>
  <c r="Y622" i="6"/>
  <c r="Y623" i="6"/>
  <c r="Y624" i="6"/>
  <c r="Y625" i="6"/>
  <c r="Y626" i="6"/>
  <c r="Y627" i="6"/>
  <c r="Y628" i="6"/>
  <c r="Y629" i="6"/>
  <c r="Y630" i="6"/>
  <c r="Y631" i="6"/>
  <c r="Y632" i="6"/>
  <c r="Y633" i="6"/>
  <c r="Y634" i="6"/>
  <c r="Y635" i="6"/>
  <c r="Y636" i="6"/>
  <c r="Y637" i="6"/>
  <c r="Y638" i="6"/>
  <c r="Y639" i="6"/>
  <c r="Y640" i="6"/>
  <c r="Y641" i="6"/>
  <c r="Y642" i="6"/>
  <c r="Y643" i="6"/>
  <c r="Y644" i="6"/>
  <c r="Y645" i="6"/>
  <c r="Y646" i="6"/>
  <c r="Y647" i="6"/>
  <c r="Y648" i="6"/>
  <c r="Y649" i="6"/>
  <c r="Y650" i="6"/>
  <c r="Y651" i="6"/>
  <c r="Y652" i="6"/>
  <c r="Y653" i="6"/>
  <c r="Y654" i="6"/>
  <c r="Y655" i="6"/>
  <c r="Y656" i="6"/>
  <c r="Y657" i="6"/>
  <c r="Y658" i="6"/>
  <c r="Y659" i="6"/>
  <c r="Y660" i="6"/>
  <c r="Y661" i="6"/>
  <c r="Y662" i="6"/>
  <c r="Y663" i="6"/>
  <c r="Y664" i="6"/>
  <c r="Y665" i="6"/>
  <c r="Y666" i="6"/>
  <c r="Y667" i="6"/>
  <c r="Y668" i="6"/>
  <c r="Y669" i="6"/>
  <c r="Y670" i="6"/>
  <c r="Y671" i="6"/>
  <c r="Y672" i="6"/>
  <c r="Y673" i="6"/>
  <c r="Y674" i="6"/>
  <c r="Y675" i="6"/>
  <c r="Y676" i="6"/>
  <c r="Y677" i="6"/>
  <c r="Y678" i="6"/>
  <c r="Y679" i="6"/>
  <c r="Y680" i="6"/>
  <c r="Y681" i="6"/>
  <c r="Y682" i="6"/>
  <c r="Y683" i="6"/>
  <c r="Y684" i="6"/>
  <c r="Y685" i="6"/>
  <c r="Y686" i="6"/>
  <c r="Y687" i="6"/>
  <c r="Y688" i="6"/>
  <c r="Y689" i="6"/>
  <c r="Y690" i="6"/>
  <c r="Y691" i="6"/>
  <c r="Y692" i="6"/>
  <c r="Y693" i="6"/>
  <c r="Y694" i="6"/>
  <c r="Y695" i="6"/>
  <c r="Y696" i="6"/>
  <c r="Y697" i="6"/>
  <c r="Y698" i="6"/>
  <c r="Y699" i="6"/>
  <c r="Y700" i="6"/>
  <c r="Y701" i="6"/>
  <c r="Y702" i="6"/>
  <c r="Y703" i="6"/>
  <c r="Y704" i="6"/>
  <c r="Y705" i="6"/>
  <c r="Y706" i="6"/>
  <c r="Y707" i="6"/>
  <c r="Y708" i="6"/>
  <c r="Y709" i="6"/>
  <c r="Y710" i="6"/>
  <c r="Y711" i="6"/>
  <c r="Y712" i="6"/>
  <c r="Y713" i="6"/>
  <c r="Y714" i="6"/>
  <c r="Y715" i="6"/>
  <c r="Y716" i="6"/>
  <c r="Y717" i="6"/>
  <c r="Y718" i="6"/>
  <c r="Y719" i="6"/>
  <c r="Y720" i="6"/>
  <c r="Y721" i="6"/>
  <c r="Y722" i="6"/>
  <c r="Y723" i="6"/>
  <c r="Y724" i="6"/>
  <c r="Y725" i="6"/>
  <c r="Y726" i="6"/>
  <c r="Y727" i="6"/>
  <c r="Y728" i="6"/>
  <c r="Y729" i="6"/>
  <c r="Y730" i="6"/>
  <c r="Y731" i="6"/>
  <c r="Y732" i="6"/>
  <c r="Y733" i="6"/>
  <c r="Y734" i="6"/>
  <c r="Y735" i="6"/>
  <c r="Y736" i="6"/>
  <c r="Y737" i="6"/>
  <c r="Y738" i="6"/>
  <c r="Y739" i="6"/>
  <c r="Y740" i="6"/>
  <c r="Y741" i="6"/>
  <c r="Y742" i="6"/>
  <c r="Y743" i="6"/>
  <c r="Y744" i="6"/>
  <c r="Y745" i="6"/>
  <c r="Y746" i="6"/>
  <c r="Y747" i="6"/>
  <c r="Y748" i="6"/>
  <c r="Y749" i="6"/>
  <c r="Y750" i="6"/>
  <c r="Y751" i="6"/>
  <c r="Y752" i="6"/>
  <c r="Y753" i="6"/>
  <c r="Y754" i="6"/>
  <c r="Y755" i="6"/>
  <c r="Y756" i="6"/>
  <c r="Y757" i="6"/>
  <c r="Y758" i="6"/>
  <c r="Y759" i="6"/>
  <c r="Y760" i="6"/>
  <c r="Y761" i="6"/>
  <c r="Y762" i="6"/>
  <c r="Y763" i="6"/>
  <c r="Y764" i="6"/>
  <c r="Y765" i="6"/>
  <c r="Y766" i="6"/>
  <c r="Y767" i="6"/>
  <c r="Y768" i="6"/>
  <c r="Y769" i="6"/>
  <c r="Y770" i="6"/>
  <c r="Y771" i="6"/>
  <c r="Y772" i="6"/>
  <c r="Y773" i="6"/>
  <c r="Y774" i="6"/>
  <c r="Y775" i="6"/>
  <c r="Y776" i="6"/>
  <c r="Y777" i="6"/>
  <c r="Y778" i="6"/>
  <c r="Y779" i="6"/>
  <c r="Y780" i="6"/>
  <c r="Y781" i="6"/>
  <c r="Y782" i="6"/>
  <c r="Y783" i="6"/>
  <c r="Y784" i="6"/>
  <c r="Y785" i="6"/>
  <c r="Y786" i="6"/>
  <c r="Y787" i="6"/>
  <c r="Y788" i="6"/>
  <c r="Y789" i="6"/>
  <c r="Y790" i="6"/>
  <c r="Y791" i="6"/>
  <c r="Y792" i="6"/>
  <c r="Y793" i="6"/>
  <c r="Y794" i="6"/>
  <c r="Y795" i="6"/>
  <c r="Y796" i="6"/>
  <c r="Y797" i="6"/>
  <c r="Y798" i="6"/>
  <c r="Y799" i="6"/>
  <c r="Y800" i="6"/>
  <c r="Y801" i="6"/>
  <c r="Y802" i="6"/>
  <c r="Y803" i="6"/>
  <c r="Y804" i="6"/>
  <c r="Y805" i="6"/>
  <c r="Y806" i="6"/>
  <c r="Y807" i="6"/>
  <c r="Y808" i="6"/>
  <c r="Y809" i="6"/>
  <c r="X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X502" i="6"/>
  <c r="X503" i="6"/>
  <c r="X504" i="6"/>
  <c r="X505" i="6"/>
  <c r="X506" i="6"/>
  <c r="X507" i="6"/>
  <c r="X508" i="6"/>
  <c r="X509" i="6"/>
  <c r="X510" i="6"/>
  <c r="X511" i="6"/>
  <c r="X512" i="6"/>
  <c r="X513" i="6"/>
  <c r="X514" i="6"/>
  <c r="X515" i="6"/>
  <c r="X516" i="6"/>
  <c r="X517" i="6"/>
  <c r="X518" i="6"/>
  <c r="X519" i="6"/>
  <c r="X520" i="6"/>
  <c r="X521" i="6"/>
  <c r="X522" i="6"/>
  <c r="X523" i="6"/>
  <c r="X524" i="6"/>
  <c r="X525" i="6"/>
  <c r="X526" i="6"/>
  <c r="X527" i="6"/>
  <c r="X528" i="6"/>
  <c r="X529" i="6"/>
  <c r="X530" i="6"/>
  <c r="X531" i="6"/>
  <c r="X532" i="6"/>
  <c r="X533" i="6"/>
  <c r="X534" i="6"/>
  <c r="X535" i="6"/>
  <c r="X536" i="6"/>
  <c r="X537" i="6"/>
  <c r="X538" i="6"/>
  <c r="X539" i="6"/>
  <c r="X540" i="6"/>
  <c r="X541" i="6"/>
  <c r="X542" i="6"/>
  <c r="X543" i="6"/>
  <c r="X544" i="6"/>
  <c r="X545" i="6"/>
  <c r="X546" i="6"/>
  <c r="X547" i="6"/>
  <c r="X548" i="6"/>
  <c r="X549" i="6"/>
  <c r="X550" i="6"/>
  <c r="X551" i="6"/>
  <c r="X552" i="6"/>
  <c r="X553" i="6"/>
  <c r="X554" i="6"/>
  <c r="X555" i="6"/>
  <c r="X556" i="6"/>
  <c r="X557" i="6"/>
  <c r="X558" i="6"/>
  <c r="X559" i="6"/>
  <c r="X560" i="6"/>
  <c r="X561" i="6"/>
  <c r="X562" i="6"/>
  <c r="X563" i="6"/>
  <c r="X564" i="6"/>
  <c r="X565" i="6"/>
  <c r="X566" i="6"/>
  <c r="X567" i="6"/>
  <c r="X568" i="6"/>
  <c r="X569" i="6"/>
  <c r="X570" i="6"/>
  <c r="X571" i="6"/>
  <c r="X572" i="6"/>
  <c r="X573" i="6"/>
  <c r="X574" i="6"/>
  <c r="X575" i="6"/>
  <c r="X576" i="6"/>
  <c r="X577" i="6"/>
  <c r="X578" i="6"/>
  <c r="X579" i="6"/>
  <c r="X580" i="6"/>
  <c r="X581" i="6"/>
  <c r="X582" i="6"/>
  <c r="X583" i="6"/>
  <c r="X584" i="6"/>
  <c r="X585" i="6"/>
  <c r="X586" i="6"/>
  <c r="X587" i="6"/>
  <c r="X588" i="6"/>
  <c r="X589" i="6"/>
  <c r="X590" i="6"/>
  <c r="X591" i="6"/>
  <c r="X592" i="6"/>
  <c r="X593" i="6"/>
  <c r="X594" i="6"/>
  <c r="X595" i="6"/>
  <c r="X596" i="6"/>
  <c r="X597" i="6"/>
  <c r="X598" i="6"/>
  <c r="X599" i="6"/>
  <c r="X600" i="6"/>
  <c r="X601" i="6"/>
  <c r="X602" i="6"/>
  <c r="X603" i="6"/>
  <c r="X604" i="6"/>
  <c r="X605" i="6"/>
  <c r="X606" i="6"/>
  <c r="X607" i="6"/>
  <c r="X608" i="6"/>
  <c r="X609" i="6"/>
  <c r="X610" i="6"/>
  <c r="X611" i="6"/>
  <c r="X612" i="6"/>
  <c r="X613" i="6"/>
  <c r="X614" i="6"/>
  <c r="X615" i="6"/>
  <c r="X616" i="6"/>
  <c r="X617" i="6"/>
  <c r="X618" i="6"/>
  <c r="X619" i="6"/>
  <c r="X620" i="6"/>
  <c r="X621" i="6"/>
  <c r="X622" i="6"/>
  <c r="X623" i="6"/>
  <c r="X624" i="6"/>
  <c r="X625" i="6"/>
  <c r="X626" i="6"/>
  <c r="X627" i="6"/>
  <c r="X628" i="6"/>
  <c r="X629" i="6"/>
  <c r="X630" i="6"/>
  <c r="X631" i="6"/>
  <c r="X632" i="6"/>
  <c r="X633" i="6"/>
  <c r="X634" i="6"/>
  <c r="X635" i="6"/>
  <c r="X636" i="6"/>
  <c r="X637" i="6"/>
  <c r="X638" i="6"/>
  <c r="X639" i="6"/>
  <c r="X640" i="6"/>
  <c r="X641" i="6"/>
  <c r="X642" i="6"/>
  <c r="X643" i="6"/>
  <c r="X644" i="6"/>
  <c r="X645" i="6"/>
  <c r="X646" i="6"/>
  <c r="X647" i="6"/>
  <c r="X648" i="6"/>
  <c r="X649" i="6"/>
  <c r="X650" i="6"/>
  <c r="X651" i="6"/>
  <c r="X652" i="6"/>
  <c r="X653" i="6"/>
  <c r="X654" i="6"/>
  <c r="X655" i="6"/>
  <c r="X656" i="6"/>
  <c r="X657" i="6"/>
  <c r="X658" i="6"/>
  <c r="X659" i="6"/>
  <c r="X660" i="6"/>
  <c r="X661" i="6"/>
  <c r="X662" i="6"/>
  <c r="X663" i="6"/>
  <c r="X664" i="6"/>
  <c r="X665" i="6"/>
  <c r="X666" i="6"/>
  <c r="X667" i="6"/>
  <c r="X668" i="6"/>
  <c r="X669" i="6"/>
  <c r="X670" i="6"/>
  <c r="X671" i="6"/>
  <c r="X672" i="6"/>
  <c r="X673" i="6"/>
  <c r="X674" i="6"/>
  <c r="X675" i="6"/>
  <c r="X676" i="6"/>
  <c r="X677" i="6"/>
  <c r="X678" i="6"/>
  <c r="X679" i="6"/>
  <c r="X680" i="6"/>
  <c r="X681" i="6"/>
  <c r="X682" i="6"/>
  <c r="X683" i="6"/>
  <c r="X684" i="6"/>
  <c r="X685" i="6"/>
  <c r="X686" i="6"/>
  <c r="X687" i="6"/>
  <c r="X688" i="6"/>
  <c r="X689" i="6"/>
  <c r="X690" i="6"/>
  <c r="X691" i="6"/>
  <c r="X692" i="6"/>
  <c r="X693" i="6"/>
  <c r="X694" i="6"/>
  <c r="X695" i="6"/>
  <c r="X696" i="6"/>
  <c r="X697" i="6"/>
  <c r="X698" i="6"/>
  <c r="X699" i="6"/>
  <c r="X700" i="6"/>
  <c r="X701" i="6"/>
  <c r="X702" i="6"/>
  <c r="X703" i="6"/>
  <c r="X704" i="6"/>
  <c r="X705" i="6"/>
  <c r="X706" i="6"/>
  <c r="X707" i="6"/>
  <c r="X708" i="6"/>
  <c r="X709" i="6"/>
  <c r="X710" i="6"/>
  <c r="X711" i="6"/>
  <c r="X712" i="6"/>
  <c r="X713" i="6"/>
  <c r="X714" i="6"/>
  <c r="X715" i="6"/>
  <c r="X716" i="6"/>
  <c r="X717" i="6"/>
  <c r="X718" i="6"/>
  <c r="X719" i="6"/>
  <c r="X720" i="6"/>
  <c r="X721" i="6"/>
  <c r="X722" i="6"/>
  <c r="X723" i="6"/>
  <c r="X724" i="6"/>
  <c r="X725" i="6"/>
  <c r="X726" i="6"/>
  <c r="X727" i="6"/>
  <c r="X728" i="6"/>
  <c r="X729" i="6"/>
  <c r="X730" i="6"/>
  <c r="X731" i="6"/>
  <c r="X732" i="6"/>
  <c r="X733" i="6"/>
  <c r="X734" i="6"/>
  <c r="X735" i="6"/>
  <c r="X736" i="6"/>
  <c r="X737" i="6"/>
  <c r="X738" i="6"/>
  <c r="X739" i="6"/>
  <c r="X740" i="6"/>
  <c r="X741" i="6"/>
  <c r="X742" i="6"/>
  <c r="X743" i="6"/>
  <c r="X744" i="6"/>
  <c r="X745" i="6"/>
  <c r="X746" i="6"/>
  <c r="X747" i="6"/>
  <c r="X748" i="6"/>
  <c r="X749" i="6"/>
  <c r="X750" i="6"/>
  <c r="X751" i="6"/>
  <c r="X752" i="6"/>
  <c r="X753" i="6"/>
  <c r="X754" i="6"/>
  <c r="X755" i="6"/>
  <c r="X756" i="6"/>
  <c r="X757" i="6"/>
  <c r="X758" i="6"/>
  <c r="X759" i="6"/>
  <c r="X760" i="6"/>
  <c r="X761" i="6"/>
  <c r="X762" i="6"/>
  <c r="X763" i="6"/>
  <c r="X764" i="6"/>
  <c r="X765" i="6"/>
  <c r="X766" i="6"/>
  <c r="X767" i="6"/>
  <c r="X768" i="6"/>
  <c r="X769" i="6"/>
  <c r="X770" i="6"/>
  <c r="X771" i="6"/>
  <c r="X772" i="6"/>
  <c r="X773" i="6"/>
  <c r="X774" i="6"/>
  <c r="X775" i="6"/>
  <c r="X776" i="6"/>
  <c r="X777" i="6"/>
  <c r="X778" i="6"/>
  <c r="X779" i="6"/>
  <c r="X780" i="6"/>
  <c r="X781" i="6"/>
  <c r="X782" i="6"/>
  <c r="X783" i="6"/>
  <c r="X784" i="6"/>
  <c r="X785" i="6"/>
  <c r="X786" i="6"/>
  <c r="X787" i="6"/>
  <c r="X788" i="6"/>
  <c r="X789" i="6"/>
  <c r="X790" i="6"/>
  <c r="X791" i="6"/>
  <c r="X792" i="6"/>
  <c r="X793" i="6"/>
  <c r="X794" i="6"/>
  <c r="X795" i="6"/>
  <c r="X796" i="6"/>
  <c r="X797" i="6"/>
  <c r="X798" i="6"/>
  <c r="X799" i="6"/>
  <c r="X800" i="6"/>
  <c r="X801" i="6"/>
  <c r="X802" i="6"/>
  <c r="X803" i="6"/>
  <c r="X804" i="6"/>
  <c r="X805" i="6"/>
  <c r="X806" i="6"/>
  <c r="X807" i="6"/>
  <c r="X808" i="6"/>
  <c r="X809" i="6"/>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514" i="6"/>
  <c r="W515" i="6"/>
  <c r="W516" i="6"/>
  <c r="W517" i="6"/>
  <c r="W518" i="6"/>
  <c r="W519" i="6"/>
  <c r="W520" i="6"/>
  <c r="W521" i="6"/>
  <c r="W522" i="6"/>
  <c r="W523" i="6"/>
  <c r="W524" i="6"/>
  <c r="W525" i="6"/>
  <c r="W526" i="6"/>
  <c r="W527" i="6"/>
  <c r="W528" i="6"/>
  <c r="W529" i="6"/>
  <c r="W530" i="6"/>
  <c r="W531" i="6"/>
  <c r="W532" i="6"/>
  <c r="W533" i="6"/>
  <c r="W534" i="6"/>
  <c r="W535" i="6"/>
  <c r="W536" i="6"/>
  <c r="W537" i="6"/>
  <c r="W538" i="6"/>
  <c r="W539" i="6"/>
  <c r="W540" i="6"/>
  <c r="W541" i="6"/>
  <c r="W542" i="6"/>
  <c r="W543" i="6"/>
  <c r="W544" i="6"/>
  <c r="W545" i="6"/>
  <c r="W546" i="6"/>
  <c r="W547" i="6"/>
  <c r="W548" i="6"/>
  <c r="W549" i="6"/>
  <c r="W550" i="6"/>
  <c r="W551" i="6"/>
  <c r="W552" i="6"/>
  <c r="W553" i="6"/>
  <c r="W554" i="6"/>
  <c r="W555" i="6"/>
  <c r="W556" i="6"/>
  <c r="W557" i="6"/>
  <c r="W558" i="6"/>
  <c r="W559" i="6"/>
  <c r="W560" i="6"/>
  <c r="W561" i="6"/>
  <c r="W562" i="6"/>
  <c r="W563" i="6"/>
  <c r="W564" i="6"/>
  <c r="W565" i="6"/>
  <c r="W566" i="6"/>
  <c r="W567" i="6"/>
  <c r="W568" i="6"/>
  <c r="W569" i="6"/>
  <c r="W570" i="6"/>
  <c r="W571" i="6"/>
  <c r="W572" i="6"/>
  <c r="W573" i="6"/>
  <c r="W574" i="6"/>
  <c r="W575" i="6"/>
  <c r="W576" i="6"/>
  <c r="W577" i="6"/>
  <c r="W578" i="6"/>
  <c r="W579" i="6"/>
  <c r="W580" i="6"/>
  <c r="W581" i="6"/>
  <c r="W582" i="6"/>
  <c r="W583" i="6"/>
  <c r="W584" i="6"/>
  <c r="W585" i="6"/>
  <c r="W586" i="6"/>
  <c r="W587" i="6"/>
  <c r="W588" i="6"/>
  <c r="W589" i="6"/>
  <c r="W590" i="6"/>
  <c r="W591" i="6"/>
  <c r="W592" i="6"/>
  <c r="W593" i="6"/>
  <c r="W594" i="6"/>
  <c r="W595" i="6"/>
  <c r="W596" i="6"/>
  <c r="W597" i="6"/>
  <c r="W598" i="6"/>
  <c r="W599" i="6"/>
  <c r="W600" i="6"/>
  <c r="W601" i="6"/>
  <c r="W602" i="6"/>
  <c r="W603" i="6"/>
  <c r="W604" i="6"/>
  <c r="W605" i="6"/>
  <c r="W606" i="6"/>
  <c r="W607" i="6"/>
  <c r="W608" i="6"/>
  <c r="W609" i="6"/>
  <c r="W610" i="6"/>
  <c r="W611" i="6"/>
  <c r="W612" i="6"/>
  <c r="W613" i="6"/>
  <c r="W614" i="6"/>
  <c r="W615" i="6"/>
  <c r="W616" i="6"/>
  <c r="W617" i="6"/>
  <c r="W618" i="6"/>
  <c r="W619" i="6"/>
  <c r="W620" i="6"/>
  <c r="W621" i="6"/>
  <c r="W622" i="6"/>
  <c r="W623" i="6"/>
  <c r="W624" i="6"/>
  <c r="W625" i="6"/>
  <c r="W626" i="6"/>
  <c r="W627" i="6"/>
  <c r="W628" i="6"/>
  <c r="W629" i="6"/>
  <c r="W630" i="6"/>
  <c r="W631" i="6"/>
  <c r="W632" i="6"/>
  <c r="W633" i="6"/>
  <c r="W634" i="6"/>
  <c r="W635" i="6"/>
  <c r="W636" i="6"/>
  <c r="W637" i="6"/>
  <c r="W638" i="6"/>
  <c r="W639" i="6"/>
  <c r="W640" i="6"/>
  <c r="W641" i="6"/>
  <c r="W642" i="6"/>
  <c r="W643" i="6"/>
  <c r="W644" i="6"/>
  <c r="W645" i="6"/>
  <c r="W646" i="6"/>
  <c r="W647" i="6"/>
  <c r="W648" i="6"/>
  <c r="W649" i="6"/>
  <c r="W650" i="6"/>
  <c r="W651" i="6"/>
  <c r="W652" i="6"/>
  <c r="W653" i="6"/>
  <c r="W654" i="6"/>
  <c r="W655" i="6"/>
  <c r="W656" i="6"/>
  <c r="W657" i="6"/>
  <c r="W658" i="6"/>
  <c r="W659" i="6"/>
  <c r="W660" i="6"/>
  <c r="W661" i="6"/>
  <c r="W662" i="6"/>
  <c r="W663" i="6"/>
  <c r="W664" i="6"/>
  <c r="W665" i="6"/>
  <c r="W666" i="6"/>
  <c r="W667" i="6"/>
  <c r="W668" i="6"/>
  <c r="W669" i="6"/>
  <c r="W670" i="6"/>
  <c r="W671" i="6"/>
  <c r="W672" i="6"/>
  <c r="W673" i="6"/>
  <c r="W674" i="6"/>
  <c r="W675" i="6"/>
  <c r="W676" i="6"/>
  <c r="W677" i="6"/>
  <c r="W678" i="6"/>
  <c r="W679" i="6"/>
  <c r="W680" i="6"/>
  <c r="W681" i="6"/>
  <c r="W682" i="6"/>
  <c r="W683" i="6"/>
  <c r="W684" i="6"/>
  <c r="W685" i="6"/>
  <c r="W686" i="6"/>
  <c r="W687" i="6"/>
  <c r="W688" i="6"/>
  <c r="W689" i="6"/>
  <c r="W690" i="6"/>
  <c r="W691" i="6"/>
  <c r="W692" i="6"/>
  <c r="W693" i="6"/>
  <c r="W694" i="6"/>
  <c r="W695" i="6"/>
  <c r="W696" i="6"/>
  <c r="W697" i="6"/>
  <c r="W698" i="6"/>
  <c r="W699" i="6"/>
  <c r="W700" i="6"/>
  <c r="W701" i="6"/>
  <c r="W702" i="6"/>
  <c r="W703" i="6"/>
  <c r="W704" i="6"/>
  <c r="W705" i="6"/>
  <c r="W706" i="6"/>
  <c r="W707" i="6"/>
  <c r="W708" i="6"/>
  <c r="W709" i="6"/>
  <c r="W710" i="6"/>
  <c r="W711" i="6"/>
  <c r="W712" i="6"/>
  <c r="W713" i="6"/>
  <c r="W714" i="6"/>
  <c r="W715" i="6"/>
  <c r="W716" i="6"/>
  <c r="W717" i="6"/>
  <c r="W718" i="6"/>
  <c r="W719" i="6"/>
  <c r="W720" i="6"/>
  <c r="W721" i="6"/>
  <c r="W722" i="6"/>
  <c r="W723" i="6"/>
  <c r="W724" i="6"/>
  <c r="W725" i="6"/>
  <c r="W726" i="6"/>
  <c r="W727" i="6"/>
  <c r="W728" i="6"/>
  <c r="W729" i="6"/>
  <c r="W730" i="6"/>
  <c r="W731" i="6"/>
  <c r="W732" i="6"/>
  <c r="W733" i="6"/>
  <c r="W734" i="6"/>
  <c r="W735" i="6"/>
  <c r="W736" i="6"/>
  <c r="W737" i="6"/>
  <c r="W738" i="6"/>
  <c r="W739" i="6"/>
  <c r="W740" i="6"/>
  <c r="W741" i="6"/>
  <c r="W742" i="6"/>
  <c r="W743" i="6"/>
  <c r="W744" i="6"/>
  <c r="W745" i="6"/>
  <c r="W746" i="6"/>
  <c r="W747" i="6"/>
  <c r="W748" i="6"/>
  <c r="W749" i="6"/>
  <c r="W750" i="6"/>
  <c r="W751" i="6"/>
  <c r="W752" i="6"/>
  <c r="W753" i="6"/>
  <c r="W754" i="6"/>
  <c r="W755" i="6"/>
  <c r="W756" i="6"/>
  <c r="W757" i="6"/>
  <c r="W758" i="6"/>
  <c r="W759" i="6"/>
  <c r="W760" i="6"/>
  <c r="W761" i="6"/>
  <c r="W762" i="6"/>
  <c r="W763" i="6"/>
  <c r="W764" i="6"/>
  <c r="W765" i="6"/>
  <c r="W766" i="6"/>
  <c r="W767" i="6"/>
  <c r="W768" i="6"/>
  <c r="W769" i="6"/>
  <c r="W770" i="6"/>
  <c r="W771" i="6"/>
  <c r="W772" i="6"/>
  <c r="W773" i="6"/>
  <c r="W774" i="6"/>
  <c r="W775" i="6"/>
  <c r="W776" i="6"/>
  <c r="W777" i="6"/>
  <c r="W778" i="6"/>
  <c r="W779" i="6"/>
  <c r="W780" i="6"/>
  <c r="W781" i="6"/>
  <c r="W782" i="6"/>
  <c r="W783" i="6"/>
  <c r="W784" i="6"/>
  <c r="W785" i="6"/>
  <c r="W786" i="6"/>
  <c r="W787" i="6"/>
  <c r="W788" i="6"/>
  <c r="W789" i="6"/>
  <c r="W790" i="6"/>
  <c r="W791" i="6"/>
  <c r="W792" i="6"/>
  <c r="W793" i="6"/>
  <c r="W794" i="6"/>
  <c r="W795" i="6"/>
  <c r="W796" i="6"/>
  <c r="W797" i="6"/>
  <c r="W798" i="6"/>
  <c r="W799" i="6"/>
  <c r="W800" i="6"/>
  <c r="W801" i="6"/>
  <c r="W802" i="6"/>
  <c r="W803" i="6"/>
  <c r="W804" i="6"/>
  <c r="W805" i="6"/>
  <c r="W806" i="6"/>
  <c r="W807" i="6"/>
  <c r="W808" i="6"/>
  <c r="W809" i="6"/>
  <c r="B19" i="7" l="1"/>
  <c r="B17" i="7"/>
</calcChain>
</file>

<file path=xl/sharedStrings.xml><?xml version="1.0" encoding="utf-8"?>
<sst xmlns="http://schemas.openxmlformats.org/spreadsheetml/2006/main" count="24301" uniqueCount="1209">
  <si>
    <t>Attendance_ID</t>
  </si>
  <si>
    <t>Attendance_Date</t>
  </si>
  <si>
    <t>Month</t>
  </si>
  <si>
    <t>Quarter</t>
  </si>
  <si>
    <t>Weekday</t>
  </si>
  <si>
    <t>Employee_ID</t>
  </si>
  <si>
    <t>Employee_Name</t>
  </si>
  <si>
    <t>Department</t>
  </si>
  <si>
    <t>Designation</t>
  </si>
  <si>
    <t>Branch</t>
  </si>
  <si>
    <t>Shift</t>
  </si>
  <si>
    <t>Login_Time</t>
  </si>
  <si>
    <t>Logout_Time</t>
  </si>
  <si>
    <t>Working_Hours</t>
  </si>
  <si>
    <t>Overtime_Hours</t>
  </si>
  <si>
    <t>Attendance_Status</t>
  </si>
  <si>
    <t>Leave_Type</t>
  </si>
  <si>
    <t>Performance_Rating</t>
  </si>
  <si>
    <t>Salary_Band</t>
  </si>
  <si>
    <t>Manager</t>
  </si>
  <si>
    <t>Work_Mode</t>
  </si>
  <si>
    <t>Remarks</t>
  </si>
  <si>
    <t>ATD00001</t>
  </si>
  <si>
    <t>Jun</t>
  </si>
  <si>
    <t>Q2</t>
  </si>
  <si>
    <t>Thursday</t>
  </si>
  <si>
    <t>EMP014</t>
  </si>
  <si>
    <t>Employee 14</t>
  </si>
  <si>
    <t>Customer Support</t>
  </si>
  <si>
    <t>Support Executive</t>
  </si>
  <si>
    <t>Hyderabad</t>
  </si>
  <si>
    <t>Morning Shift</t>
  </si>
  <si>
    <t>Present</t>
  </si>
  <si>
    <t>L4</t>
  </si>
  <si>
    <t>V. Vinoth</t>
  </si>
  <si>
    <t>Client Visit</t>
  </si>
  <si>
    <t>ATD00002</t>
  </si>
  <si>
    <t>Apr</t>
  </si>
  <si>
    <t>Saturday</t>
  </si>
  <si>
    <t>EMP040</t>
  </si>
  <si>
    <t>Employee 40</t>
  </si>
  <si>
    <t>Operations</t>
  </si>
  <si>
    <t>Operations Executive</t>
  </si>
  <si>
    <t>Madurai</t>
  </si>
  <si>
    <t>Flexible Shift</t>
  </si>
  <si>
    <t>L2</t>
  </si>
  <si>
    <t>D. Dinesh</t>
  </si>
  <si>
    <t>Hybrid</t>
  </si>
  <si>
    <t>ATD00003</t>
  </si>
  <si>
    <t>Jan</t>
  </si>
  <si>
    <t>Q1</t>
  </si>
  <si>
    <t>Wednesday</t>
  </si>
  <si>
    <t>EMP005</t>
  </si>
  <si>
    <t>Employee 5</t>
  </si>
  <si>
    <t>Afternoon Shift</t>
  </si>
  <si>
    <t>Office</t>
  </si>
  <si>
    <t>ATD00004</t>
  </si>
  <si>
    <t>May</t>
  </si>
  <si>
    <t>EMP019</t>
  </si>
  <si>
    <t>Employee 19</t>
  </si>
  <si>
    <t>Late Login</t>
  </si>
  <si>
    <t>ATD00005</t>
  </si>
  <si>
    <t>EMP001</t>
  </si>
  <si>
    <t>Employee 1</t>
  </si>
  <si>
    <t>IT</t>
  </si>
  <si>
    <t>Software Engineer</t>
  </si>
  <si>
    <t>Coimbatore</t>
  </si>
  <si>
    <t>L3</t>
  </si>
  <si>
    <t>R. Karthikeyan</t>
  </si>
  <si>
    <t>Work From Home</t>
  </si>
  <si>
    <t>ATD00006</t>
  </si>
  <si>
    <t>Mar</t>
  </si>
  <si>
    <t>EMP042</t>
  </si>
  <si>
    <t>Employee 42</t>
  </si>
  <si>
    <t>Chennai</t>
  </si>
  <si>
    <t>General Shift</t>
  </si>
  <si>
    <t>ATD00007</t>
  </si>
  <si>
    <t>EMP004</t>
  </si>
  <si>
    <t>Employee 4</t>
  </si>
  <si>
    <t>Finance</t>
  </si>
  <si>
    <t>Accountant</t>
  </si>
  <si>
    <t>Night Shift</t>
  </si>
  <si>
    <t>Leave</t>
  </si>
  <si>
    <t>Earned Leave</t>
  </si>
  <si>
    <t>M. Mahesh</t>
  </si>
  <si>
    <t>Remote</t>
  </si>
  <si>
    <t>ATD00008</t>
  </si>
  <si>
    <t>Tuesday</t>
  </si>
  <si>
    <t>EMP030</t>
  </si>
  <si>
    <t>Employee 30</t>
  </si>
  <si>
    <t>HR</t>
  </si>
  <si>
    <t>HR Executive</t>
  </si>
  <si>
    <t>L1</t>
  </si>
  <si>
    <t>P. Priya</t>
  </si>
  <si>
    <t>ATD00009</t>
  </si>
  <si>
    <t>Feb</t>
  </si>
  <si>
    <t>EMP048</t>
  </si>
  <si>
    <t>Employee 48</t>
  </si>
  <si>
    <t>Marketing</t>
  </si>
  <si>
    <t>Marketing Executive</t>
  </si>
  <si>
    <t>Bengaluru</t>
  </si>
  <si>
    <t>S. Swetha</t>
  </si>
  <si>
    <t>ATD00010</t>
  </si>
  <si>
    <t>Sunday</t>
  </si>
  <si>
    <t>EMP049</t>
  </si>
  <si>
    <t>Employee 49</t>
  </si>
  <si>
    <t>ATD00011</t>
  </si>
  <si>
    <t>customer support</t>
  </si>
  <si>
    <t>ATD00012</t>
  </si>
  <si>
    <t>Monday</t>
  </si>
  <si>
    <t>EMP010</t>
  </si>
  <si>
    <t>Employee 10</t>
  </si>
  <si>
    <t>Sales</t>
  </si>
  <si>
    <t>Sales Executive</t>
  </si>
  <si>
    <t>V. Vivek</t>
  </si>
  <si>
    <t>ATD00013</t>
  </si>
  <si>
    <t>EMP038</t>
  </si>
  <si>
    <t>Employee 38</t>
  </si>
  <si>
    <t>ATD00014</t>
  </si>
  <si>
    <t>Friday</t>
  </si>
  <si>
    <t>EMP012</t>
  </si>
  <si>
    <t>Employee 12</t>
  </si>
  <si>
    <t>Casual Leave</t>
  </si>
  <si>
    <t>ATD00015</t>
  </si>
  <si>
    <t>EMP021</t>
  </si>
  <si>
    <t>Employee 21</t>
  </si>
  <si>
    <t>ATD00016</t>
  </si>
  <si>
    <t>EMP016</t>
  </si>
  <si>
    <t>Employee 16</t>
  </si>
  <si>
    <t>ATD00017</t>
  </si>
  <si>
    <t>ATD00018</t>
  </si>
  <si>
    <t>ATD00019</t>
  </si>
  <si>
    <t>ATD00020</t>
  </si>
  <si>
    <t>EMP041</t>
  </si>
  <si>
    <t>Employee 41</t>
  </si>
  <si>
    <t>Absent</t>
  </si>
  <si>
    <t>ATD00021</t>
  </si>
  <si>
    <t>hr</t>
  </si>
  <si>
    <t>ATD00022</t>
  </si>
  <si>
    <t>ATD00023</t>
  </si>
  <si>
    <t>ATD00024</t>
  </si>
  <si>
    <t>ATD00025</t>
  </si>
  <si>
    <t>EMP015</t>
  </si>
  <si>
    <t>Employee 15</t>
  </si>
  <si>
    <t>ATD00026</t>
  </si>
  <si>
    <t>EMP023</t>
  </si>
  <si>
    <t>Employee 23</t>
  </si>
  <si>
    <t>ATD00027</t>
  </si>
  <si>
    <t>EMP045</t>
  </si>
  <si>
    <t>Employee 45</t>
  </si>
  <si>
    <t>ATD00028</t>
  </si>
  <si>
    <t>EMP034</t>
  </si>
  <si>
    <t>Employee 34</t>
  </si>
  <si>
    <t>ATD00029</t>
  </si>
  <si>
    <t>EMP047</t>
  </si>
  <si>
    <t>Employee 47</t>
  </si>
  <si>
    <t>ATD00030</t>
  </si>
  <si>
    <t>ATD00031</t>
  </si>
  <si>
    <t>ATD00032</t>
  </si>
  <si>
    <t>EMP008</t>
  </si>
  <si>
    <t>Employee 8</t>
  </si>
  <si>
    <t>ATD00033</t>
  </si>
  <si>
    <t>ATD00034</t>
  </si>
  <si>
    <t>EMP003</t>
  </si>
  <si>
    <t>Employee 3</t>
  </si>
  <si>
    <t>ATD00035</t>
  </si>
  <si>
    <t>EMP033</t>
  </si>
  <si>
    <t>Employee 33</t>
  </si>
  <si>
    <t>ATD00036</t>
  </si>
  <si>
    <t>ATD00037</t>
  </si>
  <si>
    <t>EMP050</t>
  </si>
  <si>
    <t>Employee 50</t>
  </si>
  <si>
    <t>ATD00038</t>
  </si>
  <si>
    <t>EMP037</t>
  </si>
  <si>
    <t>Employee 37</t>
  </si>
  <si>
    <t>ATD00039</t>
  </si>
  <si>
    <t>ATD00040</t>
  </si>
  <si>
    <t>ATD00041</t>
  </si>
  <si>
    <t>ATD00042</t>
  </si>
  <si>
    <t>ATD00043</t>
  </si>
  <si>
    <t>operations</t>
  </si>
  <si>
    <t>ATD00044</t>
  </si>
  <si>
    <t>EMP024</t>
  </si>
  <si>
    <t>Employee 24</t>
  </si>
  <si>
    <t>ATD00045</t>
  </si>
  <si>
    <t>EMP011</t>
  </si>
  <si>
    <t>Employee 11</t>
  </si>
  <si>
    <t>ATD00046</t>
  </si>
  <si>
    <t>ATD00047</t>
  </si>
  <si>
    <t>ATD00048</t>
  </si>
  <si>
    <t>ATD00049</t>
  </si>
  <si>
    <t>ATD00050</t>
  </si>
  <si>
    <t>EMP046</t>
  </si>
  <si>
    <t>Employee 46</t>
  </si>
  <si>
    <t>ATD00051</t>
  </si>
  <si>
    <t>EMP020</t>
  </si>
  <si>
    <t>Employee 20</t>
  </si>
  <si>
    <t>ATD00052</t>
  </si>
  <si>
    <t>ATD00053</t>
  </si>
  <si>
    <t>ATD00054</t>
  </si>
  <si>
    <t>ATD00055</t>
  </si>
  <si>
    <t>EMP031</t>
  </si>
  <si>
    <t>Employee 31</t>
  </si>
  <si>
    <t>ATD00056</t>
  </si>
  <si>
    <t>EMP002</t>
  </si>
  <si>
    <t>Employee 2</t>
  </si>
  <si>
    <t>ATD00057</t>
  </si>
  <si>
    <t>EMP029</t>
  </si>
  <si>
    <t>Employee 29</t>
  </si>
  <si>
    <t>ATD00058</t>
  </si>
  <si>
    <t>ATD00059</t>
  </si>
  <si>
    <t>EMP022</t>
  </si>
  <si>
    <t>Employee 22</t>
  </si>
  <si>
    <t>ATD00060</t>
  </si>
  <si>
    <t>ATD00061</t>
  </si>
  <si>
    <t>EMP039</t>
  </si>
  <si>
    <t>Employee 39</t>
  </si>
  <si>
    <t>ATD00062</t>
  </si>
  <si>
    <t>ATD00063</t>
  </si>
  <si>
    <t>ATD00064</t>
  </si>
  <si>
    <t>EMP018</t>
  </si>
  <si>
    <t>Employee 18</t>
  </si>
  <si>
    <t>ATD00065</t>
  </si>
  <si>
    <t>ATD00066</t>
  </si>
  <si>
    <t>ATD00067</t>
  </si>
  <si>
    <t>Sick Leave</t>
  </si>
  <si>
    <t>ATD00068</t>
  </si>
  <si>
    <t>ATD00069</t>
  </si>
  <si>
    <t>EMP025</t>
  </si>
  <si>
    <t>Employee 25</t>
  </si>
  <si>
    <t>ATD00070</t>
  </si>
  <si>
    <t>EMP027</t>
  </si>
  <si>
    <t>Employee 27</t>
  </si>
  <si>
    <t>ATD00071</t>
  </si>
  <si>
    <t>ATD00072</t>
  </si>
  <si>
    <t>ATD00073</t>
  </si>
  <si>
    <t>ATD00074</t>
  </si>
  <si>
    <t>ATD00075</t>
  </si>
  <si>
    <t>ATD00076</t>
  </si>
  <si>
    <t>ATD00077</t>
  </si>
  <si>
    <t>EMP026</t>
  </si>
  <si>
    <t>Employee 26</t>
  </si>
  <si>
    <t>ATD00078</t>
  </si>
  <si>
    <t>EMP044</t>
  </si>
  <si>
    <t>Employee 44</t>
  </si>
  <si>
    <t>ATD00079</t>
  </si>
  <si>
    <t>ATD00080</t>
  </si>
  <si>
    <t>EMP036</t>
  </si>
  <si>
    <t>Employee 36</t>
  </si>
  <si>
    <t>ATD00081</t>
  </si>
  <si>
    <t>ATD00082</t>
  </si>
  <si>
    <t>ATD00083</t>
  </si>
  <si>
    <t>ATD00084</t>
  </si>
  <si>
    <t>ATD00085</t>
  </si>
  <si>
    <t>ATD00086</t>
  </si>
  <si>
    <t>ATD00087</t>
  </si>
  <si>
    <t>ATD00088</t>
  </si>
  <si>
    <t>ATD00089</t>
  </si>
  <si>
    <t>EMP017</t>
  </si>
  <si>
    <t>Employee 17</t>
  </si>
  <si>
    <t>ATD00090</t>
  </si>
  <si>
    <t>ATD00091</t>
  </si>
  <si>
    <t>ATD00092</t>
  </si>
  <si>
    <t>ATD00093</t>
  </si>
  <si>
    <t>ATD00094</t>
  </si>
  <si>
    <t>ATD00095</t>
  </si>
  <si>
    <t>EMP006</t>
  </si>
  <si>
    <t>Employee 6</t>
  </si>
  <si>
    <t>ATD00096</t>
  </si>
  <si>
    <t>ATD00097</t>
  </si>
  <si>
    <t>ATD00098</t>
  </si>
  <si>
    <t>ATD00099</t>
  </si>
  <si>
    <t>ATD00100</t>
  </si>
  <si>
    <t>ATD00101</t>
  </si>
  <si>
    <t>ATD00102</t>
  </si>
  <si>
    <t>EMP043</t>
  </si>
  <si>
    <t>Employee 43</t>
  </si>
  <si>
    <t>ATD00103</t>
  </si>
  <si>
    <t>ATD00104</t>
  </si>
  <si>
    <t>ATD00105</t>
  </si>
  <si>
    <t>ATD00106</t>
  </si>
  <si>
    <t>EMP009</t>
  </si>
  <si>
    <t>Employee 9</t>
  </si>
  <si>
    <t>ATD00107</t>
  </si>
  <si>
    <t>ATD00108</t>
  </si>
  <si>
    <t>ATD00109</t>
  </si>
  <si>
    <t>ATD00110</t>
  </si>
  <si>
    <t>ATD00111</t>
  </si>
  <si>
    <t>EMP007</t>
  </si>
  <si>
    <t>Employee 7</t>
  </si>
  <si>
    <t>ATD00112</t>
  </si>
  <si>
    <t>ATD00113</t>
  </si>
  <si>
    <t>ATD00114</t>
  </si>
  <si>
    <t>ATD00115</t>
  </si>
  <si>
    <t>ATD00116</t>
  </si>
  <si>
    <t>ATD00117</t>
  </si>
  <si>
    <t>ATD00118</t>
  </si>
  <si>
    <t>ATD00119</t>
  </si>
  <si>
    <t>ATD00120</t>
  </si>
  <si>
    <t>ATD00121</t>
  </si>
  <si>
    <t>ATD00122</t>
  </si>
  <si>
    <t>ATD00123</t>
  </si>
  <si>
    <t>ATD00124</t>
  </si>
  <si>
    <t>ATD00125</t>
  </si>
  <si>
    <t>ATD00126</t>
  </si>
  <si>
    <t>EMP032</t>
  </si>
  <si>
    <t>Employee 32</t>
  </si>
  <si>
    <t>ATD00127</t>
  </si>
  <si>
    <t>ATD00128</t>
  </si>
  <si>
    <t>EMP035</t>
  </si>
  <si>
    <t>Employee 35</t>
  </si>
  <si>
    <t>ATD00129</t>
  </si>
  <si>
    <t>ATD00130</t>
  </si>
  <si>
    <t>ATD00131</t>
  </si>
  <si>
    <t>sales</t>
  </si>
  <si>
    <t>ATD00132</t>
  </si>
  <si>
    <t>ATD00133</t>
  </si>
  <si>
    <t>ATD00134</t>
  </si>
  <si>
    <t>ATD00135</t>
  </si>
  <si>
    <t>ATD00136</t>
  </si>
  <si>
    <t>ATD00137</t>
  </si>
  <si>
    <t>ATD00138</t>
  </si>
  <si>
    <t>ATD00139</t>
  </si>
  <si>
    <t>ATD00140</t>
  </si>
  <si>
    <t>ATD00141</t>
  </si>
  <si>
    <t>ATD00142</t>
  </si>
  <si>
    <t>ATD00143</t>
  </si>
  <si>
    <t>ATD00144</t>
  </si>
  <si>
    <t>ATD00145</t>
  </si>
  <si>
    <t>ATD00146</t>
  </si>
  <si>
    <t>ATD00147</t>
  </si>
  <si>
    <t>ATD00148</t>
  </si>
  <si>
    <t>ATD00149</t>
  </si>
  <si>
    <t>ATD00150</t>
  </si>
  <si>
    <t>ATD00151</t>
  </si>
  <si>
    <t>ATD00152</t>
  </si>
  <si>
    <t>ATD00153</t>
  </si>
  <si>
    <t>ATD00154</t>
  </si>
  <si>
    <t>ATD00155</t>
  </si>
  <si>
    <t>ATD00156</t>
  </si>
  <si>
    <t>ATD00157</t>
  </si>
  <si>
    <t>ATD00158</t>
  </si>
  <si>
    <t>ATD00159</t>
  </si>
  <si>
    <t>ATD00160</t>
  </si>
  <si>
    <t>ATD00161</t>
  </si>
  <si>
    <t>ATD00162</t>
  </si>
  <si>
    <t>ATD00163</t>
  </si>
  <si>
    <t>ATD00164</t>
  </si>
  <si>
    <t>ATD00165</t>
  </si>
  <si>
    <t>ATD00166</t>
  </si>
  <si>
    <t>ATD00167</t>
  </si>
  <si>
    <t>ATD00168</t>
  </si>
  <si>
    <t>ATD00169</t>
  </si>
  <si>
    <t>ATD00170</t>
  </si>
  <si>
    <t>EMP028</t>
  </si>
  <si>
    <t>Employee 28</t>
  </si>
  <si>
    <t>ATD00171</t>
  </si>
  <si>
    <t>ATD00172</t>
  </si>
  <si>
    <t>ATD00173</t>
  </si>
  <si>
    <t>ATD00174</t>
  </si>
  <si>
    <t>ATD00175</t>
  </si>
  <si>
    <t>ATD00176</t>
  </si>
  <si>
    <t>ATD00177</t>
  </si>
  <si>
    <t>ATD00178</t>
  </si>
  <si>
    <t>ATD00179</t>
  </si>
  <si>
    <t>ATD00180</t>
  </si>
  <si>
    <t>ATD00181</t>
  </si>
  <si>
    <t>ATD00182</t>
  </si>
  <si>
    <t>ATD00183</t>
  </si>
  <si>
    <t>ATD00184</t>
  </si>
  <si>
    <t>ATD00185</t>
  </si>
  <si>
    <t>ATD00186</t>
  </si>
  <si>
    <t>ATD00187</t>
  </si>
  <si>
    <t>ATD00188</t>
  </si>
  <si>
    <t>ATD00189</t>
  </si>
  <si>
    <t>ATD00190</t>
  </si>
  <si>
    <t>ATD00191</t>
  </si>
  <si>
    <t>ATD00192</t>
  </si>
  <si>
    <t>ATD00193</t>
  </si>
  <si>
    <t>ATD00194</t>
  </si>
  <si>
    <t>ATD00195</t>
  </si>
  <si>
    <t>ATD00196</t>
  </si>
  <si>
    <t>ATD00197</t>
  </si>
  <si>
    <t>ATD00198</t>
  </si>
  <si>
    <t>ATD00199</t>
  </si>
  <si>
    <t>ATD00200</t>
  </si>
  <si>
    <t>ATD00201</t>
  </si>
  <si>
    <t>ATD00202</t>
  </si>
  <si>
    <t>ATD00203</t>
  </si>
  <si>
    <t>ATD00204</t>
  </si>
  <si>
    <t>ATD00205</t>
  </si>
  <si>
    <t>ATD00206</t>
  </si>
  <si>
    <t>ATD00207</t>
  </si>
  <si>
    <t>ATD00208</t>
  </si>
  <si>
    <t>ATD00209</t>
  </si>
  <si>
    <t>ATD00210</t>
  </si>
  <si>
    <t>ATD00211</t>
  </si>
  <si>
    <t>ATD00212</t>
  </si>
  <si>
    <t>ATD00213</t>
  </si>
  <si>
    <t>ATD00214</t>
  </si>
  <si>
    <t>ATD00215</t>
  </si>
  <si>
    <t>ATD00216</t>
  </si>
  <si>
    <t>ATD00217</t>
  </si>
  <si>
    <t>ATD00218</t>
  </si>
  <si>
    <t>ATD00219</t>
  </si>
  <si>
    <t>ATD00220</t>
  </si>
  <si>
    <t>ATD00221</t>
  </si>
  <si>
    <t>ATD00222</t>
  </si>
  <si>
    <t>ATD00223</t>
  </si>
  <si>
    <t>ATD00224</t>
  </si>
  <si>
    <t>ATD00225</t>
  </si>
  <si>
    <t>ATD00226</t>
  </si>
  <si>
    <t>ATD00227</t>
  </si>
  <si>
    <t>ATD00228</t>
  </si>
  <si>
    <t>ATD00229</t>
  </si>
  <si>
    <t>ATD00230</t>
  </si>
  <si>
    <t>ATD00231</t>
  </si>
  <si>
    <t>ATD00232</t>
  </si>
  <si>
    <t>ATD00233</t>
  </si>
  <si>
    <t>ATD00234</t>
  </si>
  <si>
    <t>ATD00235</t>
  </si>
  <si>
    <t>it</t>
  </si>
  <si>
    <t>ATD00236</t>
  </si>
  <si>
    <t>ATD00237</t>
  </si>
  <si>
    <t>ATD00238</t>
  </si>
  <si>
    <t>ATD00239</t>
  </si>
  <si>
    <t>ATD00240</t>
  </si>
  <si>
    <t>ATD00241</t>
  </si>
  <si>
    <t>ATD00242</t>
  </si>
  <si>
    <t>ATD00243</t>
  </si>
  <si>
    <t>ATD00244</t>
  </si>
  <si>
    <t>ATD00245</t>
  </si>
  <si>
    <t>ATD00246</t>
  </si>
  <si>
    <t>ATD00247</t>
  </si>
  <si>
    <t>ATD00248</t>
  </si>
  <si>
    <t>ATD00249</t>
  </si>
  <si>
    <t>ATD00250</t>
  </si>
  <si>
    <t>ATD00251</t>
  </si>
  <si>
    <t>ATD00252</t>
  </si>
  <si>
    <t>ATD00253</t>
  </si>
  <si>
    <t>ATD00254</t>
  </si>
  <si>
    <t>ATD00255</t>
  </si>
  <si>
    <t>ATD00256</t>
  </si>
  <si>
    <t>ATD00257</t>
  </si>
  <si>
    <t>ATD00258</t>
  </si>
  <si>
    <t>ATD00259</t>
  </si>
  <si>
    <t>ATD00260</t>
  </si>
  <si>
    <t>ATD00261</t>
  </si>
  <si>
    <t>ATD00262</t>
  </si>
  <si>
    <t>ATD00263</t>
  </si>
  <si>
    <t>ATD00264</t>
  </si>
  <si>
    <t>ATD00265</t>
  </si>
  <si>
    <t>ATD00266</t>
  </si>
  <si>
    <t>ATD00267</t>
  </si>
  <si>
    <t>ATD00268</t>
  </si>
  <si>
    <t>ATD00269</t>
  </si>
  <si>
    <t>ATD00270</t>
  </si>
  <si>
    <t>ATD00271</t>
  </si>
  <si>
    <t>ATD00272</t>
  </si>
  <si>
    <t>ATD00273</t>
  </si>
  <si>
    <t>finance</t>
  </si>
  <si>
    <t>ATD00274</t>
  </si>
  <si>
    <t>ATD00275</t>
  </si>
  <si>
    <t>ATD00276</t>
  </si>
  <si>
    <t>ATD00277</t>
  </si>
  <si>
    <t>ATD00278</t>
  </si>
  <si>
    <t>ATD00279</t>
  </si>
  <si>
    <t>ATD00280</t>
  </si>
  <si>
    <t>ATD00281</t>
  </si>
  <si>
    <t>ATD00282</t>
  </si>
  <si>
    <t>ATD00283</t>
  </si>
  <si>
    <t>ATD00284</t>
  </si>
  <si>
    <t>ATD00285</t>
  </si>
  <si>
    <t>ATD00286</t>
  </si>
  <si>
    <t>ATD00287</t>
  </si>
  <si>
    <t>ATD00288</t>
  </si>
  <si>
    <t>ATD00289</t>
  </si>
  <si>
    <t>ATD00290</t>
  </si>
  <si>
    <t>ATD00291</t>
  </si>
  <si>
    <t>ATD00292</t>
  </si>
  <si>
    <t>ATD00293</t>
  </si>
  <si>
    <t>ATD00294</t>
  </si>
  <si>
    <t>ATD00295</t>
  </si>
  <si>
    <t>ATD00296</t>
  </si>
  <si>
    <t>ATD00297</t>
  </si>
  <si>
    <t>ATD00298</t>
  </si>
  <si>
    <t>ATD00299</t>
  </si>
  <si>
    <t>ATD00300</t>
  </si>
  <si>
    <t>ATD00301</t>
  </si>
  <si>
    <t>ATD00302</t>
  </si>
  <si>
    <t>ATD00303</t>
  </si>
  <si>
    <t>ATD00304</t>
  </si>
  <si>
    <t>ATD00305</t>
  </si>
  <si>
    <t>ATD00306</t>
  </si>
  <si>
    <t>ATD00307</t>
  </si>
  <si>
    <t>ATD00308</t>
  </si>
  <si>
    <t>ATD00309</t>
  </si>
  <si>
    <t>ATD00310</t>
  </si>
  <si>
    <t>ATD00311</t>
  </si>
  <si>
    <t>ATD00312</t>
  </si>
  <si>
    <t>ATD00313</t>
  </si>
  <si>
    <t>ATD00314</t>
  </si>
  <si>
    <t>ATD00315</t>
  </si>
  <si>
    <t>ATD00316</t>
  </si>
  <si>
    <t>EMP013</t>
  </si>
  <si>
    <t>Employee 13</t>
  </si>
  <si>
    <t>ATD00317</t>
  </si>
  <si>
    <t>ATD00318</t>
  </si>
  <si>
    <t>ATD00319</t>
  </si>
  <si>
    <t>ATD00320</t>
  </si>
  <si>
    <t>ATD00321</t>
  </si>
  <si>
    <t>ATD00322</t>
  </si>
  <si>
    <t>ATD00323</t>
  </si>
  <si>
    <t>ATD00324</t>
  </si>
  <si>
    <t>ATD00325</t>
  </si>
  <si>
    <t>ATD00326</t>
  </si>
  <si>
    <t>ATD00327</t>
  </si>
  <si>
    <t>ATD00328</t>
  </si>
  <si>
    <t>ATD00329</t>
  </si>
  <si>
    <t>ATD00330</t>
  </si>
  <si>
    <t>ATD00331</t>
  </si>
  <si>
    <t>ATD00332</t>
  </si>
  <si>
    <t>ATD00333</t>
  </si>
  <si>
    <t>ATD00334</t>
  </si>
  <si>
    <t>ATD00335</t>
  </si>
  <si>
    <t>ATD00336</t>
  </si>
  <si>
    <t>ATD00337</t>
  </si>
  <si>
    <t>ATD00338</t>
  </si>
  <si>
    <t>ATD00339</t>
  </si>
  <si>
    <t>ATD00340</t>
  </si>
  <si>
    <t>ATD00341</t>
  </si>
  <si>
    <t>ATD00342</t>
  </si>
  <si>
    <t>ATD00343</t>
  </si>
  <si>
    <t>ATD00344</t>
  </si>
  <si>
    <t>ATD00345</t>
  </si>
  <si>
    <t>ATD00346</t>
  </si>
  <si>
    <t>ATD00347</t>
  </si>
  <si>
    <t>ATD00348</t>
  </si>
  <si>
    <t>ATD00349</t>
  </si>
  <si>
    <t>ATD00350</t>
  </si>
  <si>
    <t>ATD00351</t>
  </si>
  <si>
    <t>ATD00352</t>
  </si>
  <si>
    <t>ATD00353</t>
  </si>
  <si>
    <t>ATD00354</t>
  </si>
  <si>
    <t>ATD00355</t>
  </si>
  <si>
    <t>ATD00356</t>
  </si>
  <si>
    <t>ATD00357</t>
  </si>
  <si>
    <t>ATD00358</t>
  </si>
  <si>
    <t>ATD00359</t>
  </si>
  <si>
    <t>ATD00360</t>
  </si>
  <si>
    <t>ATD00361</t>
  </si>
  <si>
    <t>ATD00362</t>
  </si>
  <si>
    <t>ATD00363</t>
  </si>
  <si>
    <t>ATD00364</t>
  </si>
  <si>
    <t>ATD00365</t>
  </si>
  <si>
    <t>ATD00366</t>
  </si>
  <si>
    <t>ATD00367</t>
  </si>
  <si>
    <t>ATD00368</t>
  </si>
  <si>
    <t>ATD00369</t>
  </si>
  <si>
    <t>ATD00370</t>
  </si>
  <si>
    <t>ATD00371</t>
  </si>
  <si>
    <t>ATD00372</t>
  </si>
  <si>
    <t>ATD00373</t>
  </si>
  <si>
    <t>ATD00374</t>
  </si>
  <si>
    <t>ATD00375</t>
  </si>
  <si>
    <t>ATD00376</t>
  </si>
  <si>
    <t>ATD00377</t>
  </si>
  <si>
    <t>ATD00378</t>
  </si>
  <si>
    <t>ATD00379</t>
  </si>
  <si>
    <t>ATD00380</t>
  </si>
  <si>
    <t>ATD00381</t>
  </si>
  <si>
    <t>ATD00382</t>
  </si>
  <si>
    <t>ATD00383</t>
  </si>
  <si>
    <t>ATD00384</t>
  </si>
  <si>
    <t>ATD00385</t>
  </si>
  <si>
    <t>ATD00386</t>
  </si>
  <si>
    <t>ATD00387</t>
  </si>
  <si>
    <t>ATD00388</t>
  </si>
  <si>
    <t>ATD00389</t>
  </si>
  <si>
    <t>ATD00390</t>
  </si>
  <si>
    <t>ATD00391</t>
  </si>
  <si>
    <t>marketing</t>
  </si>
  <si>
    <t>ATD00392</t>
  </si>
  <si>
    <t>ATD00393</t>
  </si>
  <si>
    <t>ATD00394</t>
  </si>
  <si>
    <t>ATD00395</t>
  </si>
  <si>
    <t>ATD00396</t>
  </si>
  <si>
    <t>ATD00397</t>
  </si>
  <si>
    <t>ATD00398</t>
  </si>
  <si>
    <t>ATD00399</t>
  </si>
  <si>
    <t>ATD00400</t>
  </si>
  <si>
    <t>ATD00401</t>
  </si>
  <si>
    <t>ATD00402</t>
  </si>
  <si>
    <t>ATD00403</t>
  </si>
  <si>
    <t>ATD00404</t>
  </si>
  <si>
    <t>ATD00405</t>
  </si>
  <si>
    <t>ATD00406</t>
  </si>
  <si>
    <t>ATD00407</t>
  </si>
  <si>
    <t>ATD00408</t>
  </si>
  <si>
    <t>ATD00409</t>
  </si>
  <si>
    <t>ATD00410</t>
  </si>
  <si>
    <t>ATD00411</t>
  </si>
  <si>
    <t>ATD00412</t>
  </si>
  <si>
    <t>ATD00413</t>
  </si>
  <si>
    <t>ATD00414</t>
  </si>
  <si>
    <t>ATD00415</t>
  </si>
  <si>
    <t>ATD00416</t>
  </si>
  <si>
    <t>ATD00417</t>
  </si>
  <si>
    <t>ATD00418</t>
  </si>
  <si>
    <t>ATD00419</t>
  </si>
  <si>
    <t>ATD00420</t>
  </si>
  <si>
    <t>ATD00421</t>
  </si>
  <si>
    <t>ATD00422</t>
  </si>
  <si>
    <t>ATD00423</t>
  </si>
  <si>
    <t>ATD00424</t>
  </si>
  <si>
    <t>ATD00425</t>
  </si>
  <si>
    <t>ATD00426</t>
  </si>
  <si>
    <t>ATD00427</t>
  </si>
  <si>
    <t>ATD00428</t>
  </si>
  <si>
    <t>ATD00429</t>
  </si>
  <si>
    <t>ATD00430</t>
  </si>
  <si>
    <t>ATD00431</t>
  </si>
  <si>
    <t>ATD00432</t>
  </si>
  <si>
    <t>ATD00433</t>
  </si>
  <si>
    <t>ATD00434</t>
  </si>
  <si>
    <t>ATD00435</t>
  </si>
  <si>
    <t>ATD00436</t>
  </si>
  <si>
    <t>ATD00437</t>
  </si>
  <si>
    <t>ATD00438</t>
  </si>
  <si>
    <t>ATD00439</t>
  </si>
  <si>
    <t>ATD00440</t>
  </si>
  <si>
    <t>ATD00441</t>
  </si>
  <si>
    <t>ATD00442</t>
  </si>
  <si>
    <t>ATD00443</t>
  </si>
  <si>
    <t>ATD00444</t>
  </si>
  <si>
    <t>ATD00445</t>
  </si>
  <si>
    <t>ATD00446</t>
  </si>
  <si>
    <t>ATD00447</t>
  </si>
  <si>
    <t>ATD00448</t>
  </si>
  <si>
    <t>ATD00449</t>
  </si>
  <si>
    <t>ATD00450</t>
  </si>
  <si>
    <t>ATD00451</t>
  </si>
  <si>
    <t>ATD00452</t>
  </si>
  <si>
    <t>ATD00453</t>
  </si>
  <si>
    <t>ATD00454</t>
  </si>
  <si>
    <t>ATD00455</t>
  </si>
  <si>
    <t>ATD00456</t>
  </si>
  <si>
    <t>ATD00457</t>
  </si>
  <si>
    <t>ATD00458</t>
  </si>
  <si>
    <t>ATD00459</t>
  </si>
  <si>
    <t>ATD00460</t>
  </si>
  <si>
    <t>ATD00461</t>
  </si>
  <si>
    <t>ATD00462</t>
  </si>
  <si>
    <t>ATD00463</t>
  </si>
  <si>
    <t>ATD00464</t>
  </si>
  <si>
    <t>ATD00465</t>
  </si>
  <si>
    <t>ATD00466</t>
  </si>
  <si>
    <t>ATD00467</t>
  </si>
  <si>
    <t>ATD00468</t>
  </si>
  <si>
    <t>ATD00469</t>
  </si>
  <si>
    <t>ATD00470</t>
  </si>
  <si>
    <t>ATD00471</t>
  </si>
  <si>
    <t>ATD00472</t>
  </si>
  <si>
    <t>ATD00473</t>
  </si>
  <si>
    <t>ATD00474</t>
  </si>
  <si>
    <t>ATD00475</t>
  </si>
  <si>
    <t>ATD00476</t>
  </si>
  <si>
    <t>ATD00477</t>
  </si>
  <si>
    <t>ATD00478</t>
  </si>
  <si>
    <t>ATD00479</t>
  </si>
  <si>
    <t>ATD00480</t>
  </si>
  <si>
    <t>ATD00481</t>
  </si>
  <si>
    <t>ATD00482</t>
  </si>
  <si>
    <t>ATD00483</t>
  </si>
  <si>
    <t>ATD00484</t>
  </si>
  <si>
    <t>ATD00485</t>
  </si>
  <si>
    <t>ATD00486</t>
  </si>
  <si>
    <t>ATD00487</t>
  </si>
  <si>
    <t>ATD00488</t>
  </si>
  <si>
    <t>ATD00489</t>
  </si>
  <si>
    <t>ATD00490</t>
  </si>
  <si>
    <t>ATD00491</t>
  </si>
  <si>
    <t>ATD00492</t>
  </si>
  <si>
    <t>ATD00493</t>
  </si>
  <si>
    <t>ATD00494</t>
  </si>
  <si>
    <t>ATD00495</t>
  </si>
  <si>
    <t>ATD00496</t>
  </si>
  <si>
    <t>ATD00497</t>
  </si>
  <si>
    <t>ATD00498</t>
  </si>
  <si>
    <t>ATD00499</t>
  </si>
  <si>
    <t>ATD00500</t>
  </si>
  <si>
    <t>ATD00501</t>
  </si>
  <si>
    <t>ATD00502</t>
  </si>
  <si>
    <t>ATD00503</t>
  </si>
  <si>
    <t>ATD00504</t>
  </si>
  <si>
    <t>ATD00505</t>
  </si>
  <si>
    <t>ATD00506</t>
  </si>
  <si>
    <t>ATD00507</t>
  </si>
  <si>
    <t>ATD00508</t>
  </si>
  <si>
    <t>ATD00509</t>
  </si>
  <si>
    <t>ATD00510</t>
  </si>
  <si>
    <t>ATD00511</t>
  </si>
  <si>
    <t>ATD00512</t>
  </si>
  <si>
    <t>ATD00513</t>
  </si>
  <si>
    <t>ATD00514</t>
  </si>
  <si>
    <t>ATD00515</t>
  </si>
  <si>
    <t>ATD00516</t>
  </si>
  <si>
    <t>ATD00517</t>
  </si>
  <si>
    <t>ATD00518</t>
  </si>
  <si>
    <t>ATD00519</t>
  </si>
  <si>
    <t>ATD00520</t>
  </si>
  <si>
    <t>ATD00521</t>
  </si>
  <si>
    <t>ATD00522</t>
  </si>
  <si>
    <t>ATD00523</t>
  </si>
  <si>
    <t>ATD00524</t>
  </si>
  <si>
    <t>ATD00525</t>
  </si>
  <si>
    <t>ATD00526</t>
  </si>
  <si>
    <t>ATD00527</t>
  </si>
  <si>
    <t>ATD00528</t>
  </si>
  <si>
    <t>ATD00529</t>
  </si>
  <si>
    <t>ATD00530</t>
  </si>
  <si>
    <t>ATD00531</t>
  </si>
  <si>
    <t>ATD00532</t>
  </si>
  <si>
    <t>ATD00533</t>
  </si>
  <si>
    <t>ATD00534</t>
  </si>
  <si>
    <t>ATD00535</t>
  </si>
  <si>
    <t>ATD00536</t>
  </si>
  <si>
    <t>ATD00537</t>
  </si>
  <si>
    <t>ATD00538</t>
  </si>
  <si>
    <t>ATD00539</t>
  </si>
  <si>
    <t>ATD00540</t>
  </si>
  <si>
    <t>ATD00541</t>
  </si>
  <si>
    <t>ATD00542</t>
  </si>
  <si>
    <t>ATD00543</t>
  </si>
  <si>
    <t>ATD00544</t>
  </si>
  <si>
    <t>ATD00545</t>
  </si>
  <si>
    <t>ATD00546</t>
  </si>
  <si>
    <t>ATD00547</t>
  </si>
  <si>
    <t>ATD00548</t>
  </si>
  <si>
    <t>ATD00549</t>
  </si>
  <si>
    <t>ATD00550</t>
  </si>
  <si>
    <t>ATD00551</t>
  </si>
  <si>
    <t>ATD00552</t>
  </si>
  <si>
    <t>ATD00553</t>
  </si>
  <si>
    <t>ATD00554</t>
  </si>
  <si>
    <t>ATD00555</t>
  </si>
  <si>
    <t>ATD00556</t>
  </si>
  <si>
    <t>ATD00557</t>
  </si>
  <si>
    <t>ATD00558</t>
  </si>
  <si>
    <t>ATD00559</t>
  </si>
  <si>
    <t>ATD00560</t>
  </si>
  <si>
    <t>ATD00561</t>
  </si>
  <si>
    <t>ATD00562</t>
  </si>
  <si>
    <t>ATD00563</t>
  </si>
  <si>
    <t>ATD00564</t>
  </si>
  <si>
    <t>ATD00565</t>
  </si>
  <si>
    <t>ATD00566</t>
  </si>
  <si>
    <t>ATD00567</t>
  </si>
  <si>
    <t>ATD00568</t>
  </si>
  <si>
    <t>ATD00569</t>
  </si>
  <si>
    <t>ATD00570</t>
  </si>
  <si>
    <t>ATD00571</t>
  </si>
  <si>
    <t>ATD00572</t>
  </si>
  <si>
    <t>ATD00573</t>
  </si>
  <si>
    <t>ATD00574</t>
  </si>
  <si>
    <t>ATD00575</t>
  </si>
  <si>
    <t>ATD00576</t>
  </si>
  <si>
    <t>ATD00577</t>
  </si>
  <si>
    <t>ATD00578</t>
  </si>
  <si>
    <t>ATD00579</t>
  </si>
  <si>
    <t>ATD00580</t>
  </si>
  <si>
    <t>ATD00581</t>
  </si>
  <si>
    <t>ATD00582</t>
  </si>
  <si>
    <t>ATD00583</t>
  </si>
  <si>
    <t>ATD00584</t>
  </si>
  <si>
    <t>ATD00585</t>
  </si>
  <si>
    <t>ATD00586</t>
  </si>
  <si>
    <t>ATD00587</t>
  </si>
  <si>
    <t>ATD00588</t>
  </si>
  <si>
    <t>ATD00589</t>
  </si>
  <si>
    <t>ATD00590</t>
  </si>
  <si>
    <t>ATD00591</t>
  </si>
  <si>
    <t>ATD00592</t>
  </si>
  <si>
    <t>ATD00593</t>
  </si>
  <si>
    <t>ATD00594</t>
  </si>
  <si>
    <t>ATD00595</t>
  </si>
  <si>
    <t>ATD00596</t>
  </si>
  <si>
    <t>ATD00597</t>
  </si>
  <si>
    <t>ATD00598</t>
  </si>
  <si>
    <t>ATD00599</t>
  </si>
  <si>
    <t>ATD00600</t>
  </si>
  <si>
    <t>ATD00601</t>
  </si>
  <si>
    <t>ATD00602</t>
  </si>
  <si>
    <t>ATD00603</t>
  </si>
  <si>
    <t>ATD00604</t>
  </si>
  <si>
    <t>ATD00605</t>
  </si>
  <si>
    <t>ATD00606</t>
  </si>
  <si>
    <t>ATD00607</t>
  </si>
  <si>
    <t>ATD00608</t>
  </si>
  <si>
    <t>ATD00609</t>
  </si>
  <si>
    <t>ATD00610</t>
  </si>
  <si>
    <t>ATD00611</t>
  </si>
  <si>
    <t>ATD00612</t>
  </si>
  <si>
    <t>ATD00613</t>
  </si>
  <si>
    <t>ATD00614</t>
  </si>
  <si>
    <t>ATD00615</t>
  </si>
  <si>
    <t>ATD00616</t>
  </si>
  <si>
    <t>ATD00617</t>
  </si>
  <si>
    <t>ATD00618</t>
  </si>
  <si>
    <t>ATD00619</t>
  </si>
  <si>
    <t>ATD00620</t>
  </si>
  <si>
    <t>ATD00621</t>
  </si>
  <si>
    <t>ATD00622</t>
  </si>
  <si>
    <t>ATD00623</t>
  </si>
  <si>
    <t>ATD00624</t>
  </si>
  <si>
    <t>ATD00625</t>
  </si>
  <si>
    <t>ATD00626</t>
  </si>
  <si>
    <t>ATD00627</t>
  </si>
  <si>
    <t>ATD00628</t>
  </si>
  <si>
    <t>ATD00629</t>
  </si>
  <si>
    <t>ATD00630</t>
  </si>
  <si>
    <t>ATD00631</t>
  </si>
  <si>
    <t>ATD00632</t>
  </si>
  <si>
    <t>ATD00633</t>
  </si>
  <si>
    <t>ATD00634</t>
  </si>
  <si>
    <t>ATD00635</t>
  </si>
  <si>
    <t>ATD00636</t>
  </si>
  <si>
    <t>ATD00637</t>
  </si>
  <si>
    <t>ATD00638</t>
  </si>
  <si>
    <t>ATD00639</t>
  </si>
  <si>
    <t>ATD00640</t>
  </si>
  <si>
    <t>ATD00641</t>
  </si>
  <si>
    <t>ATD00642</t>
  </si>
  <si>
    <t>ATD00643</t>
  </si>
  <si>
    <t>ATD00644</t>
  </si>
  <si>
    <t>ATD00645</t>
  </si>
  <si>
    <t>ATD00646</t>
  </si>
  <si>
    <t>ATD00647</t>
  </si>
  <si>
    <t>ATD00648</t>
  </si>
  <si>
    <t>ATD00649</t>
  </si>
  <si>
    <t>ATD00650</t>
  </si>
  <si>
    <t>ATD00651</t>
  </si>
  <si>
    <t>ATD00652</t>
  </si>
  <si>
    <t>ATD00653</t>
  </si>
  <si>
    <t>ATD00654</t>
  </si>
  <si>
    <t>ATD00655</t>
  </si>
  <si>
    <t>ATD00656</t>
  </si>
  <si>
    <t>ATD00657</t>
  </si>
  <si>
    <t>ATD00658</t>
  </si>
  <si>
    <t>ATD00659</t>
  </si>
  <si>
    <t>ATD00660</t>
  </si>
  <si>
    <t>ATD00661</t>
  </si>
  <si>
    <t>ATD00662</t>
  </si>
  <si>
    <t>ATD00663</t>
  </si>
  <si>
    <t>ATD00664</t>
  </si>
  <si>
    <t>ATD00665</t>
  </si>
  <si>
    <t>ATD00666</t>
  </si>
  <si>
    <t>ATD00667</t>
  </si>
  <si>
    <t>ATD00668</t>
  </si>
  <si>
    <t>ATD00669</t>
  </si>
  <si>
    <t>ATD00670</t>
  </si>
  <si>
    <t>ATD00671</t>
  </si>
  <si>
    <t>ATD00672</t>
  </si>
  <si>
    <t>ATD00673</t>
  </si>
  <si>
    <t>ATD00674</t>
  </si>
  <si>
    <t>ATD00675</t>
  </si>
  <si>
    <t>ATD00676</t>
  </si>
  <si>
    <t>ATD00677</t>
  </si>
  <si>
    <t>ATD00678</t>
  </si>
  <si>
    <t>ATD00679</t>
  </si>
  <si>
    <t>ATD00680</t>
  </si>
  <si>
    <t>ATD00681</t>
  </si>
  <si>
    <t>ATD00682</t>
  </si>
  <si>
    <t>ATD00683</t>
  </si>
  <si>
    <t>ATD00684</t>
  </si>
  <si>
    <t>ATD00685</t>
  </si>
  <si>
    <t>ATD00686</t>
  </si>
  <si>
    <t>ATD00687</t>
  </si>
  <si>
    <t>ATD00688</t>
  </si>
  <si>
    <t>ATD00689</t>
  </si>
  <si>
    <t>ATD00690</t>
  </si>
  <si>
    <t>ATD00691</t>
  </si>
  <si>
    <t>ATD00692</t>
  </si>
  <si>
    <t>ATD00693</t>
  </si>
  <si>
    <t>ATD00694</t>
  </si>
  <si>
    <t>ATD00695</t>
  </si>
  <si>
    <t>ATD00696</t>
  </si>
  <si>
    <t>ATD00697</t>
  </si>
  <si>
    <t>ATD00698</t>
  </si>
  <si>
    <t>ATD00699</t>
  </si>
  <si>
    <t>ATD00700</t>
  </si>
  <si>
    <t>ATD00701</t>
  </si>
  <si>
    <t>ATD00702</t>
  </si>
  <si>
    <t>ATD00703</t>
  </si>
  <si>
    <t>ATD00704</t>
  </si>
  <si>
    <t>ATD00705</t>
  </si>
  <si>
    <t>ATD00706</t>
  </si>
  <si>
    <t>ATD00707</t>
  </si>
  <si>
    <t>ATD00708</t>
  </si>
  <si>
    <t>ATD00709</t>
  </si>
  <si>
    <t>ATD00710</t>
  </si>
  <si>
    <t>ATD00711</t>
  </si>
  <si>
    <t>ATD00712</t>
  </si>
  <si>
    <t>ATD00713</t>
  </si>
  <si>
    <t>ATD00714</t>
  </si>
  <si>
    <t>ATD00715</t>
  </si>
  <si>
    <t>ATD00716</t>
  </si>
  <si>
    <t>ATD00717</t>
  </si>
  <si>
    <t>ATD00718</t>
  </si>
  <si>
    <t>ATD00719</t>
  </si>
  <si>
    <t>ATD00720</t>
  </si>
  <si>
    <t>ATD00721</t>
  </si>
  <si>
    <t>ATD00722</t>
  </si>
  <si>
    <t>ATD00723</t>
  </si>
  <si>
    <t>ATD00724</t>
  </si>
  <si>
    <t>ATD00725</t>
  </si>
  <si>
    <t>ATD00726</t>
  </si>
  <si>
    <t>ATD00727</t>
  </si>
  <si>
    <t>ATD00728</t>
  </si>
  <si>
    <t>ATD00729</t>
  </si>
  <si>
    <t>ATD00730</t>
  </si>
  <si>
    <t>ATD00731</t>
  </si>
  <si>
    <t>ATD00732</t>
  </si>
  <si>
    <t>ATD00733</t>
  </si>
  <si>
    <t>ATD00734</t>
  </si>
  <si>
    <t>ATD00735</t>
  </si>
  <si>
    <t>ATD00736</t>
  </si>
  <si>
    <t>ATD00737</t>
  </si>
  <si>
    <t>ATD00738</t>
  </si>
  <si>
    <t>ATD00739</t>
  </si>
  <si>
    <t>ATD00740</t>
  </si>
  <si>
    <t>ATD00741</t>
  </si>
  <si>
    <t>ATD00742</t>
  </si>
  <si>
    <t>ATD00743</t>
  </si>
  <si>
    <t>ATD00744</t>
  </si>
  <si>
    <t>ATD00745</t>
  </si>
  <si>
    <t>ATD00746</t>
  </si>
  <si>
    <t>ATD00747</t>
  </si>
  <si>
    <t>ATD00748</t>
  </si>
  <si>
    <t>ATD00749</t>
  </si>
  <si>
    <t>ATD00750</t>
  </si>
  <si>
    <t>ATD00751</t>
  </si>
  <si>
    <t>ATD00752</t>
  </si>
  <si>
    <t>ATD00753</t>
  </si>
  <si>
    <t>ATD00754</t>
  </si>
  <si>
    <t>ATD00755</t>
  </si>
  <si>
    <t>ATD00756</t>
  </si>
  <si>
    <t>ATD00757</t>
  </si>
  <si>
    <t>ATD00758</t>
  </si>
  <si>
    <t>ATD00759</t>
  </si>
  <si>
    <t>ATD00760</t>
  </si>
  <si>
    <t>ATD00761</t>
  </si>
  <si>
    <t>ATD00762</t>
  </si>
  <si>
    <t>ATD00763</t>
  </si>
  <si>
    <t>ATD00764</t>
  </si>
  <si>
    <t>ATD00765</t>
  </si>
  <si>
    <t>ATD00766</t>
  </si>
  <si>
    <t>ATD00767</t>
  </si>
  <si>
    <t>ATD00768</t>
  </si>
  <si>
    <t>ATD00769</t>
  </si>
  <si>
    <t>ATD00770</t>
  </si>
  <si>
    <t>ATD00771</t>
  </si>
  <si>
    <t>ATD00772</t>
  </si>
  <si>
    <t>ATD00773</t>
  </si>
  <si>
    <t>ATD00774</t>
  </si>
  <si>
    <t>ATD00775</t>
  </si>
  <si>
    <t>ATD00776</t>
  </si>
  <si>
    <t>ATD00777</t>
  </si>
  <si>
    <t>ATD00778</t>
  </si>
  <si>
    <t>ATD00779</t>
  </si>
  <si>
    <t>ATD00780</t>
  </si>
  <si>
    <t>ATD00781</t>
  </si>
  <si>
    <t>ATD00782</t>
  </si>
  <si>
    <t>ATD00783</t>
  </si>
  <si>
    <t>ATD00784</t>
  </si>
  <si>
    <t>ATD00785</t>
  </si>
  <si>
    <t>ATD00786</t>
  </si>
  <si>
    <t>ATD00787</t>
  </si>
  <si>
    <t>ATD00788</t>
  </si>
  <si>
    <t>ATD00789</t>
  </si>
  <si>
    <t>ATD00790</t>
  </si>
  <si>
    <t>ATD00791</t>
  </si>
  <si>
    <t>ATD00792</t>
  </si>
  <si>
    <t>ATD00793</t>
  </si>
  <si>
    <t>ATD00794</t>
  </si>
  <si>
    <t>ATD00795</t>
  </si>
  <si>
    <t>ATD00796</t>
  </si>
  <si>
    <t>ATD00797</t>
  </si>
  <si>
    <t>ATD00798</t>
  </si>
  <si>
    <t>ATD00799</t>
  </si>
  <si>
    <t>ATD00800</t>
  </si>
  <si>
    <t>Gender</t>
  </si>
  <si>
    <t>Age</t>
  </si>
  <si>
    <t>Joining_Date</t>
  </si>
  <si>
    <t>Salary_INR</t>
  </si>
  <si>
    <t>Experience_Years</t>
  </si>
  <si>
    <t>Employment_Type</t>
  </si>
  <si>
    <t>Status</t>
  </si>
  <si>
    <t>Arun Kumar</t>
  </si>
  <si>
    <t>Male</t>
  </si>
  <si>
    <t>Full Time</t>
  </si>
  <si>
    <t>Active</t>
  </si>
  <si>
    <t>Priya Nair</t>
  </si>
  <si>
    <t>Female</t>
  </si>
  <si>
    <t>Karthik Raj</t>
  </si>
  <si>
    <t>Meena S</t>
  </si>
  <si>
    <t>Hari Prasad</t>
  </si>
  <si>
    <t>Contract</t>
  </si>
  <si>
    <t>Divya R</t>
  </si>
  <si>
    <t>Data Analyst</t>
  </si>
  <si>
    <t>Mohan V</t>
  </si>
  <si>
    <t>Lakshmi K</t>
  </si>
  <si>
    <t>Sanjay P</t>
  </si>
  <si>
    <t>Nisha T</t>
  </si>
  <si>
    <t>Recruiter</t>
  </si>
  <si>
    <t>Ramesh G</t>
  </si>
  <si>
    <t>Senior Sales Executive</t>
  </si>
  <si>
    <t>Kavitha M</t>
  </si>
  <si>
    <t>Financial Analyst</t>
  </si>
  <si>
    <t>Prakash R</t>
  </si>
  <si>
    <t>Supervisor</t>
  </si>
  <si>
    <t>Saranya S</t>
  </si>
  <si>
    <t>Digital Marketing Executive</t>
  </si>
  <si>
    <t>Vinoth K</t>
  </si>
  <si>
    <t>Team Lead</t>
  </si>
  <si>
    <t>Deepa J</t>
  </si>
  <si>
    <t>QA Engineer</t>
  </si>
  <si>
    <t>Suresh B</t>
  </si>
  <si>
    <t>System Administrator</t>
  </si>
  <si>
    <t>Naveen C</t>
  </si>
  <si>
    <t>Business Development Executive</t>
  </si>
  <si>
    <t>Keerthana L</t>
  </si>
  <si>
    <t>Ashwin D</t>
  </si>
  <si>
    <t>Vignesh M</t>
  </si>
  <si>
    <t>Ramya P</t>
  </si>
  <si>
    <t>Content Specialist</t>
  </si>
  <si>
    <t>Gokul R</t>
  </si>
  <si>
    <t>Data Engineer</t>
  </si>
  <si>
    <t>Anand S</t>
  </si>
  <si>
    <t>Project Coordinator</t>
  </si>
  <si>
    <t>Bharathi K</t>
  </si>
  <si>
    <t>Harini V</t>
  </si>
  <si>
    <t>Siva Kumar</t>
  </si>
  <si>
    <t>Warehouse Coordinator</t>
  </si>
  <si>
    <t>Jennifer A</t>
  </si>
  <si>
    <t>Brand Executive</t>
  </si>
  <si>
    <t>Manoj T</t>
  </si>
  <si>
    <t>Payroll Executive</t>
  </si>
  <si>
    <t>Rekha N</t>
  </si>
  <si>
    <t>HR Manager</t>
  </si>
  <si>
    <t>Senthil M</t>
  </si>
  <si>
    <t>Network Engineer</t>
  </si>
  <si>
    <t>Gayathri R</t>
  </si>
  <si>
    <t>Business Analyst</t>
  </si>
  <si>
    <t>Vivek S</t>
  </si>
  <si>
    <t>Sales Manager</t>
  </si>
  <si>
    <t>Abinaya K</t>
  </si>
  <si>
    <t>Quality Analyst</t>
  </si>
  <si>
    <t>Dinesh P</t>
  </si>
  <si>
    <t>Operations Manager</t>
  </si>
  <si>
    <t>Mahesh R</t>
  </si>
  <si>
    <t>Finance Manager</t>
  </si>
  <si>
    <t>Swetha M</t>
  </si>
  <si>
    <t>Marketing Manager</t>
  </si>
  <si>
    <t>Ajith K</t>
  </si>
  <si>
    <t>DevOps Engineer</t>
  </si>
  <si>
    <t>Ranjani S</t>
  </si>
  <si>
    <t>Training Coordinator</t>
  </si>
  <si>
    <t>Balaji V</t>
  </si>
  <si>
    <t>Kiran A</t>
  </si>
  <si>
    <t>Sneha R</t>
  </si>
  <si>
    <t>Rahul N</t>
  </si>
  <si>
    <t>Monisha P</t>
  </si>
  <si>
    <t>SEO Analyst</t>
  </si>
  <si>
    <t>Yuvaraj K</t>
  </si>
  <si>
    <t>Logistics Executive</t>
  </si>
  <si>
    <t>Pavithra L</t>
  </si>
  <si>
    <t>Customer Success Executive</t>
  </si>
  <si>
    <t>Lokesh M</t>
  </si>
  <si>
    <t>Cloud Engineer</t>
  </si>
  <si>
    <t>Janani S</t>
  </si>
  <si>
    <t>Ragul P</t>
  </si>
  <si>
    <t>Anitha V</t>
  </si>
  <si>
    <t>Department_ID</t>
  </si>
  <si>
    <t>Department_Head</t>
  </si>
  <si>
    <t>Employee_Count</t>
  </si>
  <si>
    <t>Annual_Budget_INR</t>
  </si>
  <si>
    <t>Monthly_Target</t>
  </si>
  <si>
    <t>Average_Salary_INR</t>
  </si>
  <si>
    <t>Priority_Level</t>
  </si>
  <si>
    <t>Key_KPI</t>
  </si>
  <si>
    <t>Department_Status</t>
  </si>
  <si>
    <t>DEP001</t>
  </si>
  <si>
    <t>99.5% System Uptime</t>
  </si>
  <si>
    <t>High</t>
  </si>
  <si>
    <t>Project Delivery</t>
  </si>
  <si>
    <t>DEP002</t>
  </si>
  <si>
    <t>&lt;30 Days Hiring Cycle</t>
  </si>
  <si>
    <t>Medium</t>
  </si>
  <si>
    <t>Hiring &amp; Retention</t>
  </si>
  <si>
    <t>DEP003</t>
  </si>
  <si>
    <t>₹2.5 Cr Monthly Sales</t>
  </si>
  <si>
    <t>Revenue Achievement</t>
  </si>
  <si>
    <t>DEP004</t>
  </si>
  <si>
    <t>100% Payroll Accuracy</t>
  </si>
  <si>
    <t>Financial Compliance</t>
  </si>
  <si>
    <t>DEP005</t>
  </si>
  <si>
    <t>95% Process Efficiency</t>
  </si>
  <si>
    <t>Operational Efficiency</t>
  </si>
  <si>
    <t>DEP006</t>
  </si>
  <si>
    <t>2500 Qualified Leads</t>
  </si>
  <si>
    <t>Lead Generation</t>
  </si>
  <si>
    <t>DEP007</t>
  </si>
  <si>
    <t>90% Customer Satisfaction</t>
  </si>
  <si>
    <t>Customer Satisfaction</t>
  </si>
  <si>
    <t>Shift_ID</t>
  </si>
  <si>
    <t>Shift_Name</t>
  </si>
  <si>
    <t>Standard_Working_Hours</t>
  </si>
  <si>
    <t>Break_Duration_Min</t>
  </si>
  <si>
    <t>Overtime_Threshold_Hours</t>
  </si>
  <si>
    <t>Shift_Allowance_INR</t>
  </si>
  <si>
    <t>Applicable_Departments</t>
  </si>
  <si>
    <t>Weekly_Off</t>
  </si>
  <si>
    <t>Shift_Status</t>
  </si>
  <si>
    <t>SH001</t>
  </si>
  <si>
    <t>HR, Finance, Marketing</t>
  </si>
  <si>
    <t>SH002</t>
  </si>
  <si>
    <t>Operations, Customer Support</t>
  </si>
  <si>
    <t>Rotational</t>
  </si>
  <si>
    <t>SH003</t>
  </si>
  <si>
    <t>SH004</t>
  </si>
  <si>
    <t>IT, Operations</t>
  </si>
  <si>
    <t>SH005</t>
  </si>
  <si>
    <t>IT, Business Analysts, Project Teams</t>
  </si>
  <si>
    <t>Saturday &amp; Sunday</t>
  </si>
  <si>
    <t>SH006</t>
  </si>
  <si>
    <t>Weekend Support</t>
  </si>
  <si>
    <t>Weekdays</t>
  </si>
  <si>
    <t>Holiday_ID</t>
  </si>
  <si>
    <t>Holiday_Name</t>
  </si>
  <si>
    <t>Holiday_Date</t>
  </si>
  <si>
    <t>Day</t>
  </si>
  <si>
    <t>Holiday_Type</t>
  </si>
  <si>
    <t>Office_Operation</t>
  </si>
  <si>
    <t>Expected_Attendance</t>
  </si>
  <si>
    <t>Applicable_Locations</t>
  </si>
  <si>
    <t>HOL001</t>
  </si>
  <si>
    <t>New Year's Day</t>
  </si>
  <si>
    <t>National</t>
  </si>
  <si>
    <t>Closed</t>
  </si>
  <si>
    <t>All Branches</t>
  </si>
  <si>
    <t>Company holiday</t>
  </si>
  <si>
    <t>HOL002</t>
  </si>
  <si>
    <t>Pongal</t>
  </si>
  <si>
    <t>Festival</t>
  </si>
  <si>
    <t>Tamil Nadu Branches</t>
  </si>
  <si>
    <t>Regional holiday</t>
  </si>
  <si>
    <t>HOL003</t>
  </si>
  <si>
    <t>Republic Day</t>
  </si>
  <si>
    <t>National holiday</t>
  </si>
  <si>
    <t>HOL004</t>
  </si>
  <si>
    <t>Mahashivratri</t>
  </si>
  <si>
    <t>Restricted</t>
  </si>
  <si>
    <t>Open</t>
  </si>
  <si>
    <t>Optional holiday</t>
  </si>
  <si>
    <t>HOL005</t>
  </si>
  <si>
    <t>Tamil New Year</t>
  </si>
  <si>
    <t>HOL006</t>
  </si>
  <si>
    <t>Good Friday</t>
  </si>
  <si>
    <t>Limited staffing</t>
  </si>
  <si>
    <t>HOL007</t>
  </si>
  <si>
    <t>Labour Day</t>
  </si>
  <si>
    <t>HOL008</t>
  </si>
  <si>
    <t>Bakrid</t>
  </si>
  <si>
    <t>HOL009</t>
  </si>
  <si>
    <t>Independence Day</t>
  </si>
  <si>
    <t>HOL010</t>
  </si>
  <si>
    <t>Gandhi Jayanti</t>
  </si>
  <si>
    <t>HOL011</t>
  </si>
  <si>
    <t>Deepavali</t>
  </si>
  <si>
    <t>Festival holiday</t>
  </si>
  <si>
    <t>HOL012</t>
  </si>
  <si>
    <t>Christmas</t>
  </si>
  <si>
    <t>Year-end holiday</t>
  </si>
  <si>
    <t>Employee_Age</t>
  </si>
  <si>
    <t>Shift_Start_Time</t>
  </si>
  <si>
    <t>Shift_End_Time</t>
  </si>
  <si>
    <t>Annual_Budget</t>
  </si>
  <si>
    <t>Average Salary</t>
  </si>
  <si>
    <t>Total Employees</t>
  </si>
  <si>
    <t>Total Attendance Records</t>
  </si>
  <si>
    <t>Present Count</t>
  </si>
  <si>
    <t>Absent Count</t>
  </si>
  <si>
    <t>Attendance Rate</t>
  </si>
  <si>
    <t>Average Working Hours</t>
  </si>
  <si>
    <t>Average Overtime Hours</t>
  </si>
  <si>
    <t>Average Performance Rating</t>
  </si>
  <si>
    <t>Work From Home Count</t>
  </si>
  <si>
    <t>Office Count</t>
  </si>
  <si>
    <t>Leave Count</t>
  </si>
  <si>
    <t>Leave Rate</t>
  </si>
  <si>
    <t>Row Labels</t>
  </si>
  <si>
    <t>Grand Total</t>
  </si>
  <si>
    <t>Count of Attendance_Status</t>
  </si>
  <si>
    <t xml:space="preserve">Working Day </t>
  </si>
  <si>
    <t>Count of Attendance_ID</t>
  </si>
  <si>
    <t>Average of Performance_Rating</t>
  </si>
  <si>
    <t>Average of Overtime_Hours</t>
  </si>
  <si>
    <t>Count of 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</si>
</sst>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Garamond"/>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5" fontId="0" fillId="0" borderId="0" xfId="0" applyNumberFormat="1"/>
    <xf numFmtId="20" fontId="0" fillId="0" borderId="0" xfId="0" applyNumberFormat="1"/>
    <xf numFmtId="14" fontId="0" fillId="0" borderId="0" xfId="0" applyNumberFormat="1"/>
    <xf numFmtId="9" fontId="0" fillId="0" borderId="0" xfId="0" applyNumberFormat="1"/>
    <xf numFmtId="0" fontId="0" fillId="0" borderId="0" xfId="0" applyAlignment="1">
      <alignment vertical="center"/>
    </xf>
    <xf numFmtId="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8">
    <dxf>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5" formatCode="hh:mm"/>
    </dxf>
    <dxf>
      <numFmt numFmtId="25" formatCode="hh:mm"/>
    </dxf>
    <dxf>
      <numFmt numFmtId="19" formatCode="dd/mm/yyyy"/>
    </dxf>
    <dxf>
      <numFmt numFmtId="13" formatCode="0%"/>
    </dxf>
    <dxf>
      <numFmt numFmtId="19" formatCode="dd/mm/yyyy"/>
    </dxf>
    <dxf>
      <numFmt numFmtId="25" formatCode="hh:mm"/>
    </dxf>
    <dxf>
      <numFmt numFmtId="25" formatCode="hh:mm"/>
    </dxf>
    <dxf>
      <numFmt numFmtId="19" formatCode="dd/mm/yyyy"/>
    </dxf>
    <dxf>
      <numFmt numFmtId="25" formatCode="hh:mm"/>
    </dxf>
    <dxf>
      <numFmt numFmtId="25" formatCode="hh:mm"/>
    </dxf>
    <dxf>
      <numFmt numFmtId="19" formatCode="dd/mm/yyyy"/>
    </dxf>
    <dxf>
      <font>
        <b/>
        <i val="0"/>
        <sz val="36"/>
        <name val="Segoe UI"/>
        <family val="2"/>
        <scheme val="none"/>
      </font>
    </dxf>
    <dxf>
      <font>
        <b/>
        <i val="0"/>
        <sz val="24"/>
        <name val="Segoe UI Symbol"/>
        <family val="2"/>
        <scheme val="none"/>
      </font>
    </dxf>
    <dxf>
      <font>
        <b/>
        <i val="0"/>
        <sz val="28"/>
        <name val="Segoe UI Symbol"/>
        <family val="2"/>
        <scheme val="none"/>
      </font>
    </dxf>
  </dxfs>
  <tableStyles count="2" defaultTableStyle="TableStyleMedium2" defaultPivotStyle="PivotStyleLight16">
    <tableStyle name="Slicer Style 1" pivot="0" table="0" count="2" xr9:uid="{16C262A4-B396-4768-B259-9DBC9BD0D733}">
      <tableStyleElement type="wholeTable" dxfId="27"/>
      <tableStyleElement type="headerRow" dxfId="26"/>
    </tableStyle>
    <tableStyle name="Slicer Style 2" pivot="0" table="0" count="1" xr9:uid="{DEE13EA9-5AAA-4FFA-A5C7-DBFEA9354E5F}">
      <tableStyleElement type="wholeTable" dxfId="2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[employee_Dashboard.xlsx]PivotTables!PivotTable1</c:name>
    <c:fmtId val="4"/>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5"/>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6"/>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7"/>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1"/>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2"/>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3"/>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4"/>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5"/>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9"/>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0"/>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1"/>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2"/>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3"/>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7"/>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8"/>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9"/>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0"/>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1"/>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5"/>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6"/>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7"/>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8"/>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9"/>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3"/>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4"/>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5"/>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6"/>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7"/>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s>
    <c:plotArea>
      <c:layout>
        <c:manualLayout>
          <c:layoutTarget val="inner"/>
          <c:xMode val="edge"/>
          <c:yMode val="edge"/>
          <c:x val="6.4244969378827649E-2"/>
          <c:y val="9.2403890690134327E-2"/>
          <c:w val="0.89019685039370078"/>
          <c:h val="0.79081802274715662"/>
        </c:manualLayout>
      </c:layout>
      <c:barChart>
        <c:barDir val="col"/>
        <c:grouping val="stacked"/>
        <c:varyColors val="0"/>
        <c:ser>
          <c:idx val="0"/>
          <c:order val="0"/>
          <c:tx>
            <c:strRef>
              <c:f>PivotTables!$B$1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8-5949-45E0-A398-2CAC8BA2A853}"/>
              </c:ext>
            </c:extLst>
          </c:dPt>
          <c:dPt>
            <c:idx val="1"/>
            <c:invertIfNegative val="0"/>
            <c:bubble3D val="0"/>
            <c:extLst>
              <c:ext xmlns:c16="http://schemas.microsoft.com/office/drawing/2014/chart" uri="{C3380CC4-5D6E-409C-BE32-E72D297353CC}">
                <c16:uniqueId val="{00000009-5949-45E0-A398-2CAC8BA2A853}"/>
              </c:ext>
            </c:extLst>
          </c:dPt>
          <c:dPt>
            <c:idx val="2"/>
            <c:invertIfNegative val="0"/>
            <c:bubble3D val="0"/>
            <c:extLst>
              <c:ext xmlns:c16="http://schemas.microsoft.com/office/drawing/2014/chart" uri="{C3380CC4-5D6E-409C-BE32-E72D297353CC}">
                <c16:uniqueId val="{0000000A-5949-45E0-A398-2CAC8BA2A853}"/>
              </c:ext>
            </c:extLst>
          </c:dPt>
          <c:dPt>
            <c:idx val="3"/>
            <c:invertIfNegative val="0"/>
            <c:bubble3D val="0"/>
            <c:extLst>
              <c:ext xmlns:c16="http://schemas.microsoft.com/office/drawing/2014/chart" uri="{C3380CC4-5D6E-409C-BE32-E72D297353CC}">
                <c16:uniqueId val="{0000000B-5949-45E0-A398-2CAC8BA2A853}"/>
              </c:ext>
            </c:extLst>
          </c:dPt>
          <c:dPt>
            <c:idx val="4"/>
            <c:invertIfNegative val="0"/>
            <c:bubble3D val="0"/>
            <c:extLst>
              <c:ext xmlns:c16="http://schemas.microsoft.com/office/drawing/2014/chart" uri="{C3380CC4-5D6E-409C-BE32-E72D297353CC}">
                <c16:uniqueId val="{0000000C-5949-45E0-A398-2CAC8BA2A853}"/>
              </c:ext>
            </c:extLst>
          </c:dPt>
          <c:dPt>
            <c:idx val="5"/>
            <c:invertIfNegative val="0"/>
            <c:bubble3D val="0"/>
            <c:extLst>
              <c:ext xmlns:c16="http://schemas.microsoft.com/office/drawing/2014/chart" uri="{C3380CC4-5D6E-409C-BE32-E72D297353CC}">
                <c16:uniqueId val="{0000000D-5949-45E0-A398-2CAC8BA2A853}"/>
              </c:ext>
            </c:extLst>
          </c:dPt>
          <c:dPt>
            <c:idx val="6"/>
            <c:invertIfNegative val="0"/>
            <c:bubble3D val="0"/>
            <c:extLst>
              <c:ext xmlns:c16="http://schemas.microsoft.com/office/drawing/2014/chart" uri="{C3380CC4-5D6E-409C-BE32-E72D297353CC}">
                <c16:uniqueId val="{0000000E-5949-45E0-A398-2CAC8BA2A853}"/>
              </c:ext>
            </c:extLst>
          </c:dPt>
          <c:dLbls>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8-5949-45E0-A398-2CAC8BA2A853}"/>
                </c:ext>
              </c:extLst>
            </c:dLbl>
            <c:dLbl>
              <c:idx val="1"/>
              <c:layout>
                <c:manualLayout>
                  <c:x val="8.3333333333333072E-3"/>
                  <c:y val="-0.35648148148148145"/>
                </c:manualLayout>
              </c:layout>
              <c:tx>
                <c:rich>
                  <a:bodyPr/>
                  <a:lstStyle/>
                  <a:p>
                    <a:fld id="{2E028CCD-FCDA-4395-887B-AA706F311BD4}" type="CATEGORYNAME">
                      <a:rPr lang="en-US">
                        <a:solidFill>
                          <a:sysClr val="windowText" lastClr="000000"/>
                        </a:solidFill>
                      </a:rPr>
                      <a:pPr/>
                      <a:t>[CATEGORY NAME]</a:t>
                    </a:fld>
                    <a:r>
                      <a:rPr lang="en-US" baseline="0"/>
                      <a:t>, </a:t>
                    </a:r>
                    <a:fld id="{B7742AF9-9AD8-4D4B-9F35-5955BDBCB2EA}"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949-45E0-A398-2CAC8BA2A853}"/>
                </c:ext>
              </c:extLst>
            </c:dLbl>
            <c:dLbl>
              <c:idx val="2"/>
              <c:layout>
                <c:manualLayout>
                  <c:x val="8.3333333333332829E-3"/>
                  <c:y val="-0.17592592592592593"/>
                </c:manualLayout>
              </c:layout>
              <c:tx>
                <c:rich>
                  <a:bodyPr/>
                  <a:lstStyle/>
                  <a:p>
                    <a:fld id="{4C734240-F880-4143-A6CE-CCC3E81FAFDA}" type="CATEGORYNAME">
                      <a:rPr lang="en-US">
                        <a:solidFill>
                          <a:sysClr val="windowText" lastClr="000000"/>
                        </a:solidFill>
                      </a:rPr>
                      <a:pPr/>
                      <a:t>[CATEGORY NAME]</a:t>
                    </a:fld>
                    <a:r>
                      <a:rPr lang="en-US" baseline="0"/>
                      <a:t>, </a:t>
                    </a:r>
                    <a:fld id="{12F03D95-4FC8-41B6-B2AE-91E52C5F3FED}"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5949-45E0-A398-2CAC8BA2A853}"/>
                </c:ext>
              </c:extLst>
            </c:dLbl>
            <c:dLbl>
              <c:idx val="3"/>
              <c:layout>
                <c:manualLayout>
                  <c:x val="2.7777777777777779E-3"/>
                  <c:y val="-0.2361111111111111"/>
                </c:manualLayout>
              </c:layout>
              <c:tx>
                <c:rich>
                  <a:bodyPr/>
                  <a:lstStyle/>
                  <a:p>
                    <a:fld id="{AE3114DF-B219-4C3A-9418-1920F6B51EC3}" type="CATEGORYNAME">
                      <a:rPr lang="en-US">
                        <a:solidFill>
                          <a:sysClr val="windowText" lastClr="000000"/>
                        </a:solidFill>
                      </a:rPr>
                      <a:pPr/>
                      <a:t>[CATEGORY NAME]</a:t>
                    </a:fld>
                    <a:r>
                      <a:rPr lang="en-US" baseline="0"/>
                      <a:t>, </a:t>
                    </a:r>
                    <a:fld id="{36E61B56-DE36-4B83-B569-749F37B044DE}"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949-45E0-A398-2CAC8BA2A853}"/>
                </c:ext>
              </c:extLst>
            </c:dLbl>
            <c:dLbl>
              <c:idx val="4"/>
              <c:layout>
                <c:manualLayout>
                  <c:x val="1.3888888888888888E-2"/>
                  <c:y val="-0.17592592592592593"/>
                </c:manualLayout>
              </c:layout>
              <c:tx>
                <c:rich>
                  <a:bodyPr/>
                  <a:lstStyle/>
                  <a:p>
                    <a:fld id="{0D757F57-1D74-402F-84CD-8B05BB87C5E4}" type="CATEGORYNAME">
                      <a:rPr lang="en-US">
                        <a:solidFill>
                          <a:sysClr val="windowText" lastClr="000000"/>
                        </a:solidFill>
                      </a:rPr>
                      <a:pPr/>
                      <a:t>[CATEGORY NAME]</a:t>
                    </a:fld>
                    <a:r>
                      <a:rPr lang="en-US" baseline="0"/>
                      <a:t>, </a:t>
                    </a:r>
                    <a:fld id="{0D362B77-4045-4ADC-ABBE-C85D0F8B699E}"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5949-45E0-A398-2CAC8BA2A853}"/>
                </c:ext>
              </c:extLst>
            </c:dLbl>
            <c:dLbl>
              <c:idx val="5"/>
              <c:layout>
                <c:manualLayout>
                  <c:x val="2.777777777777676E-3"/>
                  <c:y val="-0.24074074074074078"/>
                </c:manualLayout>
              </c:layout>
              <c:tx>
                <c:rich>
                  <a:bodyPr/>
                  <a:lstStyle/>
                  <a:p>
                    <a:fld id="{C2BDF9B2-AD40-4F56-86B5-A68FAAD85541}" type="CATEGORYNAME">
                      <a:rPr lang="en-US">
                        <a:solidFill>
                          <a:sysClr val="windowText" lastClr="000000"/>
                        </a:solidFill>
                      </a:rPr>
                      <a:pPr/>
                      <a:t>[CATEGORY NAME]</a:t>
                    </a:fld>
                    <a:r>
                      <a:rPr lang="en-US" baseline="0"/>
                      <a:t>, </a:t>
                    </a:r>
                    <a:fld id="{47F0913C-85A3-4F30-9B40-CBED0B5149F5}"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5949-45E0-A398-2CAC8BA2A853}"/>
                </c:ext>
              </c:extLst>
            </c:dLbl>
            <c:dLbl>
              <c:idx val="6"/>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E-5949-45E0-A398-2CAC8BA2A8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PivotTables!$A$2:$A$9</c:f>
              <c:strCache>
                <c:ptCount val="7"/>
                <c:pt idx="0">
                  <c:v>Customer Support</c:v>
                </c:pt>
                <c:pt idx="1">
                  <c:v>Finance</c:v>
                </c:pt>
                <c:pt idx="2">
                  <c:v>HR</c:v>
                </c:pt>
                <c:pt idx="3">
                  <c:v>IT</c:v>
                </c:pt>
                <c:pt idx="4">
                  <c:v>Marketing</c:v>
                </c:pt>
                <c:pt idx="5">
                  <c:v>Operations</c:v>
                </c:pt>
                <c:pt idx="6">
                  <c:v>Sales</c:v>
                </c:pt>
              </c:strCache>
            </c:strRef>
          </c:cat>
          <c:val>
            <c:numRef>
              <c:f>PivotTables!$B$2:$B$9</c:f>
              <c:numCache>
                <c:formatCode>General</c:formatCode>
                <c:ptCount val="7"/>
                <c:pt idx="0">
                  <c:v>82</c:v>
                </c:pt>
                <c:pt idx="1">
                  <c:v>88</c:v>
                </c:pt>
                <c:pt idx="2">
                  <c:v>79</c:v>
                </c:pt>
                <c:pt idx="3">
                  <c:v>84</c:v>
                </c:pt>
                <c:pt idx="4">
                  <c:v>81</c:v>
                </c:pt>
                <c:pt idx="5">
                  <c:v>83</c:v>
                </c:pt>
                <c:pt idx="6">
                  <c:v>94</c:v>
                </c:pt>
              </c:numCache>
            </c:numRef>
          </c:val>
          <c:extLst>
            <c:ext xmlns:c16="http://schemas.microsoft.com/office/drawing/2014/chart" uri="{C3380CC4-5D6E-409C-BE32-E72D297353CC}">
              <c16:uniqueId val="{0000000F-5949-45E0-A398-2CAC8BA2A853}"/>
            </c:ext>
          </c:extLst>
        </c:ser>
        <c:dLbls>
          <c:showLegendKey val="0"/>
          <c:showVal val="0"/>
          <c:showCatName val="0"/>
          <c:showSerName val="0"/>
          <c:showPercent val="0"/>
          <c:showBubbleSize val="0"/>
        </c:dLbls>
        <c:gapWidth val="150"/>
        <c:overlap val="100"/>
        <c:axId val="1850538048"/>
        <c:axId val="1837174928"/>
      </c:barChart>
      <c:catAx>
        <c:axId val="1850538048"/>
        <c:scaling>
          <c:orientation val="minMax"/>
        </c:scaling>
        <c:delete val="1"/>
        <c:axPos val="b"/>
        <c:numFmt formatCode="General" sourceLinked="1"/>
        <c:majorTickMark val="none"/>
        <c:minorTickMark val="none"/>
        <c:tickLblPos val="nextTo"/>
        <c:crossAx val="1837174928"/>
        <c:crosses val="autoZero"/>
        <c:auto val="1"/>
        <c:lblAlgn val="ctr"/>
        <c:lblOffset val="100"/>
        <c:noMultiLvlLbl val="0"/>
      </c:catAx>
      <c:valAx>
        <c:axId val="1837174928"/>
        <c:scaling>
          <c:orientation val="minMax"/>
        </c:scaling>
        <c:delete val="1"/>
        <c:axPos val="l"/>
        <c:numFmt formatCode="General" sourceLinked="1"/>
        <c:majorTickMark val="none"/>
        <c:minorTickMark val="none"/>
        <c:tickLblPos val="nextTo"/>
        <c:crossAx val="1850538048"/>
        <c:crosses val="autoZero"/>
        <c:crossBetween val="between"/>
      </c:valAx>
    </c:plotArea>
    <c:plotVisOnly val="1"/>
    <c:dispBlanksAs val="gap"/>
    <c:showDLblsOverMax val="0"/>
    <c:extLst/>
  </c:chart>
  <c:spPr>
    <a:solidFill>
      <a:schemeClr val="bg1"/>
    </a:solidFill>
    <a:ln w="9525" cap="flat" cmpd="sng" algn="ctr">
      <a:noFill/>
      <a:round/>
    </a:ln>
    <a:effectLst>
      <a:glow>
        <a:schemeClr val="accent1">
          <a:alpha val="54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[employee_Dashboard.xlsx]PivotTables!PivotTable3</c:name>
    <c:fmtId val="8"/>
  </c:pivotSource>
  <c:chart>
    <c:autoTitleDeleted val="1"/>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PivotTables!$E$1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PivotTables!$D$2:$D$8</c:f>
              <c:strCache>
                <c:ptCount val="6"/>
                <c:pt idx="0">
                  <c:v>Jan</c:v>
                </c:pt>
                <c:pt idx="1">
                  <c:v>Feb</c:v>
                </c:pt>
                <c:pt idx="2">
                  <c:v>Mar</c:v>
                </c:pt>
                <c:pt idx="3">
                  <c:v>Apr</c:v>
                </c:pt>
                <c:pt idx="4">
                  <c:v>May</c:v>
                </c:pt>
                <c:pt idx="5">
                  <c:v>Jun</c:v>
                </c:pt>
              </c:strCache>
            </c:strRef>
          </c:cat>
          <c:val>
            <c:numRef>
              <c:f>PivotTables!$E$2:$E$8</c:f>
              <c:numCache>
                <c:formatCode>General</c:formatCode>
                <c:ptCount val="6"/>
                <c:pt idx="0">
                  <c:v>96</c:v>
                </c:pt>
                <c:pt idx="1">
                  <c:v>87</c:v>
                </c:pt>
                <c:pt idx="2">
                  <c:v>108</c:v>
                </c:pt>
                <c:pt idx="3">
                  <c:v>109</c:v>
                </c:pt>
                <c:pt idx="4">
                  <c:v>105</c:v>
                </c:pt>
                <c:pt idx="5">
                  <c:v>86</c:v>
                </c:pt>
              </c:numCache>
            </c:numRef>
          </c:val>
          <c:smooth val="0"/>
          <c:extLst>
            <c:ext xmlns:c16="http://schemas.microsoft.com/office/drawing/2014/chart" uri="{C3380CC4-5D6E-409C-BE32-E72D297353CC}">
              <c16:uniqueId val="{00000000-2F9F-4EE0-AABC-AEF6ADF57BF2}"/>
            </c:ext>
          </c:extLst>
        </c:ser>
        <c:dLbls>
          <c:dLblPos val="t"/>
          <c:showLegendKey val="0"/>
          <c:showVal val="1"/>
          <c:showCatName val="0"/>
          <c:showSerName val="0"/>
          <c:showPercent val="0"/>
          <c:showBubbleSize val="0"/>
        </c:dLbls>
        <c:marker val="1"/>
        <c:smooth val="0"/>
        <c:axId val="1942277008"/>
        <c:axId val="1848190800"/>
      </c:lineChart>
      <c:catAx>
        <c:axId val="194227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48190800"/>
        <c:crosses val="autoZero"/>
        <c:auto val="1"/>
        <c:lblAlgn val="ctr"/>
        <c:lblOffset val="100"/>
        <c:noMultiLvlLbl val="0"/>
      </c:catAx>
      <c:valAx>
        <c:axId val="1848190800"/>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27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PivotTables!$G$2:$G$9</c:f>
              <c:strCache>
                <c:ptCount val="7"/>
                <c:pt idx="0">
                  <c:v>Customer Support</c:v>
                </c:pt>
                <c:pt idx="1">
                  <c:v>Finance</c:v>
                </c:pt>
                <c:pt idx="2">
                  <c:v>HR</c:v>
                </c:pt>
                <c:pt idx="3">
                  <c:v>IT</c:v>
                </c:pt>
                <c:pt idx="4">
                  <c:v>Marketing</c:v>
                </c:pt>
                <c:pt idx="5">
                  <c:v>Operations</c:v>
                </c:pt>
                <c:pt idx="6">
                  <c:v>Sales</c:v>
                </c:pt>
              </c:strCache>
            </c:strRef>
          </c:cat>
          <c:val>
            <c:numRef>
              <c:f>PivotTables!$H$2:$H$9</c:f>
              <c:numCache>
                <c:formatCode>0.00</c:formatCode>
                <c:ptCount val="7"/>
                <c:pt idx="0">
                  <c:v>4.0517241379310347</c:v>
                </c:pt>
                <c:pt idx="1">
                  <c:v>4.0746268656716422</c:v>
                </c:pt>
                <c:pt idx="2">
                  <c:v>4.0169491525423728</c:v>
                </c:pt>
                <c:pt idx="3">
                  <c:v>4.0655737704918034</c:v>
                </c:pt>
                <c:pt idx="4">
                  <c:v>3.9516129032258065</c:v>
                </c:pt>
                <c:pt idx="5">
                  <c:v>4.0178571428571432</c:v>
                </c:pt>
                <c:pt idx="6">
                  <c:v>3.8714285714285714</c:v>
                </c:pt>
              </c:numCache>
            </c:numRef>
          </c:val>
          <c:extLst>
            <c:ext xmlns:c16="http://schemas.microsoft.com/office/drawing/2014/chart" uri="{C3380CC4-5D6E-409C-BE32-E72D297353CC}">
              <c16:uniqueId val="{00000000-B6E6-4076-95DD-B3A0B0EF47DF}"/>
            </c:ext>
          </c:extLst>
        </c:ser>
        <c:dLbls>
          <c:dLblPos val="outEnd"/>
          <c:showLegendKey val="0"/>
          <c:showVal val="1"/>
          <c:showCatName val="0"/>
          <c:showSerName val="0"/>
          <c:showPercent val="0"/>
          <c:showBubbleSize val="0"/>
        </c:dLbls>
        <c:gapWidth val="219"/>
        <c:overlap val="-27"/>
        <c:axId val="1930386480"/>
        <c:axId val="1848141840"/>
      </c:barChart>
      <c:catAx>
        <c:axId val="19303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141840"/>
        <c:crosses val="autoZero"/>
        <c:auto val="1"/>
        <c:lblAlgn val="ctr"/>
        <c:lblOffset val="100"/>
        <c:noMultiLvlLbl val="0"/>
      </c:catAx>
      <c:valAx>
        <c:axId val="1848141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38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80555555555552"/>
          <c:y val="0.14249781277340332"/>
          <c:w val="0.75763888888888886"/>
          <c:h val="0.80657626130067073"/>
        </c:manualLayout>
      </c:layout>
      <c:barChart>
        <c:barDir val="bar"/>
        <c:grouping val="clustered"/>
        <c:varyColors val="0"/>
        <c:ser>
          <c:idx val="0"/>
          <c:order val="0"/>
          <c:tx>
            <c:strRef>
              <c:f>PivotTables!$K$1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PivotTables!$J$2:$J$9</c:f>
              <c:strCache>
                <c:ptCount val="7"/>
                <c:pt idx="0">
                  <c:v>Customer Support</c:v>
                </c:pt>
                <c:pt idx="1">
                  <c:v>Finance</c:v>
                </c:pt>
                <c:pt idx="2">
                  <c:v>HR</c:v>
                </c:pt>
                <c:pt idx="3">
                  <c:v>IT</c:v>
                </c:pt>
                <c:pt idx="4">
                  <c:v>Marketing</c:v>
                </c:pt>
                <c:pt idx="5">
                  <c:v>Operations</c:v>
                </c:pt>
                <c:pt idx="6">
                  <c:v>Sales</c:v>
                </c:pt>
              </c:strCache>
            </c:strRef>
          </c:cat>
          <c:val>
            <c:numRef>
              <c:f>PivotTables!$K$2:$K$9</c:f>
              <c:numCache>
                <c:formatCode>0.00</c:formatCode>
                <c:ptCount val="7"/>
                <c:pt idx="0">
                  <c:v>0.22222222222222221</c:v>
                </c:pt>
                <c:pt idx="1">
                  <c:v>0.39610389610389612</c:v>
                </c:pt>
                <c:pt idx="2">
                  <c:v>0.21830985915492956</c:v>
                </c:pt>
                <c:pt idx="3">
                  <c:v>1.0410958904109588</c:v>
                </c:pt>
                <c:pt idx="4">
                  <c:v>0.2638888888888889</c:v>
                </c:pt>
                <c:pt idx="5">
                  <c:v>0.28082191780821919</c:v>
                </c:pt>
                <c:pt idx="6">
                  <c:v>0.30952380952380953</c:v>
                </c:pt>
              </c:numCache>
            </c:numRef>
          </c:val>
          <c:extLst>
            <c:ext xmlns:c16="http://schemas.microsoft.com/office/drawing/2014/chart" uri="{C3380CC4-5D6E-409C-BE32-E72D297353CC}">
              <c16:uniqueId val="{00000000-5155-4962-B32A-30D25CC2C24B}"/>
            </c:ext>
          </c:extLst>
        </c:ser>
        <c:dLbls>
          <c:dLblPos val="outEnd"/>
          <c:showLegendKey val="0"/>
          <c:showVal val="1"/>
          <c:showCatName val="0"/>
          <c:showSerName val="0"/>
          <c:showPercent val="0"/>
          <c:showBubbleSize val="0"/>
        </c:dLbls>
        <c:gapWidth val="182"/>
        <c:axId val="1942960832"/>
        <c:axId val="1848147600"/>
      </c:barChart>
      <c:catAx>
        <c:axId val="1942960832"/>
        <c:scaling>
          <c:orientation val="minMax"/>
        </c:scaling>
        <c:delete val="1"/>
        <c:axPos val="l"/>
        <c:numFmt formatCode="General" sourceLinked="1"/>
        <c:majorTickMark val="none"/>
        <c:minorTickMark val="none"/>
        <c:tickLblPos val="nextTo"/>
        <c:crossAx val="1848147600"/>
        <c:crosses val="autoZero"/>
        <c:auto val="1"/>
        <c:lblAlgn val="ctr"/>
        <c:lblOffset val="100"/>
        <c:noMultiLvlLbl val="0"/>
      </c:catAx>
      <c:valAx>
        <c:axId val="1848147600"/>
        <c:scaling>
          <c:orientation val="minMax"/>
        </c:scaling>
        <c:delete val="1"/>
        <c:axPos val="b"/>
        <c:numFmt formatCode="0.00" sourceLinked="1"/>
        <c:majorTickMark val="none"/>
        <c:minorTickMark val="none"/>
        <c:tickLblPos val="nextTo"/>
        <c:crossAx val="194296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22222222222233"/>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888888888888896E-2"/>
                  <c:h val="7.8634441528142307E-2"/>
                </c:manualLayout>
              </c15:layout>
            </c:ext>
          </c:extLst>
        </c:dLbl>
      </c:pivotFmt>
      <c:pivotFmt>
        <c:idx val="3"/>
        <c:spPr>
          <a:solidFill>
            <a:schemeClr val="accent1"/>
          </a:solidFill>
          <a:ln w="19050">
            <a:solidFill>
              <a:schemeClr val="lt1"/>
            </a:solidFill>
          </a:ln>
          <a:effectLst/>
        </c:spPr>
        <c:dLbl>
          <c:idx val="0"/>
          <c:layout>
            <c:manualLayout>
              <c:x val="-7.7777777777777835E-2"/>
              <c:y val="9.2592592592592421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PivotTables!$N$1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10D-4DD4-A154-497BE2302E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10D-4DD4-A154-497BE2302E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210D-4DD4-A154-497BE2302E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F1-4DE3-B0E1-00755FE50537}"/>
              </c:ext>
            </c:extLst>
          </c:dPt>
          <c:dLbls>
            <c:dLbl>
              <c:idx val="0"/>
              <c:layout>
                <c:manualLayout>
                  <c:x val="0.12222222222222233"/>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888888888888896E-2"/>
                      <c:h val="7.8634441528142307E-2"/>
                    </c:manualLayout>
                  </c15:layout>
                </c:ext>
                <c:ext xmlns:c16="http://schemas.microsoft.com/office/drawing/2014/chart" uri="{C3380CC4-5D6E-409C-BE32-E72D297353CC}">
                  <c16:uniqueId val="{00000003-210D-4DD4-A154-497BE2302E7A}"/>
                </c:ext>
              </c:extLst>
            </c:dLbl>
            <c:dLbl>
              <c:idx val="1"/>
              <c:layout>
                <c:manualLayout>
                  <c:x val="-7.7777777777777835E-2"/>
                  <c:y val="9.2592592592592421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0D-4DD4-A154-497BE2302E7A}"/>
                </c:ext>
              </c:extLst>
            </c:dLbl>
            <c:dLbl>
              <c:idx val="2"/>
              <c:layout>
                <c:manualLayout>
                  <c:x val="-0.1222222222222222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0D-4DD4-A154-497BE2302E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PivotTables!$M$2:$M$5</c:f>
              <c:strCache>
                <c:ptCount val="3"/>
                <c:pt idx="0">
                  <c:v>Hybrid</c:v>
                </c:pt>
                <c:pt idx="1">
                  <c:v>Office</c:v>
                </c:pt>
                <c:pt idx="2">
                  <c:v>Remote</c:v>
                </c:pt>
              </c:strCache>
            </c:strRef>
          </c:cat>
          <c:val>
            <c:numRef>
              <c:f>PivotTables!$N$2:$N$5</c:f>
              <c:numCache>
                <c:formatCode>General</c:formatCode>
                <c:ptCount val="3"/>
                <c:pt idx="0">
                  <c:v>191</c:v>
                </c:pt>
                <c:pt idx="1">
                  <c:v>229</c:v>
                </c:pt>
                <c:pt idx="2">
                  <c:v>171</c:v>
                </c:pt>
              </c:numCache>
            </c:numRef>
          </c:val>
          <c:extLst>
            <c:ext xmlns:c16="http://schemas.microsoft.com/office/drawing/2014/chart" uri="{C3380CC4-5D6E-409C-BE32-E72D297353CC}">
              <c16:uniqueId val="{00000000-210D-4DD4-A154-497BE2302E7A}"/>
            </c:ext>
          </c:extLst>
        </c:ser>
        <c:dLbls>
          <c:showLegendKey val="0"/>
          <c:showVal val="1"/>
          <c:showCatName val="0"/>
          <c:showSerName val="0"/>
          <c:showPercent val="0"/>
          <c:showBubbleSize val="0"/>
          <c:showLeaderLines val="1"/>
        </c:dLbls>
        <c:firstSliceAng val="0"/>
        <c:holeSize val="75"/>
      </c:doughnutChart>
      <c:spPr>
        <a:noFill/>
        <a:ln>
          <a:noFill/>
        </a:ln>
        <a:effectLst>
          <a:outerShdw blurRad="50800" dist="50800" dir="5400000" sx="1000" sy="1000" algn="ctr" rotWithShape="0">
            <a:srgbClr val="000000">
              <a:alpha val="43137"/>
            </a:srgbClr>
          </a:outerShdw>
          <a:softEdge rad="5588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[employee_Dashboard.xlsx]PivotTables!PivotTable7</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BC-48DB-8D8B-D04117BC2B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BC-48DB-8D8B-D04117BC2B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PivotTables!$P$2:$P$4</c:f>
              <c:strCache>
                <c:ptCount val="2"/>
                <c:pt idx="0">
                  <c:v>Female</c:v>
                </c:pt>
                <c:pt idx="1">
                  <c:v>Male</c:v>
                </c:pt>
              </c:strCache>
            </c:strRef>
          </c:cat>
          <c:val>
            <c:numRef>
              <c:f>PivotTables!$Q$2:$Q$4</c:f>
              <c:numCache>
                <c:formatCode>General</c:formatCode>
                <c:ptCount val="2"/>
                <c:pt idx="0">
                  <c:v>273</c:v>
                </c:pt>
                <c:pt idx="1">
                  <c:v>318</c:v>
                </c:pt>
              </c:numCache>
            </c:numRef>
          </c:val>
          <c:extLst>
            <c:ext xmlns:c16="http://schemas.microsoft.com/office/drawing/2014/chart" uri="{C3380CC4-5D6E-409C-BE32-E72D297353CC}">
              <c16:uniqueId val="{00000000-88CE-4D58-BEE5-90CD4200406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82-48AA-904C-6DFEEE99C1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82-48AA-904C-6DFEEE99C1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82-48AA-904C-6DFEEE99C1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82-48AA-904C-6DFEEE99C1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PivotTables!$T$2:$T$6</c:f>
              <c:strCache>
                <c:ptCount val="4"/>
                <c:pt idx="0">
                  <c:v>Festival</c:v>
                </c:pt>
                <c:pt idx="1">
                  <c:v>National</c:v>
                </c:pt>
                <c:pt idx="2">
                  <c:v>Restricted</c:v>
                </c:pt>
                <c:pt idx="3">
                  <c:v>Working Day </c:v>
                </c:pt>
              </c:strCache>
            </c:strRef>
          </c:cat>
          <c:val>
            <c:numRef>
              <c:f>PivotTables!$U$2:$U$6</c:f>
              <c:numCache>
                <c:formatCode>General</c:formatCode>
                <c:ptCount val="4"/>
                <c:pt idx="0">
                  <c:v>2</c:v>
                </c:pt>
                <c:pt idx="1">
                  <c:v>14</c:v>
                </c:pt>
                <c:pt idx="2">
                  <c:v>10</c:v>
                </c:pt>
                <c:pt idx="3">
                  <c:v>565</c:v>
                </c:pt>
              </c:numCache>
            </c:numRef>
          </c:val>
          <c:extLst>
            <c:ext xmlns:c16="http://schemas.microsoft.com/office/drawing/2014/chart" uri="{C3380CC4-5D6E-409C-BE32-E72D297353CC}">
              <c16:uniqueId val="{00000000-03AB-41BE-B3B3-EF2D37B4CE8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PivotTables!$Y$1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3B-47CD-B9C8-B0D8463BED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3B-47CD-B9C8-B0D8463BED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3B-47CD-B9C8-B0D8463BED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PivotTables!$X$2:$X$5</c:f>
              <c:strCache>
                <c:ptCount val="3"/>
                <c:pt idx="0">
                  <c:v>Absent</c:v>
                </c:pt>
                <c:pt idx="1">
                  <c:v>Leave</c:v>
                </c:pt>
                <c:pt idx="2">
                  <c:v>Present</c:v>
                </c:pt>
              </c:strCache>
            </c:strRef>
          </c:cat>
          <c:val>
            <c:numRef>
              <c:f>PivotTables!$Y$2:$Y$5</c:f>
              <c:numCache>
                <c:formatCode>General</c:formatCode>
                <c:ptCount val="3"/>
                <c:pt idx="0">
                  <c:v>37</c:v>
                </c:pt>
                <c:pt idx="1">
                  <c:v>32</c:v>
                </c:pt>
                <c:pt idx="2">
                  <c:v>522</c:v>
                </c:pt>
              </c:numCache>
            </c:numRef>
          </c:val>
          <c:extLst>
            <c:ext xmlns:c16="http://schemas.microsoft.com/office/drawing/2014/chart" uri="{C3380CC4-5D6E-409C-BE32-E72D297353CC}">
              <c16:uniqueId val="{00000000-8C86-4A7B-8415-24B063A0ED2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[employee_Dashboard.xlsx]PivotTables!PivotTable1</c:name>
    <c:fmtId val="18"/>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dLbl>
          <c:idx val="0"/>
          <c:layout>
            <c:manualLayout>
              <c:x val="2.7777777777777779E-3"/>
              <c:y val="-0.18981481481481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dLbl>
          <c:idx val="0"/>
          <c:layout>
            <c:manualLayout>
              <c:x val="8.3333333333333072E-3"/>
              <c:y val="-0.3564814814814814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B7742AF9-9AD8-4D4B-9F35-5955BDBCB2EA}"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7"/>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12F03D95-4FC8-41B6-B2AE-91E52C5F3FED}"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dLbl>
          <c:idx val="0"/>
          <c:layout>
            <c:manualLayout>
              <c:x val="2.7777777777777779E-3"/>
              <c:y val="-0.2361111111111111"/>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36E61B56-DE36-4B83-B569-749F37B044D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9"/>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0D362B77-4045-4ADC-ABBE-C85D0F8B699E}"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0"/>
        <c:spPr>
          <a:solidFill>
            <a:schemeClr val="accent1"/>
          </a:solidFill>
          <a:ln>
            <a:noFill/>
          </a:ln>
          <a:effectLst/>
        </c:spPr>
        <c:dLbl>
          <c:idx val="0"/>
          <c:layout>
            <c:manualLayout>
              <c:x val="2.777777777777676E-3"/>
              <c:y val="-0.240740740740740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[CATEGORY NAME]</a:t>
                </a:fld>
                <a:r>
                  <a:rPr lang="en-US" baseline="0"/>
                  <a:t>, </a:t>
                </a:r>
                <a:fld id="{47F0913C-85A3-4F30-9B40-CBED0B5149F5}" type="VALUE">
                  <a:rPr lang="en-US" baseline="0">
                    <a:solidFill>
                      <a:sysClr val="windowText" lastClr="000000"/>
                    </a:solidFill>
                  </a:rPr>
                  <a:pPr>
                    <a:defRPr sz="900" b="1"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1"/>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lumMod val="65000"/>
                          <a:lumOff val="35000"/>
                        </a:sysClr>
                      </a:solidFill>
                      <a:latin typeface="+mn-lt"/>
                      <a:ea typeface="+mn-ea"/>
                      <a:cs typeface="+mn-cs"/>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a:noFill/>
          </a:ln>
          <a:effectLst/>
        </c:spPr>
        <c:dLbl>
          <c:idx val="0"/>
          <c:layout>
            <c:manualLayout>
              <c:x val="-1.2282594946716002E-2"/>
              <c:y val="-0.26347935789794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c:spPr>
        <c:dLbl>
          <c:idx val="0"/>
          <c:layout>
            <c:manualLayout>
              <c:x val="8.3333333333333107E-3"/>
              <c:y val="-0.4485622308261191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E028CCD-FCDA-4395-887B-AA706F311BD4}" type="CATEGORYNAME">
                  <a:rPr lang="en-US">
                    <a:solidFill>
                      <a:sysClr val="windowText" lastClr="000000"/>
                    </a:solidFill>
                  </a:rPr>
                  <a:pPr>
                    <a:defRPr b="1"/>
                  </a:pPr>
                  <a:t>[CATEGORY NAME]</a:t>
                </a:fld>
                <a:r>
                  <a:rPr lang="en-US" baseline="0"/>
                  <a:t>, </a:t>
                </a:r>
                <a:fld id="{B7742AF9-9AD8-4D4B-9F35-5955BDBCB2EA}" type="VALUE">
                  <a:rPr lang="en-US" baseline="0">
                    <a:solidFill>
                      <a:sysClr val="windowText" lastClr="000000"/>
                    </a:solidFill>
                  </a:rPr>
                  <a:pPr>
                    <a:defRPr b="1"/>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5"/>
        <c:spPr>
          <a:solidFill>
            <a:schemeClr val="accent1"/>
          </a:solidFill>
          <a:ln>
            <a:noFill/>
          </a:ln>
          <a:effectLst/>
        </c:spPr>
        <c:dLbl>
          <c:idx val="0"/>
          <c:layout>
            <c:manualLayout>
              <c:x val="8.3333333333332829E-3"/>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4C734240-F880-4143-A6CE-CCC3E81FAFDA}" type="CATEGORYNAME">
                  <a:rPr lang="en-US">
                    <a:solidFill>
                      <a:sysClr val="windowText" lastClr="000000"/>
                    </a:solidFill>
                  </a:rPr>
                  <a:pPr>
                    <a:defRPr b="1"/>
                  </a:pPr>
                  <a:t>[CATEGORY NAME]</a:t>
                </a:fld>
                <a:r>
                  <a:rPr lang="en-US" baseline="0"/>
                  <a:t>, </a:t>
                </a:r>
                <a:fld id="{12F03D95-4FC8-41B6-B2AE-91E52C5F3FED}" type="VALUE">
                  <a:rPr lang="en-US" baseline="0">
                    <a:solidFill>
                      <a:sysClr val="windowText" lastClr="000000"/>
                    </a:solidFill>
                  </a:rPr>
                  <a:pPr>
                    <a:defRPr b="1"/>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6"/>
        <c:spPr>
          <a:solidFill>
            <a:schemeClr val="accent1"/>
          </a:solidFill>
          <a:ln>
            <a:noFill/>
          </a:ln>
          <a:effectLst/>
        </c:spPr>
        <c:dLbl>
          <c:idx val="0"/>
          <c:layout>
            <c:manualLayout>
              <c:x val="2.7776460171394239E-3"/>
              <c:y val="-0.318983918446658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E3114DF-B219-4C3A-9418-1920F6B51EC3}" type="CATEGORYNAME">
                  <a:rPr lang="en-US">
                    <a:solidFill>
                      <a:sysClr val="windowText" lastClr="000000"/>
                    </a:solidFill>
                  </a:rPr>
                  <a:pPr>
                    <a:defRPr b="1"/>
                  </a:pPr>
                  <a:t>[CATEGORY NAME]</a:t>
                </a:fld>
                <a:r>
                  <a:rPr lang="en-US" baseline="0"/>
                  <a:t>, </a:t>
                </a:r>
                <a:fld id="{36E61B56-DE36-4B83-B569-749F37B044DE}" type="VALUE">
                  <a:rPr lang="en-US" baseline="0">
                    <a:solidFill>
                      <a:sysClr val="windowText" lastClr="000000"/>
                    </a:solidFill>
                  </a:rPr>
                  <a:pPr>
                    <a:defRPr b="1"/>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7"/>
        <c:spPr>
          <a:solidFill>
            <a:schemeClr val="accent1"/>
          </a:solidFill>
          <a:ln>
            <a:noFill/>
          </a:ln>
          <a:effectLst/>
        </c:spPr>
        <c:dLbl>
          <c:idx val="0"/>
          <c:layout>
            <c:manualLayout>
              <c:x val="1.3888888888888888E-2"/>
              <c:y val="-0.1759259259259259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D757F57-1D74-402F-84CD-8B05BB87C5E4}" type="CATEGORYNAME">
                  <a:rPr lang="en-US">
                    <a:solidFill>
                      <a:sysClr val="windowText" lastClr="000000"/>
                    </a:solidFill>
                  </a:rPr>
                  <a:pPr>
                    <a:defRPr b="1"/>
                  </a:pPr>
                  <a:t>[CATEGORY NAME]</a:t>
                </a:fld>
                <a:r>
                  <a:rPr lang="en-US" baseline="0"/>
                  <a:t>, </a:t>
                </a:r>
                <a:fld id="{0D362B77-4045-4ADC-ABBE-C85D0F8B699E}" type="VALUE">
                  <a:rPr lang="en-US" baseline="0">
                    <a:solidFill>
                      <a:sysClr val="windowText" lastClr="000000"/>
                    </a:solidFill>
                  </a:rPr>
                  <a:pPr>
                    <a:defRPr b="1"/>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8"/>
        <c:spPr>
          <a:solidFill>
            <a:schemeClr val="accent1"/>
          </a:solidFill>
          <a:ln>
            <a:noFill/>
          </a:ln>
          <a:effectLst/>
        </c:spPr>
        <c:dLbl>
          <c:idx val="0"/>
          <c:layout>
            <c:manualLayout>
              <c:x val="-0.17681829680928438"/>
              <c:y val="-0.54921187337770627"/>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2BDF9B2-AD40-4F56-86B5-A68FAAD85541}" type="CATEGORYNAME">
                  <a:rPr lang="en-US">
                    <a:solidFill>
                      <a:sysClr val="windowText" lastClr="000000"/>
                    </a:solidFill>
                  </a:rPr>
                  <a:pPr>
                    <a:defRPr b="1"/>
                  </a:pPr>
                  <a:t>[CATEGORY NAME]</a:t>
                </a:fld>
                <a:r>
                  <a:rPr lang="en-US" baseline="0"/>
                  <a:t>, </a:t>
                </a:r>
                <a:fld id="{47F0913C-85A3-4F30-9B40-CBED0B5149F5}" type="VALUE">
                  <a:rPr lang="en-US" baseline="0">
                    <a:solidFill>
                      <a:sysClr val="windowText" lastClr="000000"/>
                    </a:solidFill>
                  </a:rPr>
                  <a:pPr>
                    <a:defRPr b="1"/>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441909369762515"/>
                  <c:h val="0.17013891909920101"/>
                </c:manualLayout>
              </c15:layout>
              <c15:dlblFieldTable/>
              <c15:showDataLabelsRange val="0"/>
            </c:ext>
          </c:extLst>
        </c:dLbl>
      </c:pivotFmt>
      <c:pivotFmt>
        <c:idx val="39"/>
        <c:spPr>
          <a:solidFill>
            <a:schemeClr val="accent1"/>
          </a:solidFill>
          <a:ln>
            <a:noFill/>
          </a:ln>
          <a:effectLst/>
        </c:spPr>
        <c:dLbl>
          <c:idx val="0"/>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b="1">
                      <a:solidFill>
                        <a:sysClr val="windowText" lastClr="000000">
                          <a:lumMod val="65000"/>
                          <a:lumOff val="35000"/>
                        </a:sysClr>
                      </a:solidFill>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b="1">
                      <a:solidFill>
                        <a:sysClr val="windowText" lastClr="000000">
                          <a:lumMod val="65000"/>
                          <a:lumOff val="35000"/>
                        </a:sysClr>
                      </a:solidFill>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5.9224694051797741E-2"/>
          <c:y val="9.2403677440872384E-2"/>
          <c:w val="0.89019685039370078"/>
          <c:h val="0.79081802274715662"/>
        </c:manualLayout>
      </c:layout>
      <c:barChart>
        <c:barDir val="col"/>
        <c:grouping val="stacked"/>
        <c:varyColors val="0"/>
        <c:ser>
          <c:idx val="0"/>
          <c:order val="0"/>
          <c:tx>
            <c:strRef>
              <c:f>PivotTables!$B$1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356-46C0-9DBB-A5EF317455BF}"/>
              </c:ext>
            </c:extLst>
          </c:dPt>
          <c:dPt>
            <c:idx val="1"/>
            <c:invertIfNegative val="0"/>
            <c:bubble3D val="0"/>
            <c:extLst>
              <c:ext xmlns:c16="http://schemas.microsoft.com/office/drawing/2014/chart" uri="{C3380CC4-5D6E-409C-BE32-E72D297353CC}">
                <c16:uniqueId val="{00000001-B356-46C0-9DBB-A5EF317455BF}"/>
              </c:ext>
            </c:extLst>
          </c:dPt>
          <c:dPt>
            <c:idx val="2"/>
            <c:invertIfNegative val="0"/>
            <c:bubble3D val="0"/>
            <c:extLst>
              <c:ext xmlns:c16="http://schemas.microsoft.com/office/drawing/2014/chart" uri="{C3380CC4-5D6E-409C-BE32-E72D297353CC}">
                <c16:uniqueId val="{00000002-B356-46C0-9DBB-A5EF317455BF}"/>
              </c:ext>
            </c:extLst>
          </c:dPt>
          <c:dPt>
            <c:idx val="3"/>
            <c:invertIfNegative val="0"/>
            <c:bubble3D val="0"/>
            <c:extLst>
              <c:ext xmlns:c16="http://schemas.microsoft.com/office/drawing/2014/chart" uri="{C3380CC4-5D6E-409C-BE32-E72D297353CC}">
                <c16:uniqueId val="{00000003-B356-46C0-9DBB-A5EF317455BF}"/>
              </c:ext>
            </c:extLst>
          </c:dPt>
          <c:dPt>
            <c:idx val="4"/>
            <c:invertIfNegative val="0"/>
            <c:bubble3D val="0"/>
            <c:extLst>
              <c:ext xmlns:c16="http://schemas.microsoft.com/office/drawing/2014/chart" uri="{C3380CC4-5D6E-409C-BE32-E72D297353CC}">
                <c16:uniqueId val="{00000004-B356-46C0-9DBB-A5EF317455BF}"/>
              </c:ext>
            </c:extLst>
          </c:dPt>
          <c:dPt>
            <c:idx val="5"/>
            <c:invertIfNegative val="0"/>
            <c:bubble3D val="0"/>
            <c:extLst>
              <c:ext xmlns:c16="http://schemas.microsoft.com/office/drawing/2014/chart" uri="{C3380CC4-5D6E-409C-BE32-E72D297353CC}">
                <c16:uniqueId val="{00000005-B356-46C0-9DBB-A5EF317455BF}"/>
              </c:ext>
            </c:extLst>
          </c:dPt>
          <c:dPt>
            <c:idx val="6"/>
            <c:invertIfNegative val="0"/>
            <c:bubble3D val="0"/>
            <c:extLst>
              <c:ext xmlns:c16="http://schemas.microsoft.com/office/drawing/2014/chart" uri="{C3380CC4-5D6E-409C-BE32-E72D297353CC}">
                <c16:uniqueId val="{00000006-B356-46C0-9DBB-A5EF317455BF}"/>
              </c:ext>
            </c:extLst>
          </c:dPt>
          <c:dLbls>
            <c:dLbl>
              <c:idx val="0"/>
              <c:layout>
                <c:manualLayout>
                  <c:x val="-1.2282594946716002E-2"/>
                  <c:y val="-0.26347935789794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B356-46C0-9DBB-A5EF317455BF}"/>
                </c:ext>
              </c:extLst>
            </c:dLbl>
            <c:dLbl>
              <c:idx val="1"/>
              <c:layout>
                <c:manualLayout>
                  <c:x val="8.3333333333333107E-3"/>
                  <c:y val="-0.44856223082611912"/>
                </c:manualLayout>
              </c:layout>
              <c:tx>
                <c:rich>
                  <a:bodyPr/>
                  <a:lstStyle/>
                  <a:p>
                    <a:fld id="{2E028CCD-FCDA-4395-887B-AA706F311BD4}" type="CATEGORYNAME">
                      <a:rPr lang="en-US">
                        <a:solidFill>
                          <a:sysClr val="windowText" lastClr="000000"/>
                        </a:solidFill>
                      </a:rPr>
                      <a:pPr/>
                      <a:t>[CATEGORY NAME]</a:t>
                    </a:fld>
                    <a:r>
                      <a:rPr lang="en-US" baseline="0"/>
                      <a:t>, </a:t>
                    </a:r>
                    <a:fld id="{B7742AF9-9AD8-4D4B-9F35-5955BDBCB2EA}"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356-46C0-9DBB-A5EF317455BF}"/>
                </c:ext>
              </c:extLst>
            </c:dLbl>
            <c:dLbl>
              <c:idx val="2"/>
              <c:layout>
                <c:manualLayout>
                  <c:x val="8.3333333333332829E-3"/>
                  <c:y val="-0.17592592592592593"/>
                </c:manualLayout>
              </c:layout>
              <c:tx>
                <c:rich>
                  <a:bodyPr/>
                  <a:lstStyle/>
                  <a:p>
                    <a:fld id="{4C734240-F880-4143-A6CE-CCC3E81FAFDA}" type="CATEGORYNAME">
                      <a:rPr lang="en-US">
                        <a:solidFill>
                          <a:sysClr val="windowText" lastClr="000000"/>
                        </a:solidFill>
                      </a:rPr>
                      <a:pPr/>
                      <a:t>[CATEGORY NAME]</a:t>
                    </a:fld>
                    <a:r>
                      <a:rPr lang="en-US" baseline="0"/>
                      <a:t>, </a:t>
                    </a:r>
                    <a:fld id="{12F03D95-4FC8-41B6-B2AE-91E52C5F3FED}"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356-46C0-9DBB-A5EF317455BF}"/>
                </c:ext>
              </c:extLst>
            </c:dLbl>
            <c:dLbl>
              <c:idx val="3"/>
              <c:layout>
                <c:manualLayout>
                  <c:x val="2.7776460171394239E-3"/>
                  <c:y val="-0.3189839184466583"/>
                </c:manualLayout>
              </c:layout>
              <c:tx>
                <c:rich>
                  <a:bodyPr/>
                  <a:lstStyle/>
                  <a:p>
                    <a:fld id="{AE3114DF-B219-4C3A-9418-1920F6B51EC3}" type="CATEGORYNAME">
                      <a:rPr lang="en-US">
                        <a:solidFill>
                          <a:sysClr val="windowText" lastClr="000000"/>
                        </a:solidFill>
                      </a:rPr>
                      <a:pPr/>
                      <a:t>[CATEGORY NAME]</a:t>
                    </a:fld>
                    <a:r>
                      <a:rPr lang="en-US" baseline="0"/>
                      <a:t>, </a:t>
                    </a:r>
                    <a:fld id="{36E61B56-DE36-4B83-B569-749F37B044DE}"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356-46C0-9DBB-A5EF317455BF}"/>
                </c:ext>
              </c:extLst>
            </c:dLbl>
            <c:dLbl>
              <c:idx val="4"/>
              <c:layout>
                <c:manualLayout>
                  <c:x val="1.3888888888888888E-2"/>
                  <c:y val="-0.17592592592592593"/>
                </c:manualLayout>
              </c:layout>
              <c:tx>
                <c:rich>
                  <a:bodyPr/>
                  <a:lstStyle/>
                  <a:p>
                    <a:fld id="{0D757F57-1D74-402F-84CD-8B05BB87C5E4}" type="CATEGORYNAME">
                      <a:rPr lang="en-US">
                        <a:solidFill>
                          <a:sysClr val="windowText" lastClr="000000"/>
                        </a:solidFill>
                      </a:rPr>
                      <a:pPr/>
                      <a:t>[CATEGORY NAME]</a:t>
                    </a:fld>
                    <a:r>
                      <a:rPr lang="en-US" baseline="0"/>
                      <a:t>, </a:t>
                    </a:r>
                    <a:fld id="{0D362B77-4045-4ADC-ABBE-C85D0F8B699E}"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356-46C0-9DBB-A5EF317455BF}"/>
                </c:ext>
              </c:extLst>
            </c:dLbl>
            <c:dLbl>
              <c:idx val="5"/>
              <c:layout>
                <c:manualLayout>
                  <c:x val="-0.17681829680928438"/>
                  <c:y val="-0.54921187337770627"/>
                </c:manualLayout>
              </c:layout>
              <c:tx>
                <c:rich>
                  <a:bodyPr/>
                  <a:lstStyle/>
                  <a:p>
                    <a:fld id="{C2BDF9B2-AD40-4F56-86B5-A68FAAD85541}" type="CATEGORYNAME">
                      <a:rPr lang="en-US">
                        <a:solidFill>
                          <a:sysClr val="windowText" lastClr="000000"/>
                        </a:solidFill>
                      </a:rPr>
                      <a:pPr/>
                      <a:t>[CATEGORY NAME]</a:t>
                    </a:fld>
                    <a:r>
                      <a:rPr lang="en-US" baseline="0"/>
                      <a:t>, </a:t>
                    </a:r>
                    <a:fld id="{47F0913C-85A3-4F30-9B40-CBED0B5149F5}" type="VALUE">
                      <a:rPr lang="en-US" baseline="0">
                        <a:solidFill>
                          <a:sysClr val="windowText" lastClr="0000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layout>
                    <c:manualLayout>
                      <c:w val="0.36441909369762515"/>
                      <c:h val="0.17013891909920101"/>
                    </c:manualLayout>
                  </c15:layout>
                  <c15:dlblFieldTable/>
                  <c15:showDataLabelsRange val="0"/>
                </c:ext>
                <c:ext xmlns:c16="http://schemas.microsoft.com/office/drawing/2014/chart" uri="{C3380CC4-5D6E-409C-BE32-E72D297353CC}">
                  <c16:uniqueId val="{00000005-B356-46C0-9DBB-A5EF317455BF}"/>
                </c:ext>
              </c:extLst>
            </c:dLbl>
            <c:dLbl>
              <c:idx val="6"/>
              <c:layout>
                <c:manualLayout>
                  <c:x val="-5.5555555555557596E-3"/>
                  <c:y val="-0.40277777777777779"/>
                </c:manualLayout>
              </c:layout>
              <c:tx>
                <c:rich>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795FFC7A-5074-436B-A939-1E87A69A2C81}" type="CATEGORYNAME">
                      <a:rPr lang="en-US" sz="900" b="1" i="0" u="none" strike="noStrike" kern="1200" baseline="0">
                        <a:solidFill>
                          <a:sysClr val="windowText" lastClr="000000"/>
                        </a:solidFill>
                        <a:latin typeface="+mn-lt"/>
                        <a:ea typeface="+mn-ea"/>
                        <a:cs typeface="+mn-cs"/>
                      </a:rPr>
                      <a:pPr algn="ctr" rtl="0">
                        <a:defRPr lang="en-US" b="1">
                          <a:solidFill>
                            <a:sysClr val="windowText" lastClr="000000">
                              <a:lumMod val="65000"/>
                              <a:lumOff val="35000"/>
                            </a:sysClr>
                          </a:solidFill>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E70CBC48-FA5B-4B73-A1CF-B24645CA7B8C}" type="VALUE">
                      <a:rPr lang="en-US" sz="900" b="1" i="0" u="none" strike="noStrike" kern="1200" baseline="0">
                        <a:solidFill>
                          <a:sysClr val="windowText" lastClr="000000"/>
                        </a:solidFill>
                        <a:latin typeface="+mn-lt"/>
                        <a:ea typeface="+mn-ea"/>
                        <a:cs typeface="+mn-cs"/>
                      </a:rPr>
                      <a:pPr algn="ctr" rtl="0">
                        <a:defRPr lang="en-US" b="1">
                          <a:solidFill>
                            <a:sysClr val="windowText" lastClr="000000">
                              <a:lumMod val="65000"/>
                              <a:lumOff val="35000"/>
                            </a:sysClr>
                          </a:solidFill>
                        </a:defRPr>
                      </a:pPr>
                      <a:t>[VALUE]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6-B356-46C0-9DBB-A5EF317455B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PivotTables!$A$2:$A$9</c:f>
              <c:strCache>
                <c:ptCount val="7"/>
                <c:pt idx="0">
                  <c:v>Customer Support</c:v>
                </c:pt>
                <c:pt idx="1">
                  <c:v>Finance</c:v>
                </c:pt>
                <c:pt idx="2">
                  <c:v>HR</c:v>
                </c:pt>
                <c:pt idx="3">
                  <c:v>IT</c:v>
                </c:pt>
                <c:pt idx="4">
                  <c:v>Marketing</c:v>
                </c:pt>
                <c:pt idx="5">
                  <c:v>Operations</c:v>
                </c:pt>
                <c:pt idx="6">
                  <c:v>Sales</c:v>
                </c:pt>
              </c:strCache>
            </c:strRef>
          </c:cat>
          <c:val>
            <c:numRef>
              <c:f>PivotTables!$B$2:$B$9</c:f>
              <c:numCache>
                <c:formatCode>General</c:formatCode>
                <c:ptCount val="7"/>
                <c:pt idx="0">
                  <c:v>82</c:v>
                </c:pt>
                <c:pt idx="1">
                  <c:v>88</c:v>
                </c:pt>
                <c:pt idx="2">
                  <c:v>79</c:v>
                </c:pt>
                <c:pt idx="3">
                  <c:v>84</c:v>
                </c:pt>
                <c:pt idx="4">
                  <c:v>81</c:v>
                </c:pt>
                <c:pt idx="5">
                  <c:v>83</c:v>
                </c:pt>
                <c:pt idx="6">
                  <c:v>94</c:v>
                </c:pt>
              </c:numCache>
            </c:numRef>
          </c:val>
          <c:extLst>
            <c:ext xmlns:c16="http://schemas.microsoft.com/office/drawing/2014/chart" uri="{C3380CC4-5D6E-409C-BE32-E72D297353CC}">
              <c16:uniqueId val="{00000007-B356-46C0-9DBB-A5EF317455BF}"/>
            </c:ext>
          </c:extLst>
        </c:ser>
        <c:dLbls>
          <c:showLegendKey val="0"/>
          <c:showVal val="0"/>
          <c:showCatName val="0"/>
          <c:showSerName val="0"/>
          <c:showPercent val="0"/>
          <c:showBubbleSize val="0"/>
        </c:dLbls>
        <c:gapWidth val="150"/>
        <c:overlap val="100"/>
        <c:axId val="1850538048"/>
        <c:axId val="1837174928"/>
      </c:barChart>
      <c:catAx>
        <c:axId val="1850538048"/>
        <c:scaling>
          <c:orientation val="minMax"/>
        </c:scaling>
        <c:delete val="1"/>
        <c:axPos val="b"/>
        <c:numFmt formatCode="General" sourceLinked="1"/>
        <c:majorTickMark val="none"/>
        <c:minorTickMark val="none"/>
        <c:tickLblPos val="nextTo"/>
        <c:crossAx val="1837174928"/>
        <c:crosses val="autoZero"/>
        <c:auto val="1"/>
        <c:lblAlgn val="ctr"/>
        <c:lblOffset val="100"/>
        <c:noMultiLvlLbl val="0"/>
      </c:catAx>
      <c:valAx>
        <c:axId val="1837174928"/>
        <c:scaling>
          <c:orientation val="minMax"/>
        </c:scaling>
        <c:delete val="1"/>
        <c:axPos val="l"/>
        <c:numFmt formatCode="General" sourceLinked="1"/>
        <c:majorTickMark val="none"/>
        <c:minorTickMark val="none"/>
        <c:tickLblPos val="nextTo"/>
        <c:crossAx val="185053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a:schemeClr val="accent1">
          <a:alpha val="54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[employee_Dashboard.xlsx]PivotTables!PivotTable3</c:name>
    <c:fmtId val="14"/>
  </c:pivotSource>
  <c:chart>
    <c:autoTitleDeleted val="1"/>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PivotTables!$E$1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PivotTables!$D$2:$D$8</c:f>
              <c:strCache>
                <c:ptCount val="6"/>
                <c:pt idx="0">
                  <c:v>Jan</c:v>
                </c:pt>
                <c:pt idx="1">
                  <c:v>Feb</c:v>
                </c:pt>
                <c:pt idx="2">
                  <c:v>Mar</c:v>
                </c:pt>
                <c:pt idx="3">
                  <c:v>Apr</c:v>
                </c:pt>
                <c:pt idx="4">
                  <c:v>May</c:v>
                </c:pt>
                <c:pt idx="5">
                  <c:v>Jun</c:v>
                </c:pt>
              </c:strCache>
            </c:strRef>
          </c:cat>
          <c:val>
            <c:numRef>
              <c:f>PivotTables!$E$2:$E$8</c:f>
              <c:numCache>
                <c:formatCode>General</c:formatCode>
                <c:ptCount val="6"/>
                <c:pt idx="0">
                  <c:v>96</c:v>
                </c:pt>
                <c:pt idx="1">
                  <c:v>87</c:v>
                </c:pt>
                <c:pt idx="2">
                  <c:v>108</c:v>
                </c:pt>
                <c:pt idx="3">
                  <c:v>109</c:v>
                </c:pt>
                <c:pt idx="4">
                  <c:v>105</c:v>
                </c:pt>
                <c:pt idx="5">
                  <c:v>86</c:v>
                </c:pt>
              </c:numCache>
            </c:numRef>
          </c:val>
          <c:smooth val="0"/>
          <c:extLst>
            <c:ext xmlns:c16="http://schemas.microsoft.com/office/drawing/2014/chart" uri="{C3380CC4-5D6E-409C-BE32-E72D297353CC}">
              <c16:uniqueId val="{00000000-E056-4647-B851-71D970C7EC53}"/>
            </c:ext>
          </c:extLst>
        </c:ser>
        <c:dLbls>
          <c:dLblPos val="t"/>
          <c:showLegendKey val="0"/>
          <c:showVal val="1"/>
          <c:showCatName val="0"/>
          <c:showSerName val="0"/>
          <c:showPercent val="0"/>
          <c:showBubbleSize val="0"/>
        </c:dLbls>
        <c:marker val="1"/>
        <c:smooth val="0"/>
        <c:axId val="1942277008"/>
        <c:axId val="1848190800"/>
      </c:lineChart>
      <c:catAx>
        <c:axId val="194227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48190800"/>
        <c:crosses val="autoZero"/>
        <c:auto val="1"/>
        <c:lblAlgn val="ctr"/>
        <c:lblOffset val="100"/>
        <c:noMultiLvlLbl val="0"/>
      </c:catAx>
      <c:valAx>
        <c:axId val="1848190800"/>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27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PivotTables!$G$2:$G$9</c:f>
              <c:strCache>
                <c:ptCount val="7"/>
                <c:pt idx="0">
                  <c:v>Customer Support</c:v>
                </c:pt>
                <c:pt idx="1">
                  <c:v>Finance</c:v>
                </c:pt>
                <c:pt idx="2">
                  <c:v>HR</c:v>
                </c:pt>
                <c:pt idx="3">
                  <c:v>IT</c:v>
                </c:pt>
                <c:pt idx="4">
                  <c:v>Marketing</c:v>
                </c:pt>
                <c:pt idx="5">
                  <c:v>Operations</c:v>
                </c:pt>
                <c:pt idx="6">
                  <c:v>Sales</c:v>
                </c:pt>
              </c:strCache>
            </c:strRef>
          </c:cat>
          <c:val>
            <c:numRef>
              <c:f>PivotTables!$H$2:$H$9</c:f>
              <c:numCache>
                <c:formatCode>0.00</c:formatCode>
                <c:ptCount val="7"/>
                <c:pt idx="0">
                  <c:v>4.0517241379310347</c:v>
                </c:pt>
                <c:pt idx="1">
                  <c:v>4.0746268656716422</c:v>
                </c:pt>
                <c:pt idx="2">
                  <c:v>4.0169491525423728</c:v>
                </c:pt>
                <c:pt idx="3">
                  <c:v>4.0655737704918034</c:v>
                </c:pt>
                <c:pt idx="4">
                  <c:v>3.9516129032258065</c:v>
                </c:pt>
                <c:pt idx="5">
                  <c:v>4.0178571428571432</c:v>
                </c:pt>
                <c:pt idx="6">
                  <c:v>3.8714285714285714</c:v>
                </c:pt>
              </c:numCache>
            </c:numRef>
          </c:val>
          <c:extLst>
            <c:ext xmlns:c16="http://schemas.microsoft.com/office/drawing/2014/chart" uri="{C3380CC4-5D6E-409C-BE32-E72D297353CC}">
              <c16:uniqueId val="{00000000-2EBF-4387-A2CC-B7A696354893}"/>
            </c:ext>
          </c:extLst>
        </c:ser>
        <c:dLbls>
          <c:dLblPos val="outEnd"/>
          <c:showLegendKey val="0"/>
          <c:showVal val="1"/>
          <c:showCatName val="0"/>
          <c:showSerName val="0"/>
          <c:showPercent val="0"/>
          <c:showBubbleSize val="0"/>
        </c:dLbls>
        <c:gapWidth val="219"/>
        <c:overlap val="-27"/>
        <c:axId val="1930386480"/>
        <c:axId val="1848141840"/>
      </c:barChart>
      <c:catAx>
        <c:axId val="193038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141840"/>
        <c:crosses val="autoZero"/>
        <c:auto val="1"/>
        <c:lblAlgn val="ctr"/>
        <c:lblOffset val="100"/>
        <c:noMultiLvlLbl val="0"/>
      </c:catAx>
      <c:valAx>
        <c:axId val="184814184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38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22222222222233"/>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888888888888896E-2"/>
                  <c:h val="7.8634441528142307E-2"/>
                </c:manualLayout>
              </c15:layout>
            </c:ext>
          </c:extLst>
        </c:dLbl>
      </c:pivotFmt>
      <c:pivotFmt>
        <c:idx val="3"/>
        <c:spPr>
          <a:solidFill>
            <a:schemeClr val="accent1"/>
          </a:solidFill>
          <a:ln w="19050">
            <a:solidFill>
              <a:schemeClr val="lt1"/>
            </a:solidFill>
          </a:ln>
          <a:effectLst/>
        </c:spPr>
        <c:dLbl>
          <c:idx val="0"/>
          <c:layout>
            <c:manualLayout>
              <c:x val="-7.7777777777777835E-2"/>
              <c:y val="9.2592592592592421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22222222222233"/>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888888888888896E-2"/>
                  <c:h val="7.8634441528142307E-2"/>
                </c:manualLayout>
              </c15:layout>
            </c:ext>
          </c:extLst>
        </c:dLbl>
      </c:pivotFmt>
      <c:pivotFmt>
        <c:idx val="7"/>
        <c:spPr>
          <a:solidFill>
            <a:schemeClr val="accent1"/>
          </a:solidFill>
          <a:ln w="19050">
            <a:solidFill>
              <a:schemeClr val="lt1"/>
            </a:solidFill>
          </a:ln>
          <a:effectLst/>
        </c:spPr>
        <c:dLbl>
          <c:idx val="0"/>
          <c:layout>
            <c:manualLayout>
              <c:x val="-7.7777777777777835E-2"/>
              <c:y val="9.2592592592592421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5280323789801514"/>
              <c:y val="-6.51180654160033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05092024047452"/>
                  <c:h val="0.11506461282503622"/>
                </c:manualLayout>
              </c15:layout>
            </c:ext>
          </c:extLst>
        </c:dLbl>
      </c:pivotFmt>
      <c:pivotFmt>
        <c:idx val="11"/>
        <c:spPr>
          <a:solidFill>
            <a:schemeClr val="accent1"/>
          </a:solidFill>
          <a:ln w="19050">
            <a:solidFill>
              <a:schemeClr val="lt1"/>
            </a:solidFill>
          </a:ln>
          <a:effectLst/>
        </c:spPr>
        <c:dLbl>
          <c:idx val="0"/>
          <c:layout>
            <c:manualLayout>
              <c:x val="-7.7777777777777835E-2"/>
              <c:y val="9.2592592592592421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48-40FD-9DDB-4B94F1C2D4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48-40FD-9DDB-4B94F1C2D4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48-40FD-9DDB-4B94F1C2D4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48-40FD-9DDB-4B94F1C2D4AC}"/>
              </c:ext>
            </c:extLst>
          </c:dPt>
          <c:dLbls>
            <c:dLbl>
              <c:idx val="0"/>
              <c:layout>
                <c:manualLayout>
                  <c:x val="0.15280323789801514"/>
                  <c:y val="-6.51180654160033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05092024047452"/>
                      <c:h val="0.11506461282503622"/>
                    </c:manualLayout>
                  </c15:layout>
                </c:ext>
                <c:ext xmlns:c16="http://schemas.microsoft.com/office/drawing/2014/chart" uri="{C3380CC4-5D6E-409C-BE32-E72D297353CC}">
                  <c16:uniqueId val="{00000001-6948-40FD-9DDB-4B94F1C2D4AC}"/>
                </c:ext>
              </c:extLst>
            </c:dLbl>
            <c:dLbl>
              <c:idx val="1"/>
              <c:layout>
                <c:manualLayout>
                  <c:x val="-7.7777777777777835E-2"/>
                  <c:y val="9.2592592592592421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48-40FD-9DDB-4B94F1C2D4AC}"/>
                </c:ext>
              </c:extLst>
            </c:dLbl>
            <c:dLbl>
              <c:idx val="2"/>
              <c:layout>
                <c:manualLayout>
                  <c:x val="-0.1222222222222222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48-40FD-9DDB-4B94F1C2D4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PivotTables!$M$2:$M$5</c:f>
              <c:strCache>
                <c:ptCount val="3"/>
                <c:pt idx="0">
                  <c:v>Hybrid</c:v>
                </c:pt>
                <c:pt idx="1">
                  <c:v>Office</c:v>
                </c:pt>
                <c:pt idx="2">
                  <c:v>Remote</c:v>
                </c:pt>
              </c:strCache>
            </c:strRef>
          </c:cat>
          <c:val>
            <c:numRef>
              <c:f>PivotTables!$N$2:$N$5</c:f>
              <c:numCache>
                <c:formatCode>General</c:formatCode>
                <c:ptCount val="3"/>
                <c:pt idx="0">
                  <c:v>191</c:v>
                </c:pt>
                <c:pt idx="1">
                  <c:v>229</c:v>
                </c:pt>
                <c:pt idx="2">
                  <c:v>171</c:v>
                </c:pt>
              </c:numCache>
            </c:numRef>
          </c:val>
          <c:extLst>
            <c:ext xmlns:c16="http://schemas.microsoft.com/office/drawing/2014/chart" uri="{C3380CC4-5D6E-409C-BE32-E72D297353CC}">
              <c16:uniqueId val="{00000008-6948-40FD-9DDB-4B94F1C2D4AC}"/>
            </c:ext>
          </c:extLst>
        </c:ser>
        <c:dLbls>
          <c:showLegendKey val="0"/>
          <c:showVal val="1"/>
          <c:showCatName val="0"/>
          <c:showSerName val="0"/>
          <c:showPercent val="0"/>
          <c:showBubbleSize val="0"/>
          <c:showLeaderLines val="1"/>
        </c:dLbls>
        <c:firstSliceAng val="0"/>
        <c:holeSize val="75"/>
      </c:doughnutChart>
      <c:spPr>
        <a:noFill/>
        <a:ln>
          <a:noFill/>
        </a:ln>
        <a:effectLst>
          <a:outerShdw blurRad="50800" dist="50800" dir="5400000" sx="1000" sy="1000" algn="ctr" rotWithShape="0">
            <a:srgbClr val="000000">
              <a:alpha val="43137"/>
            </a:srgbClr>
          </a:outerShdw>
          <a:softEdge rad="5588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7D-4D1C-9BAC-BDB858CD48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7D-4D1C-9BAC-BDB858CD48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PivotTables!$P$2:$P$4</c:f>
              <c:strCache>
                <c:ptCount val="2"/>
                <c:pt idx="0">
                  <c:v>Female</c:v>
                </c:pt>
                <c:pt idx="1">
                  <c:v>Male</c:v>
                </c:pt>
              </c:strCache>
            </c:strRef>
          </c:cat>
          <c:val>
            <c:numRef>
              <c:f>PivotTables!$Q$2:$Q$4</c:f>
              <c:numCache>
                <c:formatCode>General</c:formatCode>
                <c:ptCount val="2"/>
                <c:pt idx="0">
                  <c:v>273</c:v>
                </c:pt>
                <c:pt idx="1">
                  <c:v>318</c:v>
                </c:pt>
              </c:numCache>
            </c:numRef>
          </c:val>
          <c:extLst>
            <c:ext xmlns:c16="http://schemas.microsoft.com/office/drawing/2014/chart" uri="{C3380CC4-5D6E-409C-BE32-E72D297353CC}">
              <c16:uniqueId val="{00000004-9C7D-4D1C-9BAC-BDB858CD484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388939039072284E-18"/>
              <c:y val="-5.84791484397783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6485981914264107E-2"/>
                  <c:h val="9.8684594250280103E-2"/>
                </c:manualLayout>
              </c15:layout>
            </c:ext>
          </c:extLst>
        </c:dLbl>
      </c:pivotFmt>
      <c:pivotFmt>
        <c:idx val="12"/>
        <c:spPr>
          <a:solidFill>
            <a:schemeClr val="accent1"/>
          </a:solidFill>
          <a:ln w="19050">
            <a:solidFill>
              <a:schemeClr val="lt1"/>
            </a:solidFill>
          </a:ln>
          <a:effectLst/>
        </c:spPr>
        <c:dLbl>
          <c:idx val="0"/>
          <c:layout>
            <c:manualLayout>
              <c:x val="-0.15060246916898665"/>
              <c:y val="-9.74658869395711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538156380702488E-2"/>
              <c:y val="2.9239766081871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s>
    <c:plotArea>
      <c:layout/>
      <c:pieChart>
        <c:varyColors val="1"/>
        <c:ser>
          <c:idx val="0"/>
          <c:order val="0"/>
          <c:tx>
            <c:strRef>
              <c:f>PivotTables!$U$1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CD-45EE-940F-FF024CCF46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CD-45EE-940F-FF024CCF46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CD-45EE-940F-FF024CCF46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CD-45EE-940F-FF024CCF4630}"/>
              </c:ext>
            </c:extLst>
          </c:dPt>
          <c:dLbls>
            <c:dLbl>
              <c:idx val="0"/>
              <c:layout>
                <c:manualLayout>
                  <c:x val="-6.9388939039072284E-18"/>
                  <c:y val="-5.84791484397783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6485981914264107E-2"/>
                      <c:h val="9.8684594250280103E-2"/>
                    </c:manualLayout>
                  </c15:layout>
                </c:ext>
                <c:ext xmlns:c16="http://schemas.microsoft.com/office/drawing/2014/chart" uri="{C3380CC4-5D6E-409C-BE32-E72D297353CC}">
                  <c16:uniqueId val="{00000001-15CD-45EE-940F-FF024CCF4630}"/>
                </c:ext>
              </c:extLst>
            </c:dLbl>
            <c:dLbl>
              <c:idx val="1"/>
              <c:layout>
                <c:manualLayout>
                  <c:x val="-0.15060246916898665"/>
                  <c:y val="-9.746588693957114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CD-45EE-940F-FF024CCF4630}"/>
                </c:ext>
              </c:extLst>
            </c:dLbl>
            <c:dLbl>
              <c:idx val="2"/>
              <c:layout>
                <c:manualLayout>
                  <c:x val="9.538156380702488E-2"/>
                  <c:y val="2.92397660818713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CD-45EE-940F-FF024CCF46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PivotTables!$T$2:$T$6</c:f>
              <c:strCache>
                <c:ptCount val="4"/>
                <c:pt idx="0">
                  <c:v>Festival</c:v>
                </c:pt>
                <c:pt idx="1">
                  <c:v>National</c:v>
                </c:pt>
                <c:pt idx="2">
                  <c:v>Restricted</c:v>
                </c:pt>
                <c:pt idx="3">
                  <c:v>Working Day </c:v>
                </c:pt>
              </c:strCache>
            </c:strRef>
          </c:cat>
          <c:val>
            <c:numRef>
              <c:f>PivotTables!$U$2:$U$6</c:f>
              <c:numCache>
                <c:formatCode>General</c:formatCode>
                <c:ptCount val="4"/>
                <c:pt idx="0">
                  <c:v>2</c:v>
                </c:pt>
                <c:pt idx="1">
                  <c:v>14</c:v>
                </c:pt>
                <c:pt idx="2">
                  <c:v>10</c:v>
                </c:pt>
                <c:pt idx="3">
                  <c:v>565</c:v>
                </c:pt>
              </c:numCache>
            </c:numRef>
          </c:val>
          <c:extLst>
            <c:ext xmlns:c16="http://schemas.microsoft.com/office/drawing/2014/chart" uri="{C3380CC4-5D6E-409C-BE32-E72D297353CC}">
              <c16:uniqueId val="{00000008-15CD-45EE-940F-FF024CCF463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80555555555552"/>
          <c:y val="0.14249781277340332"/>
          <c:w val="0.75763888888888886"/>
          <c:h val="0.80657626130067073"/>
        </c:manualLayout>
      </c:layout>
      <c:barChart>
        <c:barDir val="bar"/>
        <c:grouping val="clustered"/>
        <c:varyColors val="0"/>
        <c:ser>
          <c:idx val="0"/>
          <c:order val="0"/>
          <c:tx>
            <c:strRef>
              <c:f>PivotTables!$K$1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PivotTables!$J$2:$J$9</c:f>
              <c:strCache>
                <c:ptCount val="7"/>
                <c:pt idx="0">
                  <c:v>Customer Support</c:v>
                </c:pt>
                <c:pt idx="1">
                  <c:v>Finance</c:v>
                </c:pt>
                <c:pt idx="2">
                  <c:v>HR</c:v>
                </c:pt>
                <c:pt idx="3">
                  <c:v>IT</c:v>
                </c:pt>
                <c:pt idx="4">
                  <c:v>Marketing</c:v>
                </c:pt>
                <c:pt idx="5">
                  <c:v>Operations</c:v>
                </c:pt>
                <c:pt idx="6">
                  <c:v>Sales</c:v>
                </c:pt>
              </c:strCache>
            </c:strRef>
          </c:cat>
          <c:val>
            <c:numRef>
              <c:f>PivotTables!$K$2:$K$9</c:f>
              <c:numCache>
                <c:formatCode>0.00</c:formatCode>
                <c:ptCount val="7"/>
                <c:pt idx="0">
                  <c:v>0.22222222222222221</c:v>
                </c:pt>
                <c:pt idx="1">
                  <c:v>0.39610389610389612</c:v>
                </c:pt>
                <c:pt idx="2">
                  <c:v>0.21830985915492956</c:v>
                </c:pt>
                <c:pt idx="3">
                  <c:v>1.0410958904109588</c:v>
                </c:pt>
                <c:pt idx="4">
                  <c:v>0.2638888888888889</c:v>
                </c:pt>
                <c:pt idx="5">
                  <c:v>0.28082191780821919</c:v>
                </c:pt>
                <c:pt idx="6">
                  <c:v>0.30952380952380953</c:v>
                </c:pt>
              </c:numCache>
            </c:numRef>
          </c:val>
          <c:extLst>
            <c:ext xmlns:c16="http://schemas.microsoft.com/office/drawing/2014/chart" uri="{C3380CC4-5D6E-409C-BE32-E72D297353CC}">
              <c16:uniqueId val="{00000000-A957-427D-A2A6-AB9223E144EF}"/>
            </c:ext>
          </c:extLst>
        </c:ser>
        <c:dLbls>
          <c:dLblPos val="outEnd"/>
          <c:showLegendKey val="0"/>
          <c:showVal val="1"/>
          <c:showCatName val="0"/>
          <c:showSerName val="0"/>
          <c:showPercent val="0"/>
          <c:showBubbleSize val="0"/>
        </c:dLbls>
        <c:gapWidth val="182"/>
        <c:axId val="1942960832"/>
        <c:axId val="1848147600"/>
      </c:barChart>
      <c:catAx>
        <c:axId val="1942960832"/>
        <c:scaling>
          <c:orientation val="minMax"/>
        </c:scaling>
        <c:delete val="1"/>
        <c:axPos val="l"/>
        <c:numFmt formatCode="General" sourceLinked="1"/>
        <c:majorTickMark val="none"/>
        <c:minorTickMark val="none"/>
        <c:tickLblPos val="nextTo"/>
        <c:crossAx val="1848147600"/>
        <c:crosses val="autoZero"/>
        <c:auto val="1"/>
        <c:lblAlgn val="ctr"/>
        <c:lblOffset val="100"/>
        <c:noMultiLvlLbl val="0"/>
      </c:catAx>
      <c:valAx>
        <c:axId val="1848147600"/>
        <c:scaling>
          <c:orientation val="minMax"/>
        </c:scaling>
        <c:delete val="1"/>
        <c:axPos val="b"/>
        <c:numFmt formatCode="0.00" sourceLinked="1"/>
        <c:majorTickMark val="none"/>
        <c:minorTickMark val="none"/>
        <c:tickLblPos val="nextTo"/>
        <c:crossAx val="194296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[employee_Dashboard.xlsx]PivotTables!PivotTable9</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1226252158894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5301204819277115E-2"/>
              <c:y val="-4.317789291882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068273092369479"/>
              <c:y val="8.63557858376511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PivotTables!$Y$1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21-4FD8-AD50-989FD82D05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21-4FD8-AD50-989FD82D05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21-4FD8-AD50-989FD82D05D0}"/>
              </c:ext>
            </c:extLst>
          </c:dPt>
          <c:dLbls>
            <c:dLbl>
              <c:idx val="0"/>
              <c:layout>
                <c:manualLayout>
                  <c:x val="0"/>
                  <c:y val="-0.11226252158894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21-4FD8-AD50-989FD82D05D0}"/>
                </c:ext>
              </c:extLst>
            </c:dLbl>
            <c:dLbl>
              <c:idx val="1"/>
              <c:layout>
                <c:manualLayout>
                  <c:x val="7.5301204819277115E-2"/>
                  <c:y val="-4.317789291882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21-4FD8-AD50-989FD82D05D0}"/>
                </c:ext>
              </c:extLst>
            </c:dLbl>
            <c:dLbl>
              <c:idx val="2"/>
              <c:layout>
                <c:manualLayout>
                  <c:x val="-0.17068273092369479"/>
                  <c:y val="8.63557858376511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21-4FD8-AD50-989FD82D05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PivotTables!$X$2:$X$5</c:f>
              <c:strCache>
                <c:ptCount val="3"/>
                <c:pt idx="0">
                  <c:v>Absent</c:v>
                </c:pt>
                <c:pt idx="1">
                  <c:v>Leave</c:v>
                </c:pt>
                <c:pt idx="2">
                  <c:v>Present</c:v>
                </c:pt>
              </c:strCache>
            </c:strRef>
          </c:cat>
          <c:val>
            <c:numRef>
              <c:f>PivotTables!$Y$2:$Y$5</c:f>
              <c:numCache>
                <c:formatCode>General</c:formatCode>
                <c:ptCount val="3"/>
                <c:pt idx="0">
                  <c:v>37</c:v>
                </c:pt>
                <c:pt idx="1">
                  <c:v>32</c:v>
                </c:pt>
                <c:pt idx="2">
                  <c:v>522</c:v>
                </c:pt>
              </c:numCache>
            </c:numRef>
          </c:val>
          <c:extLst>
            <c:ext xmlns:c16="http://schemas.microsoft.com/office/drawing/2014/chart" uri="{C3380CC4-5D6E-409C-BE32-E72D297353CC}">
              <c16:uniqueId val="{00000006-7821-4FD8-AD50-989FD82D05D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5.svg"/><Relationship Id="rId18" Type="http://schemas.openxmlformats.org/officeDocument/2006/relationships/image" Target="../media/image10.png"/><Relationship Id="rId3" Type="http://schemas.openxmlformats.org/officeDocument/2006/relationships/chart" Target="../charts/chart10.xml"/><Relationship Id="rId21" Type="http://schemas.openxmlformats.org/officeDocument/2006/relationships/image" Target="../media/image13.svg"/><Relationship Id="rId7" Type="http://schemas.openxmlformats.org/officeDocument/2006/relationships/chart" Target="../charts/chart14.xml"/><Relationship Id="rId12" Type="http://schemas.openxmlformats.org/officeDocument/2006/relationships/image" Target="../media/image4.png"/><Relationship Id="rId17" Type="http://schemas.openxmlformats.org/officeDocument/2006/relationships/image" Target="../media/image9.svg"/><Relationship Id="rId25" Type="http://schemas.openxmlformats.org/officeDocument/2006/relationships/image" Target="../media/image17.svg"/><Relationship Id="rId2" Type="http://schemas.openxmlformats.org/officeDocument/2006/relationships/chart" Target="../charts/chart9.xml"/><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image" Target="../media/image1.jpeg"/><Relationship Id="rId6" Type="http://schemas.openxmlformats.org/officeDocument/2006/relationships/chart" Target="../charts/chart13.xml"/><Relationship Id="rId11" Type="http://schemas.openxmlformats.org/officeDocument/2006/relationships/image" Target="../media/image3.svg"/><Relationship Id="rId24" Type="http://schemas.openxmlformats.org/officeDocument/2006/relationships/image" Target="../media/image16.png"/><Relationship Id="rId5" Type="http://schemas.openxmlformats.org/officeDocument/2006/relationships/chart" Target="../charts/chart12.xml"/><Relationship Id="rId15" Type="http://schemas.openxmlformats.org/officeDocument/2006/relationships/image" Target="../media/image7.svg"/><Relationship Id="rId23" Type="http://schemas.openxmlformats.org/officeDocument/2006/relationships/image" Target="../media/image15.svg"/><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image" Target="../media/image6.png"/><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80010</xdr:rowOff>
    </xdr:from>
    <xdr:to>
      <xdr:col>4</xdr:col>
      <xdr:colOff>76200</xdr:colOff>
      <xdr:row>25</xdr:row>
      <xdr:rowOff>80010</xdr:rowOff>
    </xdr:to>
    <xdr:graphicFrame macro="">
      <xdr:nvGraphicFramePr>
        <xdr:cNvPr id="3" name="Chart 2">
          <a:extLst>
            <a:ext uri="{FF2B5EF4-FFF2-40B4-BE49-F238E27FC236}">
              <a16:creationId xmlns:a16="http://schemas.microsoft.com/office/drawing/2014/main" id="{0DB0FAF3-6090-7E67-885B-F5039935B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178210</xdr:colOff>
      <xdr:row>11</xdr:row>
      <xdr:rowOff>133965</xdr:rowOff>
    </xdr:from>
    <xdr:to>
      <xdr:col>7</xdr:col>
      <xdr:colOff>1567016</xdr:colOff>
      <xdr:row>26</xdr:row>
      <xdr:rowOff>111842</xdr:rowOff>
    </xdr:to>
    <xdr:graphicFrame macro="">
      <xdr:nvGraphicFramePr>
        <xdr:cNvPr id="4" name="Chart 3">
          <a:extLst>
            <a:ext uri="{FF2B5EF4-FFF2-40B4-BE49-F238E27FC236}">
              <a16:creationId xmlns:a16="http://schemas.microsoft.com/office/drawing/2014/main" id="{8447534A-84D9-117B-EA20-B5C6C0BA2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116758</xdr:colOff>
      <xdr:row>11</xdr:row>
      <xdr:rowOff>183126</xdr:rowOff>
    </xdr:from>
    <xdr:to>
      <xdr:col>12</xdr:col>
      <xdr:colOff>694403</xdr:colOff>
      <xdr:row>26</xdr:row>
      <xdr:rowOff>161003</xdr:rowOff>
    </xdr:to>
    <xdr:graphicFrame macro="">
      <xdr:nvGraphicFramePr>
        <xdr:cNvPr id="5" name="Chart 4">
          <a:extLst>
            <a:ext uri="{FF2B5EF4-FFF2-40B4-BE49-F238E27FC236}">
              <a16:creationId xmlns:a16="http://schemas.microsoft.com/office/drawing/2014/main" id="{7AD85E8E-E958-DFA0-8AAE-7C1C19D19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47932</xdr:rowOff>
    </xdr:from>
    <xdr:to>
      <xdr:col>4</xdr:col>
      <xdr:colOff>294968</xdr:colOff>
      <xdr:row>44</xdr:row>
      <xdr:rowOff>25809</xdr:rowOff>
    </xdr:to>
    <xdr:graphicFrame macro="">
      <xdr:nvGraphicFramePr>
        <xdr:cNvPr id="6" name="Chart 5">
          <a:extLst>
            <a:ext uri="{FF2B5EF4-FFF2-40B4-BE49-F238E27FC236}">
              <a16:creationId xmlns:a16="http://schemas.microsoft.com/office/drawing/2014/main" id="{01F78153-4892-8F3C-446D-100F94B1B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903339</xdr:colOff>
      <xdr:row>11</xdr:row>
      <xdr:rowOff>170836</xdr:rowOff>
    </xdr:from>
    <xdr:to>
      <xdr:col>16</xdr:col>
      <xdr:colOff>854177</xdr:colOff>
      <xdr:row>26</xdr:row>
      <xdr:rowOff>148713</xdr:rowOff>
    </xdr:to>
    <xdr:graphicFrame macro="">
      <xdr:nvGraphicFramePr>
        <xdr:cNvPr id="7" name="Chart 6">
          <a:extLst>
            <a:ext uri="{FF2B5EF4-FFF2-40B4-BE49-F238E27FC236}">
              <a16:creationId xmlns:a16="http://schemas.microsoft.com/office/drawing/2014/main" id="{3723DADB-AC00-0D0B-48E1-9F51671AF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669823</xdr:colOff>
      <xdr:row>28</xdr:row>
      <xdr:rowOff>23353</xdr:rowOff>
    </xdr:from>
    <xdr:to>
      <xdr:col>16</xdr:col>
      <xdr:colOff>620661</xdr:colOff>
      <xdr:row>43</xdr:row>
      <xdr:rowOff>1230</xdr:rowOff>
    </xdr:to>
    <xdr:graphicFrame macro="">
      <xdr:nvGraphicFramePr>
        <xdr:cNvPr id="8" name="Chart 7">
          <a:extLst>
            <a:ext uri="{FF2B5EF4-FFF2-40B4-BE49-F238E27FC236}">
              <a16:creationId xmlns:a16="http://schemas.microsoft.com/office/drawing/2014/main" id="{9C84BE1A-11BC-95A1-70A6-CDC439628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1149145</xdr:colOff>
      <xdr:row>13</xdr:row>
      <xdr:rowOff>60223</xdr:rowOff>
    </xdr:from>
    <xdr:to>
      <xdr:col>22</xdr:col>
      <xdr:colOff>153629</xdr:colOff>
      <xdr:row>28</xdr:row>
      <xdr:rowOff>38101</xdr:rowOff>
    </xdr:to>
    <xdr:graphicFrame macro="">
      <xdr:nvGraphicFramePr>
        <xdr:cNvPr id="9" name="Chart 8">
          <a:extLst>
            <a:ext uri="{FF2B5EF4-FFF2-40B4-BE49-F238E27FC236}">
              <a16:creationId xmlns:a16="http://schemas.microsoft.com/office/drawing/2014/main" id="{55DCDBA0-15E6-85B2-DA60-A89F697E0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866467</xdr:colOff>
      <xdr:row>29</xdr:row>
      <xdr:rowOff>23352</xdr:rowOff>
    </xdr:from>
    <xdr:to>
      <xdr:col>21</xdr:col>
      <xdr:colOff>485467</xdr:colOff>
      <xdr:row>44</xdr:row>
      <xdr:rowOff>1229</xdr:rowOff>
    </xdr:to>
    <xdr:graphicFrame macro="">
      <xdr:nvGraphicFramePr>
        <xdr:cNvPr id="10" name="Chart 9">
          <a:extLst>
            <a:ext uri="{FF2B5EF4-FFF2-40B4-BE49-F238E27FC236}">
              <a16:creationId xmlns:a16="http://schemas.microsoft.com/office/drawing/2014/main" id="{2CC3F9FB-37CA-0EC2-2E4D-137BD5B3E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1040258</xdr:colOff>
      <xdr:row>3</xdr:row>
      <xdr:rowOff>100687</xdr:rowOff>
    </xdr:from>
    <xdr:to>
      <xdr:col>15</xdr:col>
      <xdr:colOff>788541</xdr:colOff>
      <xdr:row>17</xdr:row>
      <xdr:rowOff>50493</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E76757C3-08C4-EF7A-372A-6A3E86210C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398393" y="64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33391</xdr:colOff>
      <xdr:row>14</xdr:row>
      <xdr:rowOff>41353</xdr:rowOff>
    </xdr:from>
    <xdr:to>
      <xdr:col>29</xdr:col>
      <xdr:colOff>218326</xdr:colOff>
      <xdr:row>27</xdr:row>
      <xdr:rowOff>170958</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A42F45FF-FC42-A1C5-49F9-2B9E924AE8D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6557840" y="25585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185277</xdr:colOff>
      <xdr:row>15</xdr:row>
      <xdr:rowOff>41954</xdr:rowOff>
    </xdr:from>
    <xdr:to>
      <xdr:col>24</xdr:col>
      <xdr:colOff>550009</xdr:colOff>
      <xdr:row>21</xdr:row>
      <xdr:rowOff>85619</xdr:rowOff>
    </xdr:to>
    <mc:AlternateContent xmlns:mc="http://schemas.openxmlformats.org/markup-compatibility/2006" xmlns:a14="http://schemas.microsoft.com/office/drawing/2010/main">
      <mc:Choice Requires="a14">
        <xdr:graphicFrame macro="">
          <xdr:nvGraphicFramePr>
            <xdr:cNvPr id="13" name="Attendance_Status">
              <a:extLst>
                <a:ext uri="{FF2B5EF4-FFF2-40B4-BE49-F238E27FC236}">
                  <a16:creationId xmlns:a16="http://schemas.microsoft.com/office/drawing/2014/main" id="{B5B74368-7C1A-9D00-D0B5-59DA2CAD8509}"/>
                </a:ext>
              </a:extLst>
            </xdr:cNvPr>
            <xdr:cNvGraphicFramePr/>
          </xdr:nvGraphicFramePr>
          <xdr:xfrm>
            <a:off x="0" y="0"/>
            <a:ext cx="0" cy="0"/>
          </xdr:xfrm>
          <a:graphic>
            <a:graphicData uri="http://schemas.microsoft.com/office/drawing/2010/slicer">
              <sle:slicer xmlns:sle="http://schemas.microsoft.com/office/drawing/2010/slicer" name="Attendance_Status"/>
            </a:graphicData>
          </a:graphic>
        </xdr:graphicFrame>
      </mc:Choice>
      <mc:Fallback xmlns="">
        <xdr:sp macro="" textlink="">
          <xdr:nvSpPr>
            <xdr:cNvPr id="0" name=""/>
            <xdr:cNvSpPr>
              <a:spLocks noTextEdit="1"/>
            </xdr:cNvSpPr>
          </xdr:nvSpPr>
          <xdr:spPr>
            <a:xfrm>
              <a:off x="23113771" y="2738920"/>
              <a:ext cx="1828800" cy="1122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408483</xdr:colOff>
      <xdr:row>8</xdr:row>
      <xdr:rowOff>42552</xdr:rowOff>
    </xdr:from>
    <xdr:to>
      <xdr:col>20</xdr:col>
      <xdr:colOff>225260</xdr:colOff>
      <xdr:row>15</xdr:row>
      <xdr:rowOff>162673</xdr:rowOff>
    </xdr:to>
    <mc:AlternateContent xmlns:mc="http://schemas.openxmlformats.org/markup-compatibility/2006" xmlns:a14="http://schemas.microsoft.com/office/drawing/2010/main">
      <mc:Choice Requires="a14">
        <xdr:graphicFrame macro="">
          <xdr:nvGraphicFramePr>
            <xdr:cNvPr id="14" name="Work_Mode">
              <a:extLst>
                <a:ext uri="{FF2B5EF4-FFF2-40B4-BE49-F238E27FC236}">
                  <a16:creationId xmlns:a16="http://schemas.microsoft.com/office/drawing/2014/main" id="{4F9BADE8-F47E-AA00-D551-54AA6B73FD02}"/>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mlns="">
        <xdr:sp macro="" textlink="">
          <xdr:nvSpPr>
            <xdr:cNvPr id="0" name=""/>
            <xdr:cNvSpPr>
              <a:spLocks noTextEdit="1"/>
            </xdr:cNvSpPr>
          </xdr:nvSpPr>
          <xdr:spPr>
            <a:xfrm>
              <a:off x="19133135" y="1480934"/>
              <a:ext cx="1828800" cy="1378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494700</xdr:colOff>
      <xdr:row>7</xdr:row>
      <xdr:rowOff>103084</xdr:rowOff>
    </xdr:from>
    <xdr:to>
      <xdr:col>22</xdr:col>
      <xdr:colOff>242984</xdr:colOff>
      <xdr:row>12</xdr:row>
      <xdr:rowOff>162674</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B0F0EDE2-C667-4F9F-BA4D-745D1B1F32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316992" y="1361668"/>
              <a:ext cx="1828800" cy="958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766024</xdr:colOff>
      <xdr:row>9</xdr:row>
      <xdr:rowOff>24829</xdr:rowOff>
    </xdr:from>
    <xdr:to>
      <xdr:col>25</xdr:col>
      <xdr:colOff>146149</xdr:colOff>
      <xdr:row>15</xdr:row>
      <xdr:rowOff>77056</xdr:rowOff>
    </xdr:to>
    <mc:AlternateContent xmlns:mc="http://schemas.openxmlformats.org/markup-compatibility/2006" xmlns:a14="http://schemas.microsoft.com/office/drawing/2010/main">
      <mc:Choice Requires="a14">
        <xdr:graphicFrame macro="">
          <xdr:nvGraphicFramePr>
            <xdr:cNvPr id="16" name="Work_Mode 1">
              <a:extLst>
                <a:ext uri="{FF2B5EF4-FFF2-40B4-BE49-F238E27FC236}">
                  <a16:creationId xmlns:a16="http://schemas.microsoft.com/office/drawing/2014/main" id="{E3746FDB-9A22-3DC1-D8F9-83B83CFEC066}"/>
                </a:ext>
              </a:extLst>
            </xdr:cNvPr>
            <xdr:cNvGraphicFramePr/>
          </xdr:nvGraphicFramePr>
          <xdr:xfrm>
            <a:off x="0" y="0"/>
            <a:ext cx="0" cy="0"/>
          </xdr:xfrm>
          <a:graphic>
            <a:graphicData uri="http://schemas.microsoft.com/office/drawing/2010/slicer">
              <sle:slicer xmlns:sle="http://schemas.microsoft.com/office/drawing/2010/slicer" name="Work_Mode 1"/>
            </a:graphicData>
          </a:graphic>
        </xdr:graphicFrame>
      </mc:Choice>
      <mc:Fallback xmlns="">
        <xdr:sp macro="" textlink="">
          <xdr:nvSpPr>
            <xdr:cNvPr id="0" name=""/>
            <xdr:cNvSpPr>
              <a:spLocks noTextEdit="1"/>
            </xdr:cNvSpPr>
          </xdr:nvSpPr>
          <xdr:spPr>
            <a:xfrm>
              <a:off x="24302406" y="1643009"/>
              <a:ext cx="1828800" cy="1131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68580</xdr:rowOff>
    </xdr:from>
    <xdr:to>
      <xdr:col>26</xdr:col>
      <xdr:colOff>175260</xdr:colOff>
      <xdr:row>4</xdr:row>
      <xdr:rowOff>30480</xdr:rowOff>
    </xdr:to>
    <xdr:sp macro="" textlink="">
      <xdr:nvSpPr>
        <xdr:cNvPr id="2" name="Rectangle: Rounded Corners 1">
          <a:extLst>
            <a:ext uri="{FF2B5EF4-FFF2-40B4-BE49-F238E27FC236}">
              <a16:creationId xmlns:a16="http://schemas.microsoft.com/office/drawing/2014/main" id="{7E0E535C-5D45-5E99-E3C6-EAE14A4042C2}"/>
            </a:ext>
          </a:extLst>
        </xdr:cNvPr>
        <xdr:cNvSpPr/>
      </xdr:nvSpPr>
      <xdr:spPr>
        <a:xfrm>
          <a:off x="15240" y="68580"/>
          <a:ext cx="1442466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800" b="1"/>
            <a:t>TALENTCORE</a:t>
          </a:r>
          <a:r>
            <a:rPr lang="en-IN" sz="1800" b="1" baseline="0"/>
            <a:t> SOLUTION PVT.LTD</a:t>
          </a:r>
        </a:p>
        <a:p>
          <a:pPr algn="l"/>
          <a:r>
            <a:rPr lang="en-IN" sz="1800" b="1" baseline="0"/>
            <a:t>                                                                                       </a:t>
          </a:r>
          <a:r>
            <a:rPr lang="en-IN" sz="1100" b="1" baseline="0"/>
            <a:t>EMPLOYEE ATTENDANCE &amp; WORKFORCE ANALYSIS DASHBOARD</a:t>
          </a:r>
          <a:endParaRPr lang="en-IN" sz="1100" b="1"/>
        </a:p>
      </xdr:txBody>
    </xdr:sp>
    <xdr:clientData/>
  </xdr:twoCellAnchor>
  <xdr:twoCellAnchor editAs="oneCell">
    <xdr:from>
      <xdr:col>5</xdr:col>
      <xdr:colOff>358140</xdr:colOff>
      <xdr:row>0</xdr:row>
      <xdr:rowOff>165299</xdr:rowOff>
    </xdr:from>
    <xdr:to>
      <xdr:col>6</xdr:col>
      <xdr:colOff>358140</xdr:colOff>
      <xdr:row>3</xdr:row>
      <xdr:rowOff>45721</xdr:rowOff>
    </xdr:to>
    <xdr:pic>
      <xdr:nvPicPr>
        <xdr:cNvPr id="4" name="Picture 3">
          <a:extLst>
            <a:ext uri="{FF2B5EF4-FFF2-40B4-BE49-F238E27FC236}">
              <a16:creationId xmlns:a16="http://schemas.microsoft.com/office/drawing/2014/main" id="{9106E4E4-36D7-A454-A199-54C1474A16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1340" y="165299"/>
          <a:ext cx="548640" cy="429062"/>
        </a:xfrm>
        <a:prstGeom prst="rect">
          <a:avLst/>
        </a:prstGeom>
      </xdr:spPr>
    </xdr:pic>
    <xdr:clientData/>
  </xdr:twoCellAnchor>
  <xdr:twoCellAnchor>
    <xdr:from>
      <xdr:col>0</xdr:col>
      <xdr:colOff>0</xdr:colOff>
      <xdr:row>4</xdr:row>
      <xdr:rowOff>76200</xdr:rowOff>
    </xdr:from>
    <xdr:to>
      <xdr:col>3</xdr:col>
      <xdr:colOff>129540</xdr:colOff>
      <xdr:row>7</xdr:row>
      <xdr:rowOff>76200</xdr:rowOff>
    </xdr:to>
    <xdr:grpSp>
      <xdr:nvGrpSpPr>
        <xdr:cNvPr id="7" name="Group 6">
          <a:extLst>
            <a:ext uri="{FF2B5EF4-FFF2-40B4-BE49-F238E27FC236}">
              <a16:creationId xmlns:a16="http://schemas.microsoft.com/office/drawing/2014/main" id="{B6E744DC-9C0B-7F73-6EE6-2531C21A9593}"/>
            </a:ext>
          </a:extLst>
        </xdr:cNvPr>
        <xdr:cNvGrpSpPr/>
      </xdr:nvGrpSpPr>
      <xdr:grpSpPr>
        <a:xfrm>
          <a:off x="0" y="807720"/>
          <a:ext cx="1775460" cy="548640"/>
          <a:chOff x="1188720" y="2232660"/>
          <a:chExt cx="1775460" cy="548640"/>
        </a:xfrm>
      </xdr:grpSpPr>
      <xdr:sp macro="" textlink="">
        <xdr:nvSpPr>
          <xdr:cNvPr id="5" name="Rectangle: Rounded Corners 4">
            <a:extLst>
              <a:ext uri="{FF2B5EF4-FFF2-40B4-BE49-F238E27FC236}">
                <a16:creationId xmlns:a16="http://schemas.microsoft.com/office/drawing/2014/main" id="{677E4918-E73A-7576-18BB-6C5BDF9BCBF9}"/>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Total Employees</a:t>
            </a:r>
          </a:p>
          <a:p>
            <a:pPr algn="l"/>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                          </a:t>
            </a:r>
          </a:p>
          <a:p>
            <a:pPr algn="l"/>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                      </a:t>
            </a:r>
            <a:endParaRPr lang="en-IN" sz="1100" b="1"/>
          </a:p>
        </xdr:txBody>
      </xdr:sp>
      <xdr:sp macro="" textlink="">
        <xdr:nvSpPr>
          <xdr:cNvPr id="6" name="Rectangle: Rounded Corners 5">
            <a:extLst>
              <a:ext uri="{FF2B5EF4-FFF2-40B4-BE49-F238E27FC236}">
                <a16:creationId xmlns:a16="http://schemas.microsoft.com/office/drawing/2014/main" id="{BE209BB8-A679-65BD-7CDC-3AC92F4E267C}"/>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251460</xdr:colOff>
      <xdr:row>4</xdr:row>
      <xdr:rowOff>76200</xdr:rowOff>
    </xdr:from>
    <xdr:to>
      <xdr:col>6</xdr:col>
      <xdr:colOff>381000</xdr:colOff>
      <xdr:row>7</xdr:row>
      <xdr:rowOff>76200</xdr:rowOff>
    </xdr:to>
    <xdr:grpSp>
      <xdr:nvGrpSpPr>
        <xdr:cNvPr id="8" name="Group 7">
          <a:extLst>
            <a:ext uri="{FF2B5EF4-FFF2-40B4-BE49-F238E27FC236}">
              <a16:creationId xmlns:a16="http://schemas.microsoft.com/office/drawing/2014/main" id="{39D3491A-6A5D-4B5F-8A92-378015DFC6DD}"/>
            </a:ext>
          </a:extLst>
        </xdr:cNvPr>
        <xdr:cNvGrpSpPr/>
      </xdr:nvGrpSpPr>
      <xdr:grpSpPr>
        <a:xfrm>
          <a:off x="1897380" y="807720"/>
          <a:ext cx="1775460" cy="548640"/>
          <a:chOff x="1188720" y="2232660"/>
          <a:chExt cx="1775460" cy="548640"/>
        </a:xfrm>
      </xdr:grpSpPr>
      <xdr:sp macro="" textlink="">
        <xdr:nvSpPr>
          <xdr:cNvPr id="9" name="Rectangle: Rounded Corners 8">
            <a:extLst>
              <a:ext uri="{FF2B5EF4-FFF2-40B4-BE49-F238E27FC236}">
                <a16:creationId xmlns:a16="http://schemas.microsoft.com/office/drawing/2014/main" id="{7DD810A9-ABCF-C8BE-D43E-AD59F5C23FAD}"/>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t>         </a:t>
            </a:r>
            <a:r>
              <a:rPr lang="en-IN" sz="1100" baseline="0"/>
              <a:t>    </a:t>
            </a:r>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Attendance Record</a:t>
            </a:r>
            <a:r>
              <a:rPr lang="en-IN" sz="1000" b="1" cap="none" spc="0" baseline="0">
                <a:ln w="0"/>
                <a:solidFill>
                  <a:schemeClr val="accent1"/>
                </a:solidFill>
                <a:effectLst>
                  <a:outerShdw blurRad="38100" dist="25400" dir="5400000" algn="ctr" rotWithShape="0">
                    <a:srgbClr val="6E747A">
                      <a:alpha val="43000"/>
                    </a:srgbClr>
                  </a:outerShdw>
                </a:effectLst>
                <a:latin typeface="+mn-lt"/>
                <a:ea typeface="+mn-ea"/>
                <a:cs typeface="+mn-cs"/>
              </a:rPr>
              <a:t>       </a:t>
            </a:r>
            <a:endParaRPr lang="en-IN" sz="1100" b="1"/>
          </a:p>
        </xdr:txBody>
      </xdr:sp>
      <xdr:sp macro="" textlink="">
        <xdr:nvSpPr>
          <xdr:cNvPr id="10" name="Rectangle: Rounded Corners 9">
            <a:extLst>
              <a:ext uri="{FF2B5EF4-FFF2-40B4-BE49-F238E27FC236}">
                <a16:creationId xmlns:a16="http://schemas.microsoft.com/office/drawing/2014/main" id="{73C9E250-82FA-6425-4EC9-35C735881D9D}"/>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502920</xdr:colOff>
      <xdr:row>4</xdr:row>
      <xdr:rowOff>76200</xdr:rowOff>
    </xdr:from>
    <xdr:to>
      <xdr:col>9</xdr:col>
      <xdr:colOff>419100</xdr:colOff>
      <xdr:row>7</xdr:row>
      <xdr:rowOff>76200</xdr:rowOff>
    </xdr:to>
    <xdr:grpSp>
      <xdr:nvGrpSpPr>
        <xdr:cNvPr id="11" name="Group 10">
          <a:extLst>
            <a:ext uri="{FF2B5EF4-FFF2-40B4-BE49-F238E27FC236}">
              <a16:creationId xmlns:a16="http://schemas.microsoft.com/office/drawing/2014/main" id="{74421654-07C5-45DD-A830-13ED3524CCFC}"/>
            </a:ext>
          </a:extLst>
        </xdr:cNvPr>
        <xdr:cNvGrpSpPr/>
      </xdr:nvGrpSpPr>
      <xdr:grpSpPr>
        <a:xfrm>
          <a:off x="3794760" y="807720"/>
          <a:ext cx="1562100" cy="548640"/>
          <a:chOff x="1188720" y="2232660"/>
          <a:chExt cx="1775460" cy="548640"/>
        </a:xfrm>
      </xdr:grpSpPr>
      <xdr:sp macro="" textlink="">
        <xdr:nvSpPr>
          <xdr:cNvPr id="12" name="Rectangle: Rounded Corners 11">
            <a:extLst>
              <a:ext uri="{FF2B5EF4-FFF2-40B4-BE49-F238E27FC236}">
                <a16:creationId xmlns:a16="http://schemas.microsoft.com/office/drawing/2014/main" id="{5256682F-C258-1FFE-B1F4-12A1A7A15F57}"/>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b="1" cap="none" spc="0">
                <a:ln w="0"/>
                <a:solidFill>
                  <a:schemeClr val="accent1"/>
                </a:solidFill>
                <a:effectLst>
                  <a:outerShdw blurRad="38100" dist="25400" dir="5400000" algn="ctr" rotWithShape="0">
                    <a:srgbClr val="6E747A">
                      <a:alpha val="43000"/>
                    </a:srgbClr>
                  </a:outerShdw>
                </a:effectLst>
              </a:rPr>
              <a:t>                 </a:t>
            </a:r>
            <a:r>
              <a:rPr lang="en-IN" sz="1100" b="1" cap="none" spc="0">
                <a:ln w="0"/>
                <a:solidFill>
                  <a:schemeClr val="accent1"/>
                </a:solidFill>
                <a:effectLst>
                  <a:outerShdw blurRad="38100" dist="25400" dir="5400000" algn="ctr" rotWithShape="0">
                    <a:srgbClr val="6E747A">
                      <a:alpha val="43000"/>
                    </a:srgbClr>
                  </a:outerShdw>
                </a:effectLst>
                <a:latin typeface="+mn-lt"/>
                <a:ea typeface="+mn-ea"/>
                <a:cs typeface="+mn-cs"/>
              </a:rPr>
              <a:t>Present</a:t>
            </a:r>
            <a:endParaRPr lang="en-IN" sz="11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13" name="Rectangle: Rounded Corners 12">
            <a:extLst>
              <a:ext uri="{FF2B5EF4-FFF2-40B4-BE49-F238E27FC236}">
                <a16:creationId xmlns:a16="http://schemas.microsoft.com/office/drawing/2014/main" id="{3B99932C-F634-2091-7862-8E202E9F2F37}"/>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22</xdr:col>
      <xdr:colOff>525780</xdr:colOff>
      <xdr:row>4</xdr:row>
      <xdr:rowOff>38100</xdr:rowOff>
    </xdr:from>
    <xdr:to>
      <xdr:col>26</xdr:col>
      <xdr:colOff>106680</xdr:colOff>
      <xdr:row>7</xdr:row>
      <xdr:rowOff>38100</xdr:rowOff>
    </xdr:to>
    <xdr:grpSp>
      <xdr:nvGrpSpPr>
        <xdr:cNvPr id="14" name="Group 13">
          <a:extLst>
            <a:ext uri="{FF2B5EF4-FFF2-40B4-BE49-F238E27FC236}">
              <a16:creationId xmlns:a16="http://schemas.microsoft.com/office/drawing/2014/main" id="{20D9DEFB-618E-499E-8B8B-C7C873E456A9}"/>
            </a:ext>
          </a:extLst>
        </xdr:cNvPr>
        <xdr:cNvGrpSpPr/>
      </xdr:nvGrpSpPr>
      <xdr:grpSpPr>
        <a:xfrm>
          <a:off x="12595860" y="769620"/>
          <a:ext cx="1775460" cy="548640"/>
          <a:chOff x="1188720" y="2232660"/>
          <a:chExt cx="1775460" cy="548640"/>
        </a:xfrm>
      </xdr:grpSpPr>
      <xdr:sp macro="" textlink="">
        <xdr:nvSpPr>
          <xdr:cNvPr id="15" name="Rectangle: Rounded Corners 14">
            <a:extLst>
              <a:ext uri="{FF2B5EF4-FFF2-40B4-BE49-F238E27FC236}">
                <a16:creationId xmlns:a16="http://schemas.microsoft.com/office/drawing/2014/main" id="{364DDEFD-877B-6187-0F04-C0900F693F29}"/>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100"/>
              <a:t>           </a:t>
            </a:r>
            <a:r>
              <a:rPr lang="en-IN" sz="1000" b="1" cap="none" spc="0" baseline="0">
                <a:ln w="0"/>
                <a:solidFill>
                  <a:schemeClr val="accent1"/>
                </a:solidFill>
                <a:effectLst>
                  <a:outerShdw blurRad="38100" dist="25400" dir="5400000" algn="ctr" rotWithShape="0">
                    <a:srgbClr val="6E747A">
                      <a:alpha val="43000"/>
                    </a:srgbClr>
                  </a:outerShdw>
                </a:effectLst>
                <a:latin typeface="+mn-lt"/>
                <a:ea typeface="+mn-ea"/>
                <a:cs typeface="+mn-cs"/>
              </a:rPr>
              <a:t> </a:t>
            </a:r>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Performance</a:t>
            </a:r>
            <a:r>
              <a:rPr lang="en-IN" sz="1000" b="1" cap="none" spc="0" baseline="0">
                <a:ln w="0"/>
                <a:solidFill>
                  <a:schemeClr val="accent1"/>
                </a:solidFill>
                <a:effectLst>
                  <a:outerShdw blurRad="38100" dist="25400" dir="5400000" algn="ctr" rotWithShape="0">
                    <a:srgbClr val="6E747A">
                      <a:alpha val="43000"/>
                    </a:srgbClr>
                  </a:outerShdw>
                </a:effectLst>
                <a:latin typeface="+mn-lt"/>
                <a:ea typeface="+mn-ea"/>
                <a:cs typeface="+mn-cs"/>
              </a:rPr>
              <a:t> Rating</a:t>
            </a:r>
            <a:endParaRPr lang="en-IN" sz="1000" b="1" cap="none" spc="0">
              <a:ln w="0"/>
              <a:solidFill>
                <a:schemeClr val="accent1"/>
              </a:solidFill>
              <a:effectLst>
                <a:outerShdw blurRad="38100" dist="25400" dir="5400000" algn="ctr" rotWithShape="0">
                  <a:srgbClr val="6E747A">
                    <a:alpha val="43000"/>
                  </a:srgbClr>
                </a:outerShdw>
              </a:effectLst>
            </a:endParaRPr>
          </a:p>
          <a:p>
            <a:pPr algn="l"/>
            <a:endParaRPr lang="en-IN" sz="1100"/>
          </a:p>
        </xdr:txBody>
      </xdr:sp>
      <xdr:sp macro="" textlink="">
        <xdr:nvSpPr>
          <xdr:cNvPr id="16" name="Rectangle: Rounded Corners 15">
            <a:extLst>
              <a:ext uri="{FF2B5EF4-FFF2-40B4-BE49-F238E27FC236}">
                <a16:creationId xmlns:a16="http://schemas.microsoft.com/office/drawing/2014/main" id="{1C8157E2-F1B9-28DF-3768-2A83D8EDC448}"/>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533400</xdr:colOff>
      <xdr:row>4</xdr:row>
      <xdr:rowOff>76200</xdr:rowOff>
    </xdr:from>
    <xdr:to>
      <xdr:col>12</xdr:col>
      <xdr:colOff>457200</xdr:colOff>
      <xdr:row>7</xdr:row>
      <xdr:rowOff>76200</xdr:rowOff>
    </xdr:to>
    <xdr:grpSp>
      <xdr:nvGrpSpPr>
        <xdr:cNvPr id="17" name="Group 16">
          <a:extLst>
            <a:ext uri="{FF2B5EF4-FFF2-40B4-BE49-F238E27FC236}">
              <a16:creationId xmlns:a16="http://schemas.microsoft.com/office/drawing/2014/main" id="{9FE7937D-6A83-4172-8888-493C9F171155}"/>
            </a:ext>
          </a:extLst>
        </xdr:cNvPr>
        <xdr:cNvGrpSpPr/>
      </xdr:nvGrpSpPr>
      <xdr:grpSpPr>
        <a:xfrm>
          <a:off x="5471160" y="807720"/>
          <a:ext cx="1569720" cy="548640"/>
          <a:chOff x="1188720" y="2232660"/>
          <a:chExt cx="1775460" cy="548640"/>
        </a:xfrm>
      </xdr:grpSpPr>
      <xdr:sp macro="" textlink="">
        <xdr:nvSpPr>
          <xdr:cNvPr id="18" name="Rectangle: Rounded Corners 17">
            <a:extLst>
              <a:ext uri="{FF2B5EF4-FFF2-40B4-BE49-F238E27FC236}">
                <a16:creationId xmlns:a16="http://schemas.microsoft.com/office/drawing/2014/main" id="{ED4DDABC-A73C-7BA2-7140-E5751E7A4DFD}"/>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r>
              <a:rPr lang="en-IN" sz="1200" b="1" cap="none" spc="0">
                <a:ln w="0"/>
                <a:solidFill>
                  <a:schemeClr val="accent1"/>
                </a:solidFill>
                <a:effectLst>
                  <a:outerShdw blurRad="38100" dist="25400" dir="5400000" algn="ctr" rotWithShape="0">
                    <a:srgbClr val="6E747A">
                      <a:alpha val="43000"/>
                    </a:srgbClr>
                  </a:outerShdw>
                </a:effectLst>
                <a:latin typeface="+mn-lt"/>
                <a:ea typeface="+mn-ea"/>
                <a:cs typeface="+mn-cs"/>
              </a:rPr>
              <a:t>Absent</a:t>
            </a:r>
            <a:endParaRPr lang="en-IN" sz="1100" b="1"/>
          </a:p>
        </xdr:txBody>
      </xdr:sp>
      <xdr:sp macro="" textlink="">
        <xdr:nvSpPr>
          <xdr:cNvPr id="19" name="Rectangle: Rounded Corners 18">
            <a:extLst>
              <a:ext uri="{FF2B5EF4-FFF2-40B4-BE49-F238E27FC236}">
                <a16:creationId xmlns:a16="http://schemas.microsoft.com/office/drawing/2014/main" id="{9B33A400-71ED-C70D-2E90-C08B4EB42016}"/>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281940</xdr:colOff>
      <xdr:row>4</xdr:row>
      <xdr:rowOff>53340</xdr:rowOff>
    </xdr:from>
    <xdr:to>
      <xdr:col>22</xdr:col>
      <xdr:colOff>411480</xdr:colOff>
      <xdr:row>7</xdr:row>
      <xdr:rowOff>53340</xdr:rowOff>
    </xdr:to>
    <xdr:grpSp>
      <xdr:nvGrpSpPr>
        <xdr:cNvPr id="20" name="Group 19">
          <a:extLst>
            <a:ext uri="{FF2B5EF4-FFF2-40B4-BE49-F238E27FC236}">
              <a16:creationId xmlns:a16="http://schemas.microsoft.com/office/drawing/2014/main" id="{BC01B162-AE99-4A4C-9399-4DD09A724C66}"/>
            </a:ext>
          </a:extLst>
        </xdr:cNvPr>
        <xdr:cNvGrpSpPr/>
      </xdr:nvGrpSpPr>
      <xdr:grpSpPr>
        <a:xfrm>
          <a:off x="10706100" y="784860"/>
          <a:ext cx="1775460" cy="548640"/>
          <a:chOff x="1188720" y="2232660"/>
          <a:chExt cx="1775460" cy="548640"/>
        </a:xfrm>
      </xdr:grpSpPr>
      <xdr:sp macro="" textlink="">
        <xdr:nvSpPr>
          <xdr:cNvPr id="21" name="Rectangle: Rounded Corners 20">
            <a:extLst>
              <a:ext uri="{FF2B5EF4-FFF2-40B4-BE49-F238E27FC236}">
                <a16:creationId xmlns:a16="http://schemas.microsoft.com/office/drawing/2014/main" id="{38024B62-6C38-5559-BF36-C299E9F5EDEC}"/>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100"/>
              <a:t>           </a:t>
            </a:r>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Avg Working Hours</a:t>
            </a:r>
            <a:endParaRPr lang="en-IN" sz="1000" b="1" cap="none" spc="0">
              <a:ln w="0"/>
              <a:solidFill>
                <a:schemeClr val="accent1"/>
              </a:solidFill>
              <a:effectLst>
                <a:outerShdw blurRad="38100" dist="25400" dir="5400000" algn="ctr" rotWithShape="0">
                  <a:srgbClr val="6E747A">
                    <a:alpha val="43000"/>
                  </a:srgbClr>
                </a:outerShdw>
              </a:effectLst>
            </a:endParaRPr>
          </a:p>
          <a:p>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                                     </a:t>
            </a:r>
            <a:endParaRPr lang="en-IN" sz="1000" b="1" cap="none" spc="0">
              <a:ln w="0"/>
              <a:solidFill>
                <a:schemeClr val="accent1"/>
              </a:solidFill>
              <a:effectLst>
                <a:outerShdw blurRad="38100" dist="25400" dir="5400000" algn="ctr" rotWithShape="0">
                  <a:srgbClr val="6E747A">
                    <a:alpha val="43000"/>
                  </a:srgbClr>
                </a:outerShdw>
              </a:effectLst>
            </a:endParaRPr>
          </a:p>
          <a:p>
            <a:pPr algn="l"/>
            <a:endParaRPr lang="en-IN" sz="1100"/>
          </a:p>
        </xdr:txBody>
      </xdr:sp>
      <xdr:sp macro="" textlink="">
        <xdr:nvSpPr>
          <xdr:cNvPr id="22" name="Rectangle: Rounded Corners 21">
            <a:extLst>
              <a:ext uri="{FF2B5EF4-FFF2-40B4-BE49-F238E27FC236}">
                <a16:creationId xmlns:a16="http://schemas.microsoft.com/office/drawing/2014/main" id="{CCB41534-05C5-9D60-8ED3-328FB043F184}"/>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16</xdr:col>
      <xdr:colOff>60960</xdr:colOff>
      <xdr:row>4</xdr:row>
      <xdr:rowOff>83820</xdr:rowOff>
    </xdr:from>
    <xdr:to>
      <xdr:col>19</xdr:col>
      <xdr:colOff>190500</xdr:colOff>
      <xdr:row>7</xdr:row>
      <xdr:rowOff>83820</xdr:rowOff>
    </xdr:to>
    <xdr:grpSp>
      <xdr:nvGrpSpPr>
        <xdr:cNvPr id="23" name="Group 22">
          <a:extLst>
            <a:ext uri="{FF2B5EF4-FFF2-40B4-BE49-F238E27FC236}">
              <a16:creationId xmlns:a16="http://schemas.microsoft.com/office/drawing/2014/main" id="{1DD751A4-DD52-40E0-BFD2-88E3F746945D}"/>
            </a:ext>
          </a:extLst>
        </xdr:cNvPr>
        <xdr:cNvGrpSpPr/>
      </xdr:nvGrpSpPr>
      <xdr:grpSpPr>
        <a:xfrm>
          <a:off x="8839200" y="815340"/>
          <a:ext cx="1775460" cy="548640"/>
          <a:chOff x="1188720" y="2232660"/>
          <a:chExt cx="1775460" cy="548640"/>
        </a:xfrm>
      </xdr:grpSpPr>
      <xdr:sp macro="" textlink="">
        <xdr:nvSpPr>
          <xdr:cNvPr id="24" name="Rectangle: Rounded Corners 23">
            <a:extLst>
              <a:ext uri="{FF2B5EF4-FFF2-40B4-BE49-F238E27FC236}">
                <a16:creationId xmlns:a16="http://schemas.microsoft.com/office/drawing/2014/main" id="{F26EF145-E534-A8F4-CD06-0496EBCF9975}"/>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r>
              <a:rPr lang="en-IN" sz="1000" b="1" cap="none" spc="0">
                <a:ln w="0"/>
                <a:solidFill>
                  <a:schemeClr val="accent1"/>
                </a:solidFill>
                <a:effectLst>
                  <a:outerShdw blurRad="38100" dist="25400" dir="5400000" algn="ctr" rotWithShape="0">
                    <a:srgbClr val="6E747A">
                      <a:alpha val="43000"/>
                    </a:srgbClr>
                  </a:outerShdw>
                </a:effectLst>
                <a:latin typeface="+mn-lt"/>
                <a:ea typeface="+mn-ea"/>
                <a:cs typeface="+mn-cs"/>
              </a:rPr>
              <a:t>Attendance Rate</a:t>
            </a:r>
            <a:endParaRPr lang="en-IN" sz="1100" b="1"/>
          </a:p>
        </xdr:txBody>
      </xdr:sp>
      <xdr:sp macro="" textlink="">
        <xdr:nvSpPr>
          <xdr:cNvPr id="25" name="Rectangle: Rounded Corners 24">
            <a:extLst>
              <a:ext uri="{FF2B5EF4-FFF2-40B4-BE49-F238E27FC236}">
                <a16:creationId xmlns:a16="http://schemas.microsoft.com/office/drawing/2014/main" id="{414CEA0F-72DE-3AB7-F32F-CE2E598B616E}"/>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22860</xdr:colOff>
      <xdr:row>4</xdr:row>
      <xdr:rowOff>83820</xdr:rowOff>
    </xdr:from>
    <xdr:to>
      <xdr:col>15</xdr:col>
      <xdr:colOff>495300</xdr:colOff>
      <xdr:row>7</xdr:row>
      <xdr:rowOff>83820</xdr:rowOff>
    </xdr:to>
    <xdr:grpSp>
      <xdr:nvGrpSpPr>
        <xdr:cNvPr id="26" name="Group 25">
          <a:extLst>
            <a:ext uri="{FF2B5EF4-FFF2-40B4-BE49-F238E27FC236}">
              <a16:creationId xmlns:a16="http://schemas.microsoft.com/office/drawing/2014/main" id="{23AA6FA2-1D6B-42DC-8705-59E664ABCA70}"/>
            </a:ext>
          </a:extLst>
        </xdr:cNvPr>
        <xdr:cNvGrpSpPr/>
      </xdr:nvGrpSpPr>
      <xdr:grpSpPr>
        <a:xfrm>
          <a:off x="7155180" y="815340"/>
          <a:ext cx="1569720" cy="548640"/>
          <a:chOff x="1188720" y="2232660"/>
          <a:chExt cx="1775460" cy="548640"/>
        </a:xfrm>
      </xdr:grpSpPr>
      <xdr:sp macro="" textlink="">
        <xdr:nvSpPr>
          <xdr:cNvPr id="27" name="Rectangle: Rounded Corners 26">
            <a:extLst>
              <a:ext uri="{FF2B5EF4-FFF2-40B4-BE49-F238E27FC236}">
                <a16:creationId xmlns:a16="http://schemas.microsoft.com/office/drawing/2014/main" id="{264EB1A9-221E-74F6-90ED-20C03B4D7777}"/>
              </a:ext>
            </a:extLst>
          </xdr:cNvPr>
          <xdr:cNvSpPr/>
        </xdr:nvSpPr>
        <xdr:spPr>
          <a:xfrm>
            <a:off x="1188720" y="2232660"/>
            <a:ext cx="1775460" cy="5486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IN" sz="1100"/>
              <a:t>     </a:t>
            </a:r>
            <a:r>
              <a:rPr lang="en-IN" sz="800"/>
              <a:t>    </a:t>
            </a:r>
            <a:r>
              <a:rPr lang="en-IN" sz="800" baseline="0"/>
              <a:t>    </a:t>
            </a:r>
            <a:r>
              <a:rPr lang="en-IN" sz="800"/>
              <a:t> </a:t>
            </a:r>
            <a:r>
              <a:rPr lang="en-IN" sz="1000" b="1" cap="none" spc="0">
                <a:ln w="0"/>
                <a:solidFill>
                  <a:schemeClr val="accent1"/>
                </a:solidFill>
                <a:effectLst>
                  <a:outerShdw blurRad="38100" dist="25400" dir="5400000" algn="ctr" rotWithShape="0">
                    <a:srgbClr val="6E747A">
                      <a:alpha val="43000"/>
                    </a:srgbClr>
                  </a:outerShdw>
                </a:effectLst>
              </a:rPr>
              <a:t>Employees</a:t>
            </a:r>
            <a:r>
              <a:rPr lang="en-IN" sz="1000" b="1" cap="none" spc="0" baseline="0">
                <a:ln w="0"/>
                <a:solidFill>
                  <a:schemeClr val="accent1"/>
                </a:solidFill>
                <a:effectLst>
                  <a:outerShdw blurRad="38100" dist="25400" dir="5400000" algn="ctr" rotWithShape="0">
                    <a:srgbClr val="6E747A">
                      <a:alpha val="43000"/>
                    </a:srgbClr>
                  </a:outerShdw>
                </a:effectLst>
              </a:rPr>
              <a:t> on </a:t>
            </a:r>
          </a:p>
          <a:p>
            <a:r>
              <a:rPr lang="en-IN" sz="1000" b="1" cap="none" spc="0" baseline="0">
                <a:ln w="0"/>
                <a:solidFill>
                  <a:schemeClr val="accent1"/>
                </a:solidFill>
                <a:effectLst>
                  <a:outerShdw blurRad="38100" dist="25400" dir="5400000" algn="ctr" rotWithShape="0">
                    <a:srgbClr val="6E747A">
                      <a:alpha val="43000"/>
                    </a:srgbClr>
                  </a:outerShdw>
                </a:effectLst>
              </a:rPr>
              <a:t>                   Leave</a:t>
            </a:r>
            <a:endParaRPr lang="en-IN" sz="10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28" name="Rectangle: Rounded Corners 27">
            <a:extLst>
              <a:ext uri="{FF2B5EF4-FFF2-40B4-BE49-F238E27FC236}">
                <a16:creationId xmlns:a16="http://schemas.microsoft.com/office/drawing/2014/main" id="{CC616C65-654A-519D-A73F-CC0760982A07}"/>
              </a:ext>
            </a:extLst>
          </xdr:cNvPr>
          <xdr:cNvSpPr/>
        </xdr:nvSpPr>
        <xdr:spPr>
          <a:xfrm>
            <a:off x="1196340" y="2240280"/>
            <a:ext cx="441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137160</xdr:colOff>
      <xdr:row>5</xdr:row>
      <xdr:rowOff>137160</xdr:rowOff>
    </xdr:from>
    <xdr:to>
      <xdr:col>2</xdr:col>
      <xdr:colOff>220980</xdr:colOff>
      <xdr:row>7</xdr:row>
      <xdr:rowOff>15240</xdr:rowOff>
    </xdr:to>
    <xdr:sp macro="" textlink="KPIs!B1">
      <xdr:nvSpPr>
        <xdr:cNvPr id="29" name="TextBox 28">
          <a:extLst>
            <a:ext uri="{FF2B5EF4-FFF2-40B4-BE49-F238E27FC236}">
              <a16:creationId xmlns:a16="http://schemas.microsoft.com/office/drawing/2014/main" id="{CF6A1AB5-ACAB-9E77-F288-2EC201C2C7CF}"/>
            </a:ext>
          </a:extLst>
        </xdr:cNvPr>
        <xdr:cNvSpPr txBox="1"/>
      </xdr:nvSpPr>
      <xdr:spPr>
        <a:xfrm>
          <a:off x="685800" y="1051560"/>
          <a:ext cx="632460" cy="2438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D8D01779-E08B-4C1E-97E0-130BF6EE52CD}" type="TxLink">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50</a:t>
          </a:fld>
          <a:endParaRPr lang="en-IN" sz="1100" b="1"/>
        </a:p>
      </xdr:txBody>
    </xdr:sp>
    <xdr:clientData/>
  </xdr:twoCellAnchor>
  <xdr:twoCellAnchor>
    <xdr:from>
      <xdr:col>4</xdr:col>
      <xdr:colOff>312420</xdr:colOff>
      <xdr:row>5</xdr:row>
      <xdr:rowOff>129540</xdr:rowOff>
    </xdr:from>
    <xdr:to>
      <xdr:col>5</xdr:col>
      <xdr:colOff>426720</xdr:colOff>
      <xdr:row>7</xdr:row>
      <xdr:rowOff>7620</xdr:rowOff>
    </xdr:to>
    <xdr:sp macro="" textlink="KPIs!B3">
      <xdr:nvSpPr>
        <xdr:cNvPr id="30" name="TextBox 29">
          <a:extLst>
            <a:ext uri="{FF2B5EF4-FFF2-40B4-BE49-F238E27FC236}">
              <a16:creationId xmlns:a16="http://schemas.microsoft.com/office/drawing/2014/main" id="{067F8FCE-5F8D-618E-37A7-F90B6DAB91D7}"/>
            </a:ext>
          </a:extLst>
        </xdr:cNvPr>
        <xdr:cNvSpPr txBox="1"/>
      </xdr:nvSpPr>
      <xdr:spPr>
        <a:xfrm>
          <a:off x="2506980" y="1043940"/>
          <a:ext cx="662940" cy="2438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0CA5A8D4-CC07-476D-9C2E-7B73A4293C4D}" type="TxLink">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808</a:t>
          </a:fld>
          <a:endParaRPr lang="en-IN" sz="1100" b="1"/>
        </a:p>
      </xdr:txBody>
    </xdr:sp>
    <xdr:clientData/>
  </xdr:twoCellAnchor>
  <xdr:twoCellAnchor>
    <xdr:from>
      <xdr:col>8</xdr:col>
      <xdr:colOff>53340</xdr:colOff>
      <xdr:row>5</xdr:row>
      <xdr:rowOff>137160</xdr:rowOff>
    </xdr:from>
    <xdr:to>
      <xdr:col>9</xdr:col>
      <xdr:colOff>144780</xdr:colOff>
      <xdr:row>6</xdr:row>
      <xdr:rowOff>152400</xdr:rowOff>
    </xdr:to>
    <xdr:sp macro="" textlink="KPIs!B5">
      <xdr:nvSpPr>
        <xdr:cNvPr id="31" name="TextBox 30">
          <a:extLst>
            <a:ext uri="{FF2B5EF4-FFF2-40B4-BE49-F238E27FC236}">
              <a16:creationId xmlns:a16="http://schemas.microsoft.com/office/drawing/2014/main" id="{B46A33A5-166D-50AC-E3D3-74DBD5D53569}"/>
            </a:ext>
          </a:extLst>
        </xdr:cNvPr>
        <xdr:cNvSpPr txBox="1"/>
      </xdr:nvSpPr>
      <xdr:spPr>
        <a:xfrm>
          <a:off x="4442460" y="1051560"/>
          <a:ext cx="640080" cy="1981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408AD3D3-7619-459A-9ACD-5266993967D6}" type="TxLink">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722</a:t>
          </a:fld>
          <a:endParaRPr lang="en-IN" sz="1100" b="1"/>
        </a:p>
      </xdr:txBody>
    </xdr:sp>
    <xdr:clientData/>
  </xdr:twoCellAnchor>
  <xdr:oneCellAnchor>
    <xdr:from>
      <xdr:col>11</xdr:col>
      <xdr:colOff>30480</xdr:colOff>
      <xdr:row>5</xdr:row>
      <xdr:rowOff>137160</xdr:rowOff>
    </xdr:from>
    <xdr:ext cx="586740" cy="251031"/>
    <xdr:sp macro="" textlink="KPIs!B7">
      <xdr:nvSpPr>
        <xdr:cNvPr id="32" name="TextBox 31">
          <a:extLst>
            <a:ext uri="{FF2B5EF4-FFF2-40B4-BE49-F238E27FC236}">
              <a16:creationId xmlns:a16="http://schemas.microsoft.com/office/drawing/2014/main" id="{DA82345F-CD6F-5A64-5E96-1CC8B15A1816}"/>
            </a:ext>
          </a:extLst>
        </xdr:cNvPr>
        <xdr:cNvSpPr txBox="1"/>
      </xdr:nvSpPr>
      <xdr:spPr>
        <a:xfrm>
          <a:off x="6065520" y="1051560"/>
          <a:ext cx="586740" cy="251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1E609A5C-CF89-49D6-9017-F09C069030F1}" type="TxLink">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48</a:t>
          </a:fld>
          <a:endParaRPr lang="en-IN" sz="1100" b="1"/>
        </a:p>
      </xdr:txBody>
    </xdr:sp>
    <xdr:clientData/>
  </xdr:oneCellAnchor>
  <xdr:twoCellAnchor>
    <xdr:from>
      <xdr:col>14</xdr:col>
      <xdr:colOff>76200</xdr:colOff>
      <xdr:row>6</xdr:row>
      <xdr:rowOff>68581</xdr:rowOff>
    </xdr:from>
    <xdr:to>
      <xdr:col>15</xdr:col>
      <xdr:colOff>182880</xdr:colOff>
      <xdr:row>7</xdr:row>
      <xdr:rowOff>45721</xdr:rowOff>
    </xdr:to>
    <xdr:sp macro="" textlink="KPIs!B21">
      <xdr:nvSpPr>
        <xdr:cNvPr id="33" name="TextBox 32">
          <a:extLst>
            <a:ext uri="{FF2B5EF4-FFF2-40B4-BE49-F238E27FC236}">
              <a16:creationId xmlns:a16="http://schemas.microsoft.com/office/drawing/2014/main" id="{D90170A8-9A92-D560-76B0-73E74D4DC9D1}"/>
            </a:ext>
          </a:extLst>
        </xdr:cNvPr>
        <xdr:cNvSpPr txBox="1"/>
      </xdr:nvSpPr>
      <xdr:spPr>
        <a:xfrm>
          <a:off x="7757160" y="1165861"/>
          <a:ext cx="655320" cy="1600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DB26B2E9-2DC4-4D14-9157-9BCD4282F438}" type="TxLink">
            <a:rPr lang="en-US" sz="1050" b="1" i="0" u="none" strike="noStrike" cap="none" spc="0">
              <a:ln w="0"/>
              <a:solidFill>
                <a:schemeClr val="accent1"/>
              </a:solidFill>
              <a:effectLst>
                <a:outerShdw blurRad="38100" dist="25400" dir="5400000" algn="ctr" rotWithShape="0">
                  <a:srgbClr val="6E747A">
                    <a:alpha val="43000"/>
                  </a:srgbClr>
                </a:outerShdw>
              </a:effectLst>
              <a:latin typeface="Garamond"/>
            </a:rPr>
            <a:t>38</a:t>
          </a:fld>
          <a:endParaRPr lang="en-IN" sz="1100" b="1"/>
        </a:p>
      </xdr:txBody>
    </xdr:sp>
    <xdr:clientData/>
  </xdr:twoCellAnchor>
  <xdr:twoCellAnchor>
    <xdr:from>
      <xdr:col>17</xdr:col>
      <xdr:colOff>213360</xdr:colOff>
      <xdr:row>5</xdr:row>
      <xdr:rowOff>152400</xdr:rowOff>
    </xdr:from>
    <xdr:to>
      <xdr:col>18</xdr:col>
      <xdr:colOff>320040</xdr:colOff>
      <xdr:row>7</xdr:row>
      <xdr:rowOff>22860</xdr:rowOff>
    </xdr:to>
    <xdr:sp macro="" textlink="KPIs!B9">
      <xdr:nvSpPr>
        <xdr:cNvPr id="35" name="TextBox 34">
          <a:extLst>
            <a:ext uri="{FF2B5EF4-FFF2-40B4-BE49-F238E27FC236}">
              <a16:creationId xmlns:a16="http://schemas.microsoft.com/office/drawing/2014/main" id="{EB036906-5026-448A-B53C-2ABF9664D2BB}"/>
            </a:ext>
          </a:extLst>
        </xdr:cNvPr>
        <xdr:cNvSpPr txBox="1"/>
      </xdr:nvSpPr>
      <xdr:spPr>
        <a:xfrm>
          <a:off x="9540240" y="1066800"/>
          <a:ext cx="655320" cy="2362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88A8188D-5A00-48B9-AE77-3A339FD659B2}" type="TxLink">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0.89</a:t>
          </a:fld>
          <a:endParaRPr lang="en-IN" sz="1100" b="1"/>
        </a:p>
      </xdr:txBody>
    </xdr:sp>
    <xdr:clientData/>
  </xdr:twoCellAnchor>
  <xdr:twoCellAnchor>
    <xdr:from>
      <xdr:col>20</xdr:col>
      <xdr:colOff>411480</xdr:colOff>
      <xdr:row>5</xdr:row>
      <xdr:rowOff>129540</xdr:rowOff>
    </xdr:from>
    <xdr:to>
      <xdr:col>21</xdr:col>
      <xdr:colOff>518160</xdr:colOff>
      <xdr:row>7</xdr:row>
      <xdr:rowOff>0</xdr:rowOff>
    </xdr:to>
    <xdr:sp macro="" textlink="KPIs!B11">
      <xdr:nvSpPr>
        <xdr:cNvPr id="36" name="TextBox 35">
          <a:extLst>
            <a:ext uri="{FF2B5EF4-FFF2-40B4-BE49-F238E27FC236}">
              <a16:creationId xmlns:a16="http://schemas.microsoft.com/office/drawing/2014/main" id="{9D5F97FA-F3E8-4B75-A1A3-CA2D8BBCDCED}"/>
            </a:ext>
          </a:extLst>
        </xdr:cNvPr>
        <xdr:cNvSpPr txBox="1"/>
      </xdr:nvSpPr>
      <xdr:spPr>
        <a:xfrm>
          <a:off x="11384280" y="1043940"/>
          <a:ext cx="655320" cy="2362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    </a:t>
          </a:r>
          <a:fld id="{890F147F-254E-421A-904E-6AD7C9B78ECE}" type="TxLink">
            <a:rPr lang="en-US" sz="1100" b="1" i="0" u="none" strike="noStrike" cap="none" spc="0">
              <a:ln w="0"/>
              <a:solidFill>
                <a:schemeClr val="accent1"/>
              </a:solidFill>
              <a:effectLst>
                <a:outerShdw blurRad="38100" dist="25400" dir="5400000" algn="ctr" rotWithShape="0">
                  <a:srgbClr val="6E747A">
                    <a:alpha val="43000"/>
                  </a:srgbClr>
                </a:outerShdw>
              </a:effectLst>
              <a:latin typeface="Garamond"/>
            </a:rPr>
            <a:t>8.37</a:t>
          </a:fld>
          <a:endParaRPr lang="en-IN" sz="1100" b="1"/>
        </a:p>
      </xdr:txBody>
    </xdr:sp>
    <xdr:clientData/>
  </xdr:twoCellAnchor>
  <xdr:twoCellAnchor>
    <xdr:from>
      <xdr:col>24</xdr:col>
      <xdr:colOff>228600</xdr:colOff>
      <xdr:row>5</xdr:row>
      <xdr:rowOff>106680</xdr:rowOff>
    </xdr:from>
    <xdr:to>
      <xdr:col>25</xdr:col>
      <xdr:colOff>121920</xdr:colOff>
      <xdr:row>6</xdr:row>
      <xdr:rowOff>144780</xdr:rowOff>
    </xdr:to>
    <xdr:sp macro="" textlink="KPIs!B15">
      <xdr:nvSpPr>
        <xdr:cNvPr id="37" name="TextBox 36">
          <a:extLst>
            <a:ext uri="{FF2B5EF4-FFF2-40B4-BE49-F238E27FC236}">
              <a16:creationId xmlns:a16="http://schemas.microsoft.com/office/drawing/2014/main" id="{CB7A9D23-765E-45B1-AC0A-21878C15E33B}"/>
            </a:ext>
          </a:extLst>
        </xdr:cNvPr>
        <xdr:cNvSpPr txBox="1"/>
      </xdr:nvSpPr>
      <xdr:spPr>
        <a:xfrm>
          <a:off x="13395960" y="1021080"/>
          <a:ext cx="441960" cy="2209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C975DE-2419-4502-A179-292F58E45F1F}" type="TxLink">
            <a:rPr lang="en-US" sz="1050" b="1" i="0" u="none" strike="noStrike" cap="none" spc="0">
              <a:ln w="0"/>
              <a:solidFill>
                <a:schemeClr val="accent1"/>
              </a:solidFill>
              <a:effectLst>
                <a:outerShdw blurRad="38100" dist="25400" dir="5400000" algn="ctr" rotWithShape="0">
                  <a:srgbClr val="6E747A">
                    <a:alpha val="43000"/>
                  </a:srgbClr>
                </a:outerShdw>
              </a:effectLst>
              <a:latin typeface="Garamond"/>
            </a:rPr>
            <a:t>4.00</a:t>
          </a:fld>
          <a:endParaRPr lang="en-IN" sz="1100" b="1"/>
        </a:p>
      </xdr:txBody>
    </xdr:sp>
    <xdr:clientData/>
  </xdr:twoCellAnchor>
  <xdr:twoCellAnchor editAs="oneCell">
    <xdr:from>
      <xdr:col>0</xdr:col>
      <xdr:colOff>0</xdr:colOff>
      <xdr:row>8</xdr:row>
      <xdr:rowOff>152401</xdr:rowOff>
    </xdr:from>
    <xdr:to>
      <xdr:col>2</xdr:col>
      <xdr:colOff>411480</xdr:colOff>
      <xdr:row>12</xdr:row>
      <xdr:rowOff>45720</xdr:rowOff>
    </xdr:to>
    <mc:AlternateContent xmlns:mc="http://schemas.openxmlformats.org/markup-compatibility/2006">
      <mc:Choice xmlns:a14="http://schemas.microsoft.com/office/drawing/2010/main" Requires="a14">
        <xdr:graphicFrame macro="">
          <xdr:nvGraphicFramePr>
            <xdr:cNvPr id="39" name="Gender 2">
              <a:extLst>
                <a:ext uri="{FF2B5EF4-FFF2-40B4-BE49-F238E27FC236}">
                  <a16:creationId xmlns:a16="http://schemas.microsoft.com/office/drawing/2014/main" id="{528468A0-29D6-4B19-8E84-770BDD188ED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0" y="1615441"/>
              <a:ext cx="150876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83820</xdr:rowOff>
    </xdr:from>
    <xdr:to>
      <xdr:col>2</xdr:col>
      <xdr:colOff>441960</xdr:colOff>
      <xdr:row>27</xdr:row>
      <xdr:rowOff>137159</xdr:rowOff>
    </xdr:to>
    <mc:AlternateContent xmlns:mc="http://schemas.openxmlformats.org/markup-compatibility/2006">
      <mc:Choice xmlns:a14="http://schemas.microsoft.com/office/drawing/2010/main" Requires="a14">
        <xdr:graphicFrame macro="">
          <xdr:nvGraphicFramePr>
            <xdr:cNvPr id="40" name="Work_Mode 3">
              <a:extLst>
                <a:ext uri="{FF2B5EF4-FFF2-40B4-BE49-F238E27FC236}">
                  <a16:creationId xmlns:a16="http://schemas.microsoft.com/office/drawing/2014/main" id="{7BC8B330-E50F-44B5-B44D-240547EBFA02}"/>
                </a:ext>
              </a:extLst>
            </xdr:cNvPr>
            <xdr:cNvGraphicFramePr/>
          </xdr:nvGraphicFramePr>
          <xdr:xfrm>
            <a:off x="0" y="0"/>
            <a:ext cx="0" cy="0"/>
          </xdr:xfrm>
          <a:graphic>
            <a:graphicData uri="http://schemas.microsoft.com/office/drawing/2010/slicer">
              <sle:slicer xmlns:sle="http://schemas.microsoft.com/office/drawing/2010/slicer" name="Work_Mode 3"/>
            </a:graphicData>
          </a:graphic>
        </xdr:graphicFrame>
      </mc:Choice>
      <mc:Fallback>
        <xdr:sp macro="" textlink="">
          <xdr:nvSpPr>
            <xdr:cNvPr id="0" name=""/>
            <xdr:cNvSpPr>
              <a:spLocks noTextEdit="1"/>
            </xdr:cNvSpPr>
          </xdr:nvSpPr>
          <xdr:spPr>
            <a:xfrm>
              <a:off x="0" y="3924300"/>
              <a:ext cx="153924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106680</xdr:rowOff>
    </xdr:from>
    <xdr:to>
      <xdr:col>2</xdr:col>
      <xdr:colOff>434340</xdr:colOff>
      <xdr:row>19</xdr:row>
      <xdr:rowOff>131852</xdr:rowOff>
    </xdr:to>
    <mc:AlternateContent xmlns:mc="http://schemas.openxmlformats.org/markup-compatibility/2006">
      <mc:Choice xmlns:a14="http://schemas.microsoft.com/office/drawing/2010/main" Requires="a14">
        <xdr:graphicFrame macro="">
          <xdr:nvGraphicFramePr>
            <xdr:cNvPr id="41" name="Attendance_Status 2">
              <a:extLst>
                <a:ext uri="{FF2B5EF4-FFF2-40B4-BE49-F238E27FC236}">
                  <a16:creationId xmlns:a16="http://schemas.microsoft.com/office/drawing/2014/main" id="{3FA0033A-FA4C-4DC6-8B49-A047680E9091}"/>
                </a:ext>
              </a:extLst>
            </xdr:cNvPr>
            <xdr:cNvGraphicFramePr/>
          </xdr:nvGraphicFramePr>
          <xdr:xfrm>
            <a:off x="0" y="0"/>
            <a:ext cx="0" cy="0"/>
          </xdr:xfrm>
          <a:graphic>
            <a:graphicData uri="http://schemas.microsoft.com/office/drawing/2010/slicer">
              <sle:slicer xmlns:sle="http://schemas.microsoft.com/office/drawing/2010/slicer" name="Attendance_Status 2"/>
            </a:graphicData>
          </a:graphic>
        </xdr:graphicFrame>
      </mc:Choice>
      <mc:Fallback>
        <xdr:sp macro="" textlink="">
          <xdr:nvSpPr>
            <xdr:cNvPr id="0" name=""/>
            <xdr:cNvSpPr>
              <a:spLocks noTextEdit="1"/>
            </xdr:cNvSpPr>
          </xdr:nvSpPr>
          <xdr:spPr>
            <a:xfrm>
              <a:off x="0" y="2484120"/>
              <a:ext cx="1531620" cy="1122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510540</xdr:colOff>
      <xdr:row>8</xdr:row>
      <xdr:rowOff>53340</xdr:rowOff>
    </xdr:from>
    <xdr:to>
      <xdr:col>26</xdr:col>
      <xdr:colOff>144780</xdr:colOff>
      <xdr:row>15</xdr:row>
      <xdr:rowOff>175260</xdr:rowOff>
    </xdr:to>
    <mc:AlternateContent xmlns:mc="http://schemas.openxmlformats.org/markup-compatibility/2006">
      <mc:Choice xmlns:a14="http://schemas.microsoft.com/office/drawing/2010/main" Requires="a14">
        <xdr:graphicFrame macro="">
          <xdr:nvGraphicFramePr>
            <xdr:cNvPr id="42" name="Department 2">
              <a:extLst>
                <a:ext uri="{FF2B5EF4-FFF2-40B4-BE49-F238E27FC236}">
                  <a16:creationId xmlns:a16="http://schemas.microsoft.com/office/drawing/2014/main" id="{96771CD1-F0BD-4663-90FF-80E4B3A6C83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2580620" y="1516380"/>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510540</xdr:colOff>
      <xdr:row>17</xdr:row>
      <xdr:rowOff>106680</xdr:rowOff>
    </xdr:from>
    <xdr:to>
      <xdr:col>26</xdr:col>
      <xdr:colOff>144780</xdr:colOff>
      <xdr:row>28</xdr:row>
      <xdr:rowOff>45720</xdr:rowOff>
    </xdr:to>
    <mc:AlternateContent xmlns:mc="http://schemas.openxmlformats.org/markup-compatibility/2006">
      <mc:Choice xmlns:a14="http://schemas.microsoft.com/office/drawing/2010/main" Requires="a14">
        <xdr:graphicFrame macro="">
          <xdr:nvGraphicFramePr>
            <xdr:cNvPr id="43" name="Month 2">
              <a:extLst>
                <a:ext uri="{FF2B5EF4-FFF2-40B4-BE49-F238E27FC236}">
                  <a16:creationId xmlns:a16="http://schemas.microsoft.com/office/drawing/2014/main" id="{98A6A78B-0DA8-4DB9-86B0-77B25875168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2580620" y="3215640"/>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487680</xdr:colOff>
      <xdr:row>8</xdr:row>
      <xdr:rowOff>0</xdr:rowOff>
    </xdr:from>
    <xdr:to>
      <xdr:col>7</xdr:col>
      <xdr:colOff>274320</xdr:colOff>
      <xdr:row>17</xdr:row>
      <xdr:rowOff>38100</xdr:rowOff>
    </xdr:to>
    <xdr:grpSp>
      <xdr:nvGrpSpPr>
        <xdr:cNvPr id="47" name="Group 46">
          <a:extLst>
            <a:ext uri="{FF2B5EF4-FFF2-40B4-BE49-F238E27FC236}">
              <a16:creationId xmlns:a16="http://schemas.microsoft.com/office/drawing/2014/main" id="{E940FFE0-BAB5-ABD5-5313-8EAC98EE6572}"/>
            </a:ext>
          </a:extLst>
        </xdr:cNvPr>
        <xdr:cNvGrpSpPr/>
      </xdr:nvGrpSpPr>
      <xdr:grpSpPr>
        <a:xfrm>
          <a:off x="1584960" y="1463040"/>
          <a:ext cx="2529840" cy="1684020"/>
          <a:chOff x="1584960" y="1463040"/>
          <a:chExt cx="2529840" cy="1684020"/>
        </a:xfrm>
      </xdr:grpSpPr>
      <xdr:sp macro="" textlink="">
        <xdr:nvSpPr>
          <xdr:cNvPr id="45" name="Rectangle 44">
            <a:extLst>
              <a:ext uri="{FF2B5EF4-FFF2-40B4-BE49-F238E27FC236}">
                <a16:creationId xmlns:a16="http://schemas.microsoft.com/office/drawing/2014/main" id="{1E823B3C-11A6-7C47-505E-584719C11013}"/>
              </a:ext>
            </a:extLst>
          </xdr:cNvPr>
          <xdr:cNvSpPr/>
        </xdr:nvSpPr>
        <xdr:spPr>
          <a:xfrm>
            <a:off x="1600200" y="146304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000" b="1" i="0" baseline="0">
                <a:solidFill>
                  <a:schemeClr val="dk1"/>
                </a:solidFill>
                <a:effectLst/>
                <a:latin typeface="+mn-lt"/>
                <a:ea typeface="+mn-ea"/>
                <a:cs typeface="+mn-cs"/>
              </a:rPr>
              <a:t>DEPARTMENT-WISE ATTENDANCE</a:t>
            </a:r>
            <a:endParaRPr lang="en-IN" sz="1000"/>
          </a:p>
        </xdr:txBody>
      </xdr:sp>
      <xdr:graphicFrame macro="">
        <xdr:nvGraphicFramePr>
          <xdr:cNvPr id="46" name="Chart 45">
            <a:extLst>
              <a:ext uri="{FF2B5EF4-FFF2-40B4-BE49-F238E27FC236}">
                <a16:creationId xmlns:a16="http://schemas.microsoft.com/office/drawing/2014/main" id="{E919E259-6239-4E66-B02B-65B5B8E40491}"/>
              </a:ext>
            </a:extLst>
          </xdr:cNvPr>
          <xdr:cNvGraphicFramePr>
            <a:graphicFrameLocks/>
          </xdr:cNvGraphicFramePr>
        </xdr:nvGraphicFramePr>
        <xdr:xfrm>
          <a:off x="1584960" y="1767840"/>
          <a:ext cx="2529840" cy="13792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7</xdr:col>
      <xdr:colOff>434340</xdr:colOff>
      <xdr:row>8</xdr:row>
      <xdr:rowOff>7620</xdr:rowOff>
    </xdr:from>
    <xdr:to>
      <xdr:col>12</xdr:col>
      <xdr:colOff>198120</xdr:colOff>
      <xdr:row>17</xdr:row>
      <xdr:rowOff>38100</xdr:rowOff>
    </xdr:to>
    <xdr:sp macro="" textlink="">
      <xdr:nvSpPr>
        <xdr:cNvPr id="49" name="Rectangle 48">
          <a:extLst>
            <a:ext uri="{FF2B5EF4-FFF2-40B4-BE49-F238E27FC236}">
              <a16:creationId xmlns:a16="http://schemas.microsoft.com/office/drawing/2014/main" id="{75ECCAF4-F1A6-0E47-9F75-FAC141D8EC87}"/>
            </a:ext>
          </a:extLst>
        </xdr:cNvPr>
        <xdr:cNvSpPr/>
      </xdr:nvSpPr>
      <xdr:spPr>
        <a:xfrm>
          <a:off x="4274820" y="147066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000" b="1" i="0" cap="all" baseline="0">
              <a:solidFill>
                <a:schemeClr val="dk1"/>
              </a:solidFill>
              <a:effectLst/>
              <a:latin typeface="+mn-lt"/>
              <a:ea typeface="+mn-ea"/>
              <a:cs typeface="+mn-cs"/>
            </a:rPr>
            <a:t>Monthly Attendance Trend</a:t>
          </a:r>
          <a:endParaRPr lang="en-IN" sz="1000" b="1">
            <a:effectLst/>
          </a:endParaRPr>
        </a:p>
        <a:p>
          <a:pPr algn="l"/>
          <a:endParaRPr lang="en-IN" sz="1100"/>
        </a:p>
      </xdr:txBody>
    </xdr:sp>
    <xdr:clientData/>
  </xdr:twoCellAnchor>
  <xdr:twoCellAnchor>
    <xdr:from>
      <xdr:col>12</xdr:col>
      <xdr:colOff>502920</xdr:colOff>
      <xdr:row>8</xdr:row>
      <xdr:rowOff>0</xdr:rowOff>
    </xdr:from>
    <xdr:to>
      <xdr:col>17</xdr:col>
      <xdr:colOff>266700</xdr:colOff>
      <xdr:row>17</xdr:row>
      <xdr:rowOff>30480</xdr:rowOff>
    </xdr:to>
    <xdr:sp macro="" textlink="">
      <xdr:nvSpPr>
        <xdr:cNvPr id="52" name="Rectangle 51">
          <a:extLst>
            <a:ext uri="{FF2B5EF4-FFF2-40B4-BE49-F238E27FC236}">
              <a16:creationId xmlns:a16="http://schemas.microsoft.com/office/drawing/2014/main" id="{C8DBB39D-2A7B-A806-AA0B-39290A6BC073}"/>
            </a:ext>
          </a:extLst>
        </xdr:cNvPr>
        <xdr:cNvSpPr/>
      </xdr:nvSpPr>
      <xdr:spPr>
        <a:xfrm>
          <a:off x="7086600" y="146304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800" b="1" i="0" baseline="0">
              <a:solidFill>
                <a:schemeClr val="dk1"/>
              </a:solidFill>
              <a:effectLst/>
              <a:latin typeface="+mn-lt"/>
              <a:ea typeface="+mn-ea"/>
              <a:cs typeface="+mn-cs"/>
            </a:rPr>
            <a:t>AVG PERFORMANCE RATING BY DEPARTMENT:</a:t>
          </a:r>
          <a:endParaRPr lang="en-IN" sz="800" b="1">
            <a:effectLst/>
          </a:endParaRPr>
        </a:p>
        <a:p>
          <a:pPr algn="l"/>
          <a:endParaRPr lang="en-IN" sz="1100"/>
        </a:p>
      </xdr:txBody>
    </xdr:sp>
    <xdr:clientData/>
  </xdr:twoCellAnchor>
  <xdr:twoCellAnchor>
    <xdr:from>
      <xdr:col>7</xdr:col>
      <xdr:colOff>426720</xdr:colOff>
      <xdr:row>9</xdr:row>
      <xdr:rowOff>76200</xdr:rowOff>
    </xdr:from>
    <xdr:to>
      <xdr:col>12</xdr:col>
      <xdr:colOff>213360</xdr:colOff>
      <xdr:row>17</xdr:row>
      <xdr:rowOff>45720</xdr:rowOff>
    </xdr:to>
    <xdr:graphicFrame macro="">
      <xdr:nvGraphicFramePr>
        <xdr:cNvPr id="54" name="Chart 53">
          <a:extLst>
            <a:ext uri="{FF2B5EF4-FFF2-40B4-BE49-F238E27FC236}">
              <a16:creationId xmlns:a16="http://schemas.microsoft.com/office/drawing/2014/main" id="{B11CA5F3-5FE6-427B-8F5F-750DE6D18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18</xdr:row>
      <xdr:rowOff>76200</xdr:rowOff>
    </xdr:from>
    <xdr:to>
      <xdr:col>7</xdr:col>
      <xdr:colOff>312420</xdr:colOff>
      <xdr:row>27</xdr:row>
      <xdr:rowOff>106680</xdr:rowOff>
    </xdr:to>
    <xdr:sp macro="" textlink="">
      <xdr:nvSpPr>
        <xdr:cNvPr id="56" name="Rectangle 55">
          <a:extLst>
            <a:ext uri="{FF2B5EF4-FFF2-40B4-BE49-F238E27FC236}">
              <a16:creationId xmlns:a16="http://schemas.microsoft.com/office/drawing/2014/main" id="{1E391780-215B-53DC-2786-57B59655EA09}"/>
            </a:ext>
          </a:extLst>
        </xdr:cNvPr>
        <xdr:cNvSpPr/>
      </xdr:nvSpPr>
      <xdr:spPr>
        <a:xfrm>
          <a:off x="1645920" y="336804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900" b="1" i="0" baseline="0">
              <a:solidFill>
                <a:schemeClr val="dk1"/>
              </a:solidFill>
              <a:effectLst/>
              <a:latin typeface="+mn-lt"/>
              <a:ea typeface="+mn-ea"/>
              <a:cs typeface="+mn-cs"/>
            </a:rPr>
            <a:t>EMPLOYEE WORK-MODE DISTRIBUTION</a:t>
          </a:r>
          <a:endParaRPr lang="en-IN" sz="900" b="1">
            <a:effectLst/>
          </a:endParaRPr>
        </a:p>
        <a:p>
          <a:pPr algn="l"/>
          <a:endParaRPr lang="en-IN" sz="1100"/>
        </a:p>
      </xdr:txBody>
    </xdr:sp>
    <xdr:clientData/>
  </xdr:twoCellAnchor>
  <xdr:twoCellAnchor>
    <xdr:from>
      <xdr:col>7</xdr:col>
      <xdr:colOff>502920</xdr:colOff>
      <xdr:row>18</xdr:row>
      <xdr:rowOff>76200</xdr:rowOff>
    </xdr:from>
    <xdr:to>
      <xdr:col>12</xdr:col>
      <xdr:colOff>266700</xdr:colOff>
      <xdr:row>27</xdr:row>
      <xdr:rowOff>106680</xdr:rowOff>
    </xdr:to>
    <xdr:sp macro="" textlink="">
      <xdr:nvSpPr>
        <xdr:cNvPr id="59" name="Rectangle 58">
          <a:extLst>
            <a:ext uri="{FF2B5EF4-FFF2-40B4-BE49-F238E27FC236}">
              <a16:creationId xmlns:a16="http://schemas.microsoft.com/office/drawing/2014/main" id="{7B57FA66-E86B-C202-2075-010015FB2E7C}"/>
            </a:ext>
          </a:extLst>
        </xdr:cNvPr>
        <xdr:cNvSpPr/>
      </xdr:nvSpPr>
      <xdr:spPr>
        <a:xfrm>
          <a:off x="4343400" y="336804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GENDER DISTRIBUTION</a:t>
          </a:r>
          <a:endParaRPr lang="en-IN">
            <a:effectLst/>
          </a:endParaRPr>
        </a:p>
        <a:p>
          <a:pPr algn="l"/>
          <a:endParaRPr lang="en-IN" sz="1100"/>
        </a:p>
      </xdr:txBody>
    </xdr:sp>
    <xdr:clientData/>
  </xdr:twoCellAnchor>
  <xdr:twoCellAnchor>
    <xdr:from>
      <xdr:col>12</xdr:col>
      <xdr:colOff>525780</xdr:colOff>
      <xdr:row>18</xdr:row>
      <xdr:rowOff>60960</xdr:rowOff>
    </xdr:from>
    <xdr:to>
      <xdr:col>17</xdr:col>
      <xdr:colOff>289560</xdr:colOff>
      <xdr:row>27</xdr:row>
      <xdr:rowOff>91440</xdr:rowOff>
    </xdr:to>
    <xdr:sp macro="" textlink="">
      <xdr:nvSpPr>
        <xdr:cNvPr id="62" name="Rectangle 61">
          <a:extLst>
            <a:ext uri="{FF2B5EF4-FFF2-40B4-BE49-F238E27FC236}">
              <a16:creationId xmlns:a16="http://schemas.microsoft.com/office/drawing/2014/main" id="{F1682FC3-0A95-4129-929B-EC68CAD4EE49}"/>
            </a:ext>
          </a:extLst>
        </xdr:cNvPr>
        <xdr:cNvSpPr/>
      </xdr:nvSpPr>
      <xdr:spPr>
        <a:xfrm>
          <a:off x="7109460" y="335280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HOLIDAY TYPE DISTRIBUTION</a:t>
          </a:r>
          <a:endParaRPr lang="en-IN">
            <a:effectLst/>
          </a:endParaRPr>
        </a:p>
        <a:p>
          <a:pPr algn="l"/>
          <a:endParaRPr lang="en-IN" sz="1100"/>
        </a:p>
      </xdr:txBody>
    </xdr:sp>
    <xdr:clientData/>
  </xdr:twoCellAnchor>
  <xdr:twoCellAnchor>
    <xdr:from>
      <xdr:col>12</xdr:col>
      <xdr:colOff>495300</xdr:colOff>
      <xdr:row>9</xdr:row>
      <xdr:rowOff>106680</xdr:rowOff>
    </xdr:from>
    <xdr:to>
      <xdr:col>17</xdr:col>
      <xdr:colOff>289561</xdr:colOff>
      <xdr:row>17</xdr:row>
      <xdr:rowOff>38100</xdr:rowOff>
    </xdr:to>
    <xdr:graphicFrame macro="">
      <xdr:nvGraphicFramePr>
        <xdr:cNvPr id="64" name="Chart 63">
          <a:extLst>
            <a:ext uri="{FF2B5EF4-FFF2-40B4-BE49-F238E27FC236}">
              <a16:creationId xmlns:a16="http://schemas.microsoft.com/office/drawing/2014/main" id="{EB60F5F8-23DC-4D03-879B-C4B191D4B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20</xdr:row>
      <xdr:rowOff>0</xdr:rowOff>
    </xdr:from>
    <xdr:to>
      <xdr:col>7</xdr:col>
      <xdr:colOff>297180</xdr:colOff>
      <xdr:row>27</xdr:row>
      <xdr:rowOff>114300</xdr:rowOff>
    </xdr:to>
    <xdr:graphicFrame macro="">
      <xdr:nvGraphicFramePr>
        <xdr:cNvPr id="65" name="Chart 64">
          <a:extLst>
            <a:ext uri="{FF2B5EF4-FFF2-40B4-BE49-F238E27FC236}">
              <a16:creationId xmlns:a16="http://schemas.microsoft.com/office/drawing/2014/main" id="{58C1480B-F943-439E-8B9F-F5F2A556E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502921</xdr:colOff>
      <xdr:row>20</xdr:row>
      <xdr:rowOff>38100</xdr:rowOff>
    </xdr:from>
    <xdr:to>
      <xdr:col>12</xdr:col>
      <xdr:colOff>289560</xdr:colOff>
      <xdr:row>27</xdr:row>
      <xdr:rowOff>99060</xdr:rowOff>
    </xdr:to>
    <xdr:graphicFrame macro="">
      <xdr:nvGraphicFramePr>
        <xdr:cNvPr id="66" name="Chart 65">
          <a:extLst>
            <a:ext uri="{FF2B5EF4-FFF2-40B4-BE49-F238E27FC236}">
              <a16:creationId xmlns:a16="http://schemas.microsoft.com/office/drawing/2014/main" id="{F2203BAF-3CD4-43B1-88EF-89FEA30FF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533401</xdr:colOff>
      <xdr:row>20</xdr:row>
      <xdr:rowOff>76200</xdr:rowOff>
    </xdr:from>
    <xdr:to>
      <xdr:col>17</xdr:col>
      <xdr:colOff>320040</xdr:colOff>
      <xdr:row>27</xdr:row>
      <xdr:rowOff>99060</xdr:rowOff>
    </xdr:to>
    <xdr:graphicFrame macro="">
      <xdr:nvGraphicFramePr>
        <xdr:cNvPr id="67" name="Chart 66">
          <a:extLst>
            <a:ext uri="{FF2B5EF4-FFF2-40B4-BE49-F238E27FC236}">
              <a16:creationId xmlns:a16="http://schemas.microsoft.com/office/drawing/2014/main" id="{D2FD6EA7-F457-48C1-AD27-186CF4BBD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449580</xdr:colOff>
      <xdr:row>8</xdr:row>
      <xdr:rowOff>7620</xdr:rowOff>
    </xdr:from>
    <xdr:to>
      <xdr:col>22</xdr:col>
      <xdr:colOff>213360</xdr:colOff>
      <xdr:row>17</xdr:row>
      <xdr:rowOff>38100</xdr:rowOff>
    </xdr:to>
    <xdr:sp macro="" textlink="">
      <xdr:nvSpPr>
        <xdr:cNvPr id="68" name="Rectangle 67">
          <a:extLst>
            <a:ext uri="{FF2B5EF4-FFF2-40B4-BE49-F238E27FC236}">
              <a16:creationId xmlns:a16="http://schemas.microsoft.com/office/drawing/2014/main" id="{60B0D4AF-5717-4288-8408-087ED0F8621A}"/>
            </a:ext>
          </a:extLst>
        </xdr:cNvPr>
        <xdr:cNvSpPr/>
      </xdr:nvSpPr>
      <xdr:spPr>
        <a:xfrm>
          <a:off x="9776460" y="147066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900" b="1" i="0" baseline="0">
              <a:solidFill>
                <a:schemeClr val="dk1"/>
              </a:solidFill>
              <a:effectLst/>
              <a:latin typeface="+mn-lt"/>
              <a:ea typeface="+mn-ea"/>
              <a:cs typeface="+mn-cs"/>
            </a:rPr>
            <a:t>ATTENDANCE STATUS OVERVIEW</a:t>
          </a:r>
          <a:endParaRPr lang="en-IN" sz="900">
            <a:effectLst/>
          </a:endParaRPr>
        </a:p>
        <a:p>
          <a:pPr algn="l"/>
          <a:endParaRPr lang="en-IN" sz="1100"/>
        </a:p>
      </xdr:txBody>
    </xdr:sp>
    <xdr:clientData/>
  </xdr:twoCellAnchor>
  <xdr:twoCellAnchor>
    <xdr:from>
      <xdr:col>18</xdr:col>
      <xdr:colOff>7620</xdr:colOff>
      <xdr:row>18</xdr:row>
      <xdr:rowOff>38100</xdr:rowOff>
    </xdr:from>
    <xdr:to>
      <xdr:col>22</xdr:col>
      <xdr:colOff>320040</xdr:colOff>
      <xdr:row>27</xdr:row>
      <xdr:rowOff>68580</xdr:rowOff>
    </xdr:to>
    <xdr:sp macro="" textlink="">
      <xdr:nvSpPr>
        <xdr:cNvPr id="69" name="Rectangle 68">
          <a:extLst>
            <a:ext uri="{FF2B5EF4-FFF2-40B4-BE49-F238E27FC236}">
              <a16:creationId xmlns:a16="http://schemas.microsoft.com/office/drawing/2014/main" id="{DCE06177-9E9D-4915-B40B-ED44AC2D3324}"/>
            </a:ext>
          </a:extLst>
        </xdr:cNvPr>
        <xdr:cNvSpPr/>
      </xdr:nvSpPr>
      <xdr:spPr>
        <a:xfrm>
          <a:off x="9883140" y="3329940"/>
          <a:ext cx="2506980" cy="1676400"/>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700" b="1" i="0" baseline="0">
              <a:solidFill>
                <a:schemeClr val="dk1"/>
              </a:solidFill>
              <a:effectLst/>
              <a:latin typeface="+mn-lt"/>
              <a:ea typeface="+mn-ea"/>
              <a:cs typeface="+mn-cs"/>
            </a:rPr>
            <a:t>AVERAGE OVER-TIME HOURS BY DEPARTMENT</a:t>
          </a:r>
          <a:endParaRPr lang="en-IN" sz="700">
            <a:effectLst/>
          </a:endParaRPr>
        </a:p>
        <a:p>
          <a:pPr algn="l"/>
          <a:endParaRPr lang="en-IN" sz="1100"/>
        </a:p>
      </xdr:txBody>
    </xdr:sp>
    <xdr:clientData/>
  </xdr:twoCellAnchor>
  <xdr:twoCellAnchor>
    <xdr:from>
      <xdr:col>18</xdr:col>
      <xdr:colOff>15240</xdr:colOff>
      <xdr:row>19</xdr:row>
      <xdr:rowOff>83821</xdr:rowOff>
    </xdr:from>
    <xdr:to>
      <xdr:col>22</xdr:col>
      <xdr:colOff>320039</xdr:colOff>
      <xdr:row>27</xdr:row>
      <xdr:rowOff>83821</xdr:rowOff>
    </xdr:to>
    <xdr:graphicFrame macro="">
      <xdr:nvGraphicFramePr>
        <xdr:cNvPr id="70" name="Chart 69">
          <a:extLst>
            <a:ext uri="{FF2B5EF4-FFF2-40B4-BE49-F238E27FC236}">
              <a16:creationId xmlns:a16="http://schemas.microsoft.com/office/drawing/2014/main" id="{23A839F7-DDDC-4D43-AF20-EFF3950CA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441960</xdr:colOff>
      <xdr:row>9</xdr:row>
      <xdr:rowOff>38101</xdr:rowOff>
    </xdr:from>
    <xdr:to>
      <xdr:col>22</xdr:col>
      <xdr:colOff>228600</xdr:colOff>
      <xdr:row>17</xdr:row>
      <xdr:rowOff>45721</xdr:rowOff>
    </xdr:to>
    <xdr:graphicFrame macro="">
      <xdr:nvGraphicFramePr>
        <xdr:cNvPr id="71" name="Chart 70">
          <a:extLst>
            <a:ext uri="{FF2B5EF4-FFF2-40B4-BE49-F238E27FC236}">
              <a16:creationId xmlns:a16="http://schemas.microsoft.com/office/drawing/2014/main" id="{C7D887EA-50A8-41A8-8AAF-79434DDA6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81063</xdr:colOff>
      <xdr:row>5</xdr:row>
      <xdr:rowOff>0</xdr:rowOff>
    </xdr:from>
    <xdr:to>
      <xdr:col>0</xdr:col>
      <xdr:colOff>397212</xdr:colOff>
      <xdr:row>6</xdr:row>
      <xdr:rowOff>162129</xdr:rowOff>
    </xdr:to>
    <xdr:pic>
      <xdr:nvPicPr>
        <xdr:cNvPr id="72" name="Graphic 71" descr="Group of women with solid fill">
          <a:extLst>
            <a:ext uri="{FF2B5EF4-FFF2-40B4-BE49-F238E27FC236}">
              <a16:creationId xmlns:a16="http://schemas.microsoft.com/office/drawing/2014/main" id="{1B1358C6-A24C-4643-A9FC-7AD971E8BDD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flipH="1" flipV="1">
          <a:off x="81063" y="932234"/>
          <a:ext cx="316149" cy="348576"/>
        </a:xfrm>
        <a:prstGeom prst="rect">
          <a:avLst/>
        </a:prstGeom>
      </xdr:spPr>
    </xdr:pic>
    <xdr:clientData/>
  </xdr:twoCellAnchor>
  <xdr:twoCellAnchor editAs="oneCell">
    <xdr:from>
      <xdr:col>3</xdr:col>
      <xdr:colOff>251457</xdr:colOff>
      <xdr:row>4</xdr:row>
      <xdr:rowOff>137808</xdr:rowOff>
    </xdr:from>
    <xdr:to>
      <xdr:col>4</xdr:col>
      <xdr:colOff>145914</xdr:colOff>
      <xdr:row>7</xdr:row>
      <xdr:rowOff>8105</xdr:rowOff>
    </xdr:to>
    <xdr:pic>
      <xdr:nvPicPr>
        <xdr:cNvPr id="73" name="Graphic 72" descr="Fingerprint with solid fill">
          <a:extLst>
            <a:ext uri="{FF2B5EF4-FFF2-40B4-BE49-F238E27FC236}">
              <a16:creationId xmlns:a16="http://schemas.microsoft.com/office/drawing/2014/main" id="{73B5B702-3B04-4C77-B5EB-FF1FE67F670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flipH="1" flipV="1">
          <a:off x="1905159" y="883595"/>
          <a:ext cx="445691" cy="429638"/>
        </a:xfrm>
        <a:prstGeom prst="rect">
          <a:avLst/>
        </a:prstGeom>
      </xdr:spPr>
    </xdr:pic>
    <xdr:clientData/>
  </xdr:twoCellAnchor>
  <xdr:twoCellAnchor editAs="oneCell">
    <xdr:from>
      <xdr:col>7</xdr:col>
      <xdr:colOff>1</xdr:colOff>
      <xdr:row>4</xdr:row>
      <xdr:rowOff>178340</xdr:rowOff>
    </xdr:from>
    <xdr:to>
      <xdr:col>7</xdr:col>
      <xdr:colOff>324257</xdr:colOff>
      <xdr:row>6</xdr:row>
      <xdr:rowOff>170234</xdr:rowOff>
    </xdr:to>
    <xdr:pic>
      <xdr:nvPicPr>
        <xdr:cNvPr id="74" name="Graphic 73" descr="Checkmark with solid fill">
          <a:extLst>
            <a:ext uri="{FF2B5EF4-FFF2-40B4-BE49-F238E27FC236}">
              <a16:creationId xmlns:a16="http://schemas.microsoft.com/office/drawing/2014/main" id="{39D1845E-B7D2-4D83-9A62-FAE550D4D27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58639" y="924127"/>
          <a:ext cx="324256" cy="364788"/>
        </a:xfrm>
        <a:prstGeom prst="rect">
          <a:avLst/>
        </a:prstGeom>
      </xdr:spPr>
    </xdr:pic>
    <xdr:clientData/>
  </xdr:twoCellAnchor>
  <xdr:twoCellAnchor editAs="oneCell">
    <xdr:from>
      <xdr:col>10</xdr:col>
      <xdr:colOff>16214</xdr:colOff>
      <xdr:row>5</xdr:row>
      <xdr:rowOff>16214</xdr:rowOff>
    </xdr:from>
    <xdr:to>
      <xdr:col>10</xdr:col>
      <xdr:colOff>381001</xdr:colOff>
      <xdr:row>6</xdr:row>
      <xdr:rowOff>115111</xdr:rowOff>
    </xdr:to>
    <xdr:pic>
      <xdr:nvPicPr>
        <xdr:cNvPr id="75" name="Graphic 74" descr="Close with solid fill">
          <a:extLst>
            <a:ext uri="{FF2B5EF4-FFF2-40B4-BE49-F238E27FC236}">
              <a16:creationId xmlns:a16="http://schemas.microsoft.com/office/drawing/2014/main" id="{32087476-7B4D-4620-B182-024C9DC59F8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528554" y="948448"/>
          <a:ext cx="364787" cy="285344"/>
        </a:xfrm>
        <a:prstGeom prst="rect">
          <a:avLst/>
        </a:prstGeom>
      </xdr:spPr>
    </xdr:pic>
    <xdr:clientData/>
  </xdr:twoCellAnchor>
  <xdr:twoCellAnchor editAs="oneCell">
    <xdr:from>
      <xdr:col>13</xdr:col>
      <xdr:colOff>87709</xdr:colOff>
      <xdr:row>4</xdr:row>
      <xdr:rowOff>154020</xdr:rowOff>
    </xdr:from>
    <xdr:to>
      <xdr:col>13</xdr:col>
      <xdr:colOff>413424</xdr:colOff>
      <xdr:row>6</xdr:row>
      <xdr:rowOff>133429</xdr:rowOff>
    </xdr:to>
    <xdr:pic>
      <xdr:nvPicPr>
        <xdr:cNvPr id="76" name="Graphic 75" descr="Playbook with solid fill">
          <a:extLst>
            <a:ext uri="{FF2B5EF4-FFF2-40B4-BE49-F238E27FC236}">
              <a16:creationId xmlns:a16="http://schemas.microsoft.com/office/drawing/2014/main" id="{CB64989F-2113-49F6-8F4F-6D5AB3A16C5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flipV="1">
          <a:off x="7253752" y="899807"/>
          <a:ext cx="325715" cy="352303"/>
        </a:xfrm>
        <a:prstGeom prst="rect">
          <a:avLst/>
        </a:prstGeom>
      </xdr:spPr>
    </xdr:pic>
    <xdr:clientData/>
  </xdr:twoCellAnchor>
  <xdr:twoCellAnchor editAs="oneCell">
    <xdr:from>
      <xdr:col>16</xdr:col>
      <xdr:colOff>129701</xdr:colOff>
      <xdr:row>4</xdr:row>
      <xdr:rowOff>154021</xdr:rowOff>
    </xdr:from>
    <xdr:to>
      <xdr:col>16</xdr:col>
      <xdr:colOff>470170</xdr:colOff>
      <xdr:row>7</xdr:row>
      <xdr:rowOff>24319</xdr:rowOff>
    </xdr:to>
    <xdr:pic>
      <xdr:nvPicPr>
        <xdr:cNvPr id="77" name="Graphic 76" descr="Business Growth with solid fill">
          <a:extLst>
            <a:ext uri="{FF2B5EF4-FFF2-40B4-BE49-F238E27FC236}">
              <a16:creationId xmlns:a16="http://schemas.microsoft.com/office/drawing/2014/main" id="{16D3C292-4C19-4064-BD9A-DDED7E9BDA2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949446" y="899808"/>
          <a:ext cx="340469" cy="429639"/>
        </a:xfrm>
        <a:prstGeom prst="rect">
          <a:avLst/>
        </a:prstGeom>
      </xdr:spPr>
    </xdr:pic>
    <xdr:clientData/>
  </xdr:twoCellAnchor>
  <xdr:twoCellAnchor editAs="oneCell">
    <xdr:from>
      <xdr:col>19</xdr:col>
      <xdr:colOff>364786</xdr:colOff>
      <xdr:row>5</xdr:row>
      <xdr:rowOff>0</xdr:rowOff>
    </xdr:from>
    <xdr:to>
      <xdr:col>20</xdr:col>
      <xdr:colOff>121595</xdr:colOff>
      <xdr:row>6</xdr:row>
      <xdr:rowOff>97276</xdr:rowOff>
    </xdr:to>
    <xdr:pic>
      <xdr:nvPicPr>
        <xdr:cNvPr id="78" name="Graphic 77" descr="Clock with solid fill">
          <a:extLst>
            <a:ext uri="{FF2B5EF4-FFF2-40B4-BE49-F238E27FC236}">
              <a16:creationId xmlns:a16="http://schemas.microsoft.com/office/drawing/2014/main" id="{F7A1EC36-0E7F-47AA-AA71-092A49265F0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rot="10800000" flipH="1" flipV="1">
          <a:off x="10838233" y="932234"/>
          <a:ext cx="308043" cy="283723"/>
        </a:xfrm>
        <a:prstGeom prst="rect">
          <a:avLst/>
        </a:prstGeom>
      </xdr:spPr>
    </xdr:pic>
    <xdr:clientData/>
  </xdr:twoCellAnchor>
  <xdr:twoCellAnchor editAs="oneCell">
    <xdr:from>
      <xdr:col>23</xdr:col>
      <xdr:colOff>15076</xdr:colOff>
      <xdr:row>4</xdr:row>
      <xdr:rowOff>129701</xdr:rowOff>
    </xdr:from>
    <xdr:to>
      <xdr:col>23</xdr:col>
      <xdr:colOff>453957</xdr:colOff>
      <xdr:row>6</xdr:row>
      <xdr:rowOff>114298</xdr:rowOff>
    </xdr:to>
    <xdr:pic>
      <xdr:nvPicPr>
        <xdr:cNvPr id="79" name="Graphic 78" descr="Ribbon with solid fill">
          <a:extLst>
            <a:ext uri="{FF2B5EF4-FFF2-40B4-BE49-F238E27FC236}">
              <a16:creationId xmlns:a16="http://schemas.microsoft.com/office/drawing/2014/main" id="{C388DC5B-2F8B-48F1-9037-574D8DF1E4B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rot="10800000" flipH="1" flipV="1">
          <a:off x="12693459" y="875488"/>
          <a:ext cx="438881" cy="3574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ALYAMAHESWARAN" refreshedDate="46207.596396412038" createdVersion="8" refreshedVersion="8" minRefreshableVersion="3" recordCount="808" xr:uid="{38FCBDE7-061F-4443-93BF-DC1A7936FC7E}">
  <cacheSource type="worksheet">
    <worksheetSource name="tblMaster"/>
  </cacheSource>
  <cacheFields count="35">
    <cacheField name="Attendance_ID" numFmtId="0">
      <sharedItems/>
    </cacheField>
    <cacheField name="Attendance_Date" numFmtId="0">
      <sharedItems containsSemiMixedTypes="0" containsNonDate="0" containsDate="1" containsString="0" minDate="2025-01-01T00:00:00" maxDate="2025-07-01T00:00:00"/>
    </cacheField>
    <cacheField name="Month" numFmtId="0">
      <sharedItems count="6">
        <s v="Jun"/>
        <s v="Apr"/>
        <s v="Jan"/>
        <s v="May"/>
        <s v="Mar"/>
        <s v="Feb"/>
      </sharedItems>
    </cacheField>
    <cacheField name="Quarter" numFmtId="0">
      <sharedItems/>
    </cacheField>
    <cacheField name="Weekday" numFmtId="0">
      <sharedItems/>
    </cacheField>
    <cacheField name="Employee_ID" numFmtId="0">
      <sharedItems/>
    </cacheField>
    <cacheField name="Employee_Name" numFmtId="0">
      <sharedItems/>
    </cacheField>
    <cacheField name="Department" numFmtId="0">
      <sharedItems count="7">
        <s v="Customer Support"/>
        <s v="Operations"/>
        <s v="IT"/>
        <s v="Finance"/>
        <s v="HR"/>
        <s v="Marketing"/>
        <s v="Sales"/>
      </sharedItems>
    </cacheField>
    <cacheField name="Designation" numFmtId="0">
      <sharedItems/>
    </cacheField>
    <cacheField name="Branch" numFmtId="0">
      <sharedItems/>
    </cacheField>
    <cacheField name="Shift" numFmtId="0">
      <sharedItems/>
    </cacheField>
    <cacheField name="Login_Time" numFmtId="0">
      <sharedItems containsNonDate="0" containsDate="1" containsString="0" containsBlank="1" minDate="1899-12-30T09:00:00" maxDate="1899-12-30T22:00:00"/>
    </cacheField>
    <cacheField name="Logout_Time" numFmtId="0">
      <sharedItems containsNonDate="0" containsDate="1" containsString="0" containsBlank="1" minDate="1899-12-30T07:00:00" maxDate="1899-12-30T18:00:00"/>
    </cacheField>
    <cacheField name="Working_Hours" numFmtId="0">
      <sharedItems containsString="0" containsBlank="1" containsNumber="1" minValue="8" maxValue="10"/>
    </cacheField>
    <cacheField name="Overtime_Hours" numFmtId="0">
      <sharedItems containsString="0" containsBlank="1" containsNumber="1" minValue="0" maxValue="2"/>
    </cacheField>
    <cacheField name="Attendance_Status" numFmtId="0">
      <sharedItems count="3">
        <s v="Present"/>
        <s v="Leave"/>
        <s v="Absent"/>
      </sharedItems>
    </cacheField>
    <cacheField name="Leave_Type" numFmtId="0">
      <sharedItems containsBlank="1"/>
    </cacheField>
    <cacheField name="Performance_Rating" numFmtId="0">
      <sharedItems containsString="0" containsBlank="1" containsNumber="1" containsInteger="1" minValue="3" maxValue="5"/>
    </cacheField>
    <cacheField name="Salary_Band" numFmtId="0">
      <sharedItems/>
    </cacheField>
    <cacheField name="Manager" numFmtId="0">
      <sharedItems/>
    </cacheField>
    <cacheField name="Work_Mode" numFmtId="0">
      <sharedItems containsBlank="1" count="4">
        <m/>
        <s v="Hybrid"/>
        <s v="Office"/>
        <s v="Remote"/>
      </sharedItems>
    </cacheField>
    <cacheField name="Remarks" numFmtId="0">
      <sharedItems containsBlank="1"/>
    </cacheField>
    <cacheField name="Employee_Age" numFmtId="0">
      <sharedItems containsSemiMixedTypes="0" containsString="0" containsNumber="1" containsInteger="1" minValue="22" maxValue="39"/>
    </cacheField>
    <cacheField name="Gender" numFmtId="0">
      <sharedItems count="2">
        <s v="Female"/>
        <s v="Male"/>
      </sharedItems>
    </cacheField>
    <cacheField name="Joining_Date" numFmtId="0">
      <sharedItems containsSemiMixedTypes="0" containsString="0" containsNumber="1" containsInteger="1" minValue="43146" maxValue="45611"/>
    </cacheField>
    <cacheField name="Annual_Budget" numFmtId="0">
      <sharedItems containsSemiMixedTypes="0" containsString="0" containsNumber="1" containsInteger="1" minValue="18000000" maxValue="85000000"/>
    </cacheField>
    <cacheField name="Monthly_Target" numFmtId="0">
      <sharedItems/>
    </cacheField>
    <cacheField name="Average Salary" numFmtId="0">
      <sharedItems containsSemiMixedTypes="0" containsString="0" containsNumber="1" containsInteger="1" minValue="520000" maxValue="720000"/>
    </cacheField>
    <cacheField name="Priority_Level" numFmtId="0">
      <sharedItems/>
    </cacheField>
    <cacheField name="Key_KPI" numFmtId="0">
      <sharedItems/>
    </cacheField>
    <cacheField name="Shift_Start_Time" numFmtId="0">
      <sharedItems containsSemiMixedTypes="0" containsString="0" containsNumber="1" minValue="0.25" maxValue="0.91666666666666663"/>
    </cacheField>
    <cacheField name="Shift_End_Time" numFmtId="0">
      <sharedItems containsSemiMixedTypes="0" containsString="0" containsNumber="1" minValue="0.29166666666666669" maxValue="0.95833333333333337"/>
    </cacheField>
    <cacheField name="Standard_Working_Hours" numFmtId="0">
      <sharedItems containsSemiMixedTypes="0" containsString="0" containsNumber="1" containsInteger="1" minValue="8" maxValue="8"/>
    </cacheField>
    <cacheField name="Holiday_Name" numFmtId="0">
      <sharedItems/>
    </cacheField>
    <cacheField name="Holiday_Type" numFmtId="0">
      <sharedItems count="4">
        <s v="Working Day "/>
        <s v="National"/>
        <s v="Festival"/>
        <s v="Restricted"/>
      </sharedItems>
    </cacheField>
  </cacheFields>
  <extLst>
    <ext xmlns:x14="http://schemas.microsoft.com/office/spreadsheetml/2009/9/main" uri="{725AE2AE-9491-48be-B2B4-4EB974FC3084}">
      <x14:pivotCacheDefinition pivotCacheId="322930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8">
  <r>
    <s v="ATD00001"/>
    <d v="2025-06-19T00:00:00"/>
    <x v="0"/>
    <s v="Q2"/>
    <s v="Thursday"/>
    <s v="EMP014"/>
    <s v="Employee 14"/>
    <x v="0"/>
    <s v="Support Executive"/>
    <s v="Hyderabad"/>
    <s v="Morning Shift"/>
    <d v="1899-12-30T09:00:00"/>
    <d v="1899-12-30T18:00:00"/>
    <n v="8"/>
    <n v="0"/>
    <x v="0"/>
    <m/>
    <n v="4"/>
    <s v="L4"/>
    <s v="V. Vinoth"/>
    <x v="0"/>
    <s v="Client Visit"/>
    <n v="36"/>
    <x v="0"/>
    <n v="43174"/>
    <n v="24000000"/>
    <s v="90% Customer Satisfaction"/>
    <n v="520000"/>
    <s v="High"/>
    <s v="Customer Satisfaction"/>
    <n v="0.25"/>
    <n v="0.625"/>
    <n v="8"/>
    <s v="Working Day"/>
    <x v="0"/>
  </r>
  <r>
    <s v="ATD00002"/>
    <d v="2025-04-19T00:00:00"/>
    <x v="1"/>
    <s v="Q2"/>
    <s v="Saturday"/>
    <s v="EMP040"/>
    <s v="Employee 40"/>
    <x v="1"/>
    <s v="Operations Executive"/>
    <s v="Madurai"/>
    <s v="Flexible Shift"/>
    <d v="1899-12-30T09:00:00"/>
    <d v="1899-12-30T18:00:00"/>
    <n v="8"/>
    <n v="0"/>
    <x v="0"/>
    <m/>
    <n v="5"/>
    <s v="L2"/>
    <s v="D. Dinesh"/>
    <x v="1"/>
    <m/>
    <n v="26"/>
    <x v="1"/>
    <n v="45061"/>
    <n v="34000000"/>
    <s v="95% Process Efficiency"/>
    <n v="610000"/>
    <s v="High"/>
    <s v="Operational Efficiency"/>
    <n v="0.41666666666666669"/>
    <n v="0.79166666666666663"/>
    <n v="8"/>
    <s v="Working Day"/>
    <x v="0"/>
  </r>
  <r>
    <s v="ATD00003"/>
    <d v="2025-01-01T00:00:00"/>
    <x v="2"/>
    <s v="Q1"/>
    <s v="Wednesday"/>
    <s v="EMP005"/>
    <s v="Employee 5"/>
    <x v="1"/>
    <s v="Operations Executive"/>
    <s v="Madurai"/>
    <s v="Afternoon Shift"/>
    <d v="1899-12-30T09:00:00"/>
    <d v="1899-12-30T18:00:00"/>
    <n v="8"/>
    <n v="0"/>
    <x v="0"/>
    <m/>
    <n v="4"/>
    <s v="L2"/>
    <s v="D. Dinesh"/>
    <x v="2"/>
    <m/>
    <n v="27"/>
    <x v="1"/>
    <n v="45092"/>
    <n v="34000000"/>
    <s v="95% Process Efficiency"/>
    <n v="610000"/>
    <s v="High"/>
    <s v="Operational Efficiency"/>
    <n v="0.58333333333333337"/>
    <n v="0.95833333333333337"/>
    <n v="8"/>
    <s v="New Year's Day"/>
    <x v="1"/>
  </r>
  <r>
    <s v="ATD00004"/>
    <d v="2025-05-03T00:00:00"/>
    <x v="3"/>
    <s v="Q2"/>
    <s v="Saturday"/>
    <s v="EMP019"/>
    <s v="Employee 19"/>
    <x v="1"/>
    <s v="Operations Executive"/>
    <s v="Hyderabad"/>
    <s v="Afternoon Shift"/>
    <d v="1899-12-30T09:00:00"/>
    <d v="1899-12-30T18:00:00"/>
    <n v="8"/>
    <n v="0"/>
    <x v="0"/>
    <m/>
    <m/>
    <s v="L2"/>
    <s v="D. Dinesh"/>
    <x v="1"/>
    <s v="Late Login"/>
    <n v="23"/>
    <x v="0"/>
    <n v="45153"/>
    <n v="34000000"/>
    <s v="95% Process Efficiency"/>
    <n v="610000"/>
    <s v="High"/>
    <s v="Operational Efficiency"/>
    <n v="0.58333333333333337"/>
    <n v="0.95833333333333337"/>
    <n v="8"/>
    <s v="Working Day"/>
    <x v="0"/>
  </r>
  <r>
    <s v="ATD00005"/>
    <d v="2025-01-01T00:00:00"/>
    <x v="2"/>
    <s v="Q1"/>
    <s v="Wednesday"/>
    <s v="EMP001"/>
    <s v="Employee 1"/>
    <x v="2"/>
    <s v="Software Engineer"/>
    <s v="Coimbatore"/>
    <s v="Morning Shift"/>
    <d v="1899-12-30T09:00:00"/>
    <d v="1899-12-30T18:00:00"/>
    <n v="9"/>
    <n v="1"/>
    <x v="0"/>
    <m/>
    <n v="4"/>
    <s v="L3"/>
    <s v="R. Karthikeyan"/>
    <x v="0"/>
    <s v="Work From Home"/>
    <n v="23"/>
    <x v="1"/>
    <n v="43511"/>
    <n v="85000000"/>
    <s v="99.5% System Uptime"/>
    <n v="720000"/>
    <s v="High"/>
    <s v="Project Delivery"/>
    <n v="0.25"/>
    <n v="0.625"/>
    <n v="8"/>
    <s v="New Year's Day"/>
    <x v="1"/>
  </r>
  <r>
    <s v="ATD00006"/>
    <d v="2025-03-06T00:00:00"/>
    <x v="4"/>
    <s v="Q1"/>
    <s v="Thursday"/>
    <s v="EMP042"/>
    <s v="Employee 42"/>
    <x v="0"/>
    <s v="Support Executive"/>
    <s v="Chennai"/>
    <s v="General Shift"/>
    <d v="1899-12-30T09:00:00"/>
    <d v="1899-12-30T18:00:00"/>
    <n v="8"/>
    <n v="0"/>
    <x v="0"/>
    <m/>
    <n v="5"/>
    <s v="L3"/>
    <s v="V. Vinoth"/>
    <x v="2"/>
    <m/>
    <n v="28"/>
    <x v="0"/>
    <n v="43296"/>
    <n v="24000000"/>
    <s v="90% Customer Satisfaction"/>
    <n v="520000"/>
    <s v="High"/>
    <s v="Customer Satisfaction"/>
    <n v="0.375"/>
    <n v="0.75"/>
    <n v="8"/>
    <s v="Working Day"/>
    <x v="0"/>
  </r>
  <r>
    <s v="ATD00007"/>
    <d v="2025-01-30T00:00:00"/>
    <x v="2"/>
    <s v="Q1"/>
    <s v="Thursday"/>
    <s v="EMP004"/>
    <s v="Employee 4"/>
    <x v="3"/>
    <s v="Accountant"/>
    <s v="Hyderabad"/>
    <s v="Night Shift"/>
    <m/>
    <m/>
    <m/>
    <m/>
    <x v="1"/>
    <s v="Earned Leave"/>
    <m/>
    <s v="L2"/>
    <s v="M. Mahesh"/>
    <x v="3"/>
    <m/>
    <n v="26"/>
    <x v="0"/>
    <n v="44696"/>
    <n v="26000000"/>
    <s v="100% Payroll Accuracy"/>
    <n v="640000"/>
    <s v="High"/>
    <s v="Financial Compliance"/>
    <n v="0.91666666666666663"/>
    <n v="0.29166666666666669"/>
    <n v="8"/>
    <s v="Working Day"/>
    <x v="0"/>
  </r>
  <r>
    <s v="ATD00008"/>
    <d v="2025-06-24T00:00:00"/>
    <x v="0"/>
    <s v="Q2"/>
    <s v="Tuesday"/>
    <s v="EMP030"/>
    <s v="Employee 30"/>
    <x v="4"/>
    <s v="HR Executive"/>
    <s v="Madurai"/>
    <s v="Morning Shift"/>
    <d v="1899-12-30T09:00:00"/>
    <d v="1899-12-30T18:00:00"/>
    <n v="8"/>
    <n v="0"/>
    <x v="0"/>
    <m/>
    <n v="4"/>
    <s v="L1"/>
    <s v="P. Priya"/>
    <x v="0"/>
    <s v="Client Visit"/>
    <n v="34"/>
    <x v="0"/>
    <n v="44027"/>
    <n v="18000000"/>
    <s v="&lt;30 Days Hiring Cycle"/>
    <n v="560000"/>
    <s v="Medium"/>
    <s v="Hiring &amp; Retention"/>
    <n v="0.25"/>
    <n v="0.625"/>
    <n v="8"/>
    <s v="Working Day"/>
    <x v="0"/>
  </r>
  <r>
    <s v="ATD00009"/>
    <d v="2025-02-05T00:00:00"/>
    <x v="5"/>
    <s v="Q1"/>
    <s v="Wednesday"/>
    <s v="EMP048"/>
    <s v="Employee 48"/>
    <x v="5"/>
    <s v="Marketing Executive"/>
    <s v="Bengaluru"/>
    <s v="Flexible Shift"/>
    <d v="1899-12-30T09:00:00"/>
    <d v="1899-12-30T18:00:00"/>
    <n v="8"/>
    <n v="0"/>
    <x v="0"/>
    <m/>
    <n v="4"/>
    <s v="L4"/>
    <s v="S. Swetha"/>
    <x v="1"/>
    <m/>
    <n v="34"/>
    <x v="0"/>
    <n v="45306"/>
    <n v="22000000"/>
    <s v="2500 Qualified Leads"/>
    <n v="590000"/>
    <s v="Medium"/>
    <s v="Lead Generation"/>
    <n v="0.41666666666666669"/>
    <n v="0.79166666666666663"/>
    <n v="8"/>
    <s v="Working Day"/>
    <x v="0"/>
  </r>
  <r>
    <s v="ATD00010"/>
    <d v="2025-04-06T00:00:00"/>
    <x v="1"/>
    <s v="Q2"/>
    <s v="Sunday"/>
    <s v="EMP049"/>
    <s v="Employee 49"/>
    <x v="0"/>
    <s v="Support Executive"/>
    <s v="Hyderabad"/>
    <s v="General Shift"/>
    <d v="1899-12-30T09:00:00"/>
    <d v="1899-12-30T18:00:00"/>
    <n v="8"/>
    <n v="0"/>
    <x v="0"/>
    <m/>
    <n v="4"/>
    <s v="L3"/>
    <s v="V. Vinoth"/>
    <x v="1"/>
    <s v="Work From Home"/>
    <n v="35"/>
    <x v="1"/>
    <n v="43146"/>
    <n v="24000000"/>
    <s v="90% Customer Satisfaction"/>
    <n v="520000"/>
    <s v="High"/>
    <s v="Customer Satisfaction"/>
    <n v="0.375"/>
    <n v="0.75"/>
    <n v="8"/>
    <s v="Working Day"/>
    <x v="0"/>
  </r>
  <r>
    <s v="ATD00011"/>
    <d v="2025-03-11T00:00:00"/>
    <x v="4"/>
    <s v="Q1"/>
    <s v="Tuesday"/>
    <s v="EMP014"/>
    <s v="Employee 14"/>
    <x v="0"/>
    <s v="Support Executive"/>
    <s v="Hyderabad"/>
    <s v="Night Shift"/>
    <d v="1899-12-30T22:00:00"/>
    <d v="1899-12-30T07:00:00"/>
    <n v="9.5"/>
    <n v="1.5"/>
    <x v="0"/>
    <m/>
    <n v="3"/>
    <s v="L2"/>
    <s v="V. Vinoth"/>
    <x v="3"/>
    <s v="Client Visit"/>
    <n v="36"/>
    <x v="0"/>
    <n v="43174"/>
    <n v="24000000"/>
    <s v="90% Customer Satisfaction"/>
    <n v="520000"/>
    <s v="High"/>
    <s v="Customer Satisfaction"/>
    <n v="0.91666666666666663"/>
    <n v="0.29166666666666669"/>
    <n v="8"/>
    <s v="Working Day"/>
    <x v="0"/>
  </r>
  <r>
    <s v="ATD00012"/>
    <d v="2025-04-21T00:00:00"/>
    <x v="1"/>
    <s v="Q2"/>
    <s v="Monday"/>
    <s v="EMP010"/>
    <s v="Employee 10"/>
    <x v="6"/>
    <s v="Sales Executive"/>
    <s v="Madurai"/>
    <s v="Morning Shift"/>
    <d v="1899-12-30T09:10:00"/>
    <d v="1899-12-30T18:00:00"/>
    <n v="8"/>
    <n v="0"/>
    <x v="0"/>
    <m/>
    <n v="4"/>
    <s v="L1"/>
    <s v="V. Vivek"/>
    <x v="1"/>
    <s v="Work From Home"/>
    <n v="32"/>
    <x v="0"/>
    <n v="44515"/>
    <n v="42000000"/>
    <s v="₹2.5 Cr Monthly Sales"/>
    <n v="680000"/>
    <s v="High"/>
    <s v="Revenue Achievement"/>
    <n v="0.25"/>
    <n v="0.625"/>
    <n v="8"/>
    <s v="Working Day"/>
    <x v="0"/>
  </r>
  <r>
    <s v="ATD00013"/>
    <d v="2025-05-13T00:00:00"/>
    <x v="3"/>
    <s v="Q2"/>
    <s v="Tuesday"/>
    <s v="EMP038"/>
    <s v="Employee 38"/>
    <x v="6"/>
    <s v="Sales Executive"/>
    <s v="Bengaluru"/>
    <s v="General Shift"/>
    <d v="1899-12-30T09:10:00"/>
    <d v="1899-12-30T18:00:00"/>
    <n v="8"/>
    <n v="0"/>
    <x v="0"/>
    <m/>
    <n v="4"/>
    <s v="L2"/>
    <s v="V. Vivek"/>
    <x v="0"/>
    <m/>
    <n v="24"/>
    <x v="1"/>
    <n v="44270"/>
    <n v="42000000"/>
    <s v="₹2.5 Cr Monthly Sales"/>
    <n v="680000"/>
    <s v="High"/>
    <s v="Revenue Achievement"/>
    <n v="0.375"/>
    <n v="0.75"/>
    <n v="8"/>
    <s v="Working Day"/>
    <x v="0"/>
  </r>
  <r>
    <s v="ATD00014"/>
    <d v="2025-03-14T00:00:00"/>
    <x v="4"/>
    <s v="Q1"/>
    <s v="Friday"/>
    <s v="EMP012"/>
    <s v="Employee 12"/>
    <x v="1"/>
    <s v="Operations Executive"/>
    <s v="Chennai"/>
    <s v="Night Shift"/>
    <m/>
    <m/>
    <m/>
    <m/>
    <x v="1"/>
    <s v="Casual Leave"/>
    <m/>
    <s v="L4"/>
    <s v="D. Dinesh"/>
    <x v="3"/>
    <s v="Work From Home"/>
    <n v="34"/>
    <x v="0"/>
    <n v="44941"/>
    <n v="34000000"/>
    <s v="95% Process Efficiency"/>
    <n v="610000"/>
    <s v="High"/>
    <s v="Operational Efficiency"/>
    <n v="0.91666666666666663"/>
    <n v="0.29166666666666669"/>
    <n v="8"/>
    <s v="Working Day"/>
    <x v="0"/>
  </r>
  <r>
    <s v="ATD00015"/>
    <d v="2025-01-24T00:00:00"/>
    <x v="2"/>
    <s v="Q1"/>
    <s v="Friday"/>
    <s v="EMP021"/>
    <s v="Employee 21"/>
    <x v="0"/>
    <s v="Support Executive"/>
    <s v="Coimbatore"/>
    <s v="Flexible Shift"/>
    <d v="1899-12-30T09:00:00"/>
    <d v="1899-12-30T18:00:00"/>
    <n v="8"/>
    <n v="0"/>
    <x v="0"/>
    <m/>
    <m/>
    <s v="L2"/>
    <s v="V. Vinoth"/>
    <x v="1"/>
    <s v="Late Login"/>
    <n v="25"/>
    <x v="1"/>
    <n v="43388"/>
    <n v="24000000"/>
    <s v="90% Customer Satisfaction"/>
    <n v="520000"/>
    <s v="High"/>
    <s v="Customer Satisfaction"/>
    <n v="0.41666666666666669"/>
    <n v="0.79166666666666663"/>
    <n v="8"/>
    <s v="Working Day"/>
    <x v="0"/>
  </r>
  <r>
    <s v="ATD00016"/>
    <d v="2025-05-31T00:00:00"/>
    <x v="3"/>
    <s v="Q2"/>
    <s v="Saturday"/>
    <s v="EMP016"/>
    <s v="Employee 16"/>
    <x v="4"/>
    <s v="HR Executive"/>
    <s v="Coimbatore"/>
    <s v="Flexible Shift"/>
    <d v="1899-12-30T09:00:00"/>
    <d v="1899-12-30T18:00:00"/>
    <n v="8"/>
    <n v="0"/>
    <x v="0"/>
    <m/>
    <m/>
    <s v="L2"/>
    <s v="P. Priya"/>
    <x v="2"/>
    <s v="Client Visit"/>
    <n v="38"/>
    <x v="0"/>
    <n v="43966"/>
    <n v="18000000"/>
    <s v="&lt;30 Days Hiring Cycle"/>
    <n v="560000"/>
    <s v="Medium"/>
    <s v="Hiring &amp; Retention"/>
    <n v="0.41666666666666669"/>
    <n v="0.79166666666666663"/>
    <n v="8"/>
    <s v="Working Day"/>
    <x v="0"/>
  </r>
  <r>
    <s v="ATD00017"/>
    <d v="2025-01-03T00:00:00"/>
    <x v="2"/>
    <s v="Q1"/>
    <s v="Friday"/>
    <s v="EMP012"/>
    <s v="Employee 12"/>
    <x v="1"/>
    <s v="Operations Executive"/>
    <s v="Chennai"/>
    <s v="Afternoon Shift"/>
    <d v="1899-12-30T09:00:00"/>
    <d v="1899-12-30T18:00:00"/>
    <n v="8"/>
    <n v="0"/>
    <x v="0"/>
    <m/>
    <n v="4"/>
    <s v="L2"/>
    <s v="D. Dinesh"/>
    <x v="3"/>
    <m/>
    <n v="34"/>
    <x v="0"/>
    <n v="44941"/>
    <n v="34000000"/>
    <s v="95% Process Efficiency"/>
    <n v="610000"/>
    <s v="High"/>
    <s v="Operational Efficiency"/>
    <n v="0.58333333333333337"/>
    <n v="0.95833333333333337"/>
    <n v="8"/>
    <s v="Working Day"/>
    <x v="0"/>
  </r>
  <r>
    <s v="ATD00018"/>
    <d v="2025-01-03T00:00:00"/>
    <x v="2"/>
    <s v="Q1"/>
    <s v="Friday"/>
    <s v="EMP040"/>
    <s v="Employee 40"/>
    <x v="1"/>
    <s v="Operations Executive"/>
    <s v="Madurai"/>
    <s v="Afternoon Shift"/>
    <d v="1899-12-30T09:00:00"/>
    <d v="1899-12-30T18:00:00"/>
    <n v="8"/>
    <n v="0"/>
    <x v="0"/>
    <m/>
    <n v="4"/>
    <s v="L1"/>
    <s v="D. Dinesh"/>
    <x v="3"/>
    <m/>
    <n v="26"/>
    <x v="1"/>
    <n v="45061"/>
    <n v="34000000"/>
    <s v="95% Process Efficiency"/>
    <n v="610000"/>
    <s v="High"/>
    <s v="Operational Efficiency"/>
    <n v="0.58333333333333337"/>
    <n v="0.95833333333333337"/>
    <n v="8"/>
    <s v="Working Day"/>
    <x v="0"/>
  </r>
  <r>
    <s v="ATD00019"/>
    <d v="2025-02-21T00:00:00"/>
    <x v="5"/>
    <s v="Q1"/>
    <s v="Friday"/>
    <s v="EMP048"/>
    <s v="Employee 48"/>
    <x v="5"/>
    <s v="Marketing Executive"/>
    <s v="Bengaluru"/>
    <s v="Night Shift"/>
    <d v="1899-12-30T22:00:00"/>
    <d v="1899-12-30T07:00:00"/>
    <n v="10"/>
    <n v="2"/>
    <x v="0"/>
    <m/>
    <n v="4"/>
    <s v="L4"/>
    <s v="S. Swetha"/>
    <x v="0"/>
    <s v="Client Visit"/>
    <n v="34"/>
    <x v="0"/>
    <n v="45306"/>
    <n v="22000000"/>
    <s v="2500 Qualified Leads"/>
    <n v="590000"/>
    <s v="Medium"/>
    <s v="Lead Generation"/>
    <n v="0.91666666666666663"/>
    <n v="0.29166666666666669"/>
    <n v="8"/>
    <s v="Working Day"/>
    <x v="0"/>
  </r>
  <r>
    <s v="ATD00020"/>
    <d v="2025-02-28T00:00:00"/>
    <x v="5"/>
    <s v="Q1"/>
    <s v="Friday"/>
    <s v="EMP041"/>
    <s v="Employee 41"/>
    <x v="5"/>
    <s v="Marketing Executive"/>
    <s v="Coimbatore"/>
    <s v="Afternoon Shift"/>
    <m/>
    <m/>
    <m/>
    <m/>
    <x v="2"/>
    <m/>
    <m/>
    <s v="L2"/>
    <s v="S. Swetha"/>
    <x v="0"/>
    <s v="Client Visit"/>
    <n v="27"/>
    <x v="1"/>
    <n v="45458"/>
    <n v="22000000"/>
    <s v="2500 Qualified Leads"/>
    <n v="590000"/>
    <s v="Medium"/>
    <s v="Lead Generation"/>
    <n v="0.58333333333333337"/>
    <n v="0.95833333333333337"/>
    <n v="8"/>
    <s v="Working Day"/>
    <x v="0"/>
  </r>
  <r>
    <s v="ATD00021"/>
    <d v="2025-04-30T00:00:00"/>
    <x v="1"/>
    <s v="Q2"/>
    <s v="Wednesday"/>
    <s v="EMP016"/>
    <s v="Employee 16"/>
    <x v="4"/>
    <s v="HR Executive"/>
    <s v="Coimbatore"/>
    <s v="General Shift"/>
    <d v="1899-12-30T09:00:00"/>
    <d v="1899-12-30T18:00:00"/>
    <n v="8"/>
    <n v="0"/>
    <x v="0"/>
    <m/>
    <m/>
    <s v="L1"/>
    <s v="P. Priya"/>
    <x v="2"/>
    <s v="Late Login"/>
    <n v="38"/>
    <x v="0"/>
    <n v="43966"/>
    <n v="18000000"/>
    <s v="&lt;30 Days Hiring Cycle"/>
    <n v="560000"/>
    <s v="Medium"/>
    <s v="Hiring &amp; Retention"/>
    <n v="0.375"/>
    <n v="0.75"/>
    <n v="8"/>
    <s v="Working Day"/>
    <x v="0"/>
  </r>
  <r>
    <s v="ATD00022"/>
    <d v="2025-01-18T00:00:00"/>
    <x v="2"/>
    <s v="Q1"/>
    <s v="Saturday"/>
    <s v="EMP010"/>
    <s v="Employee 10"/>
    <x v="6"/>
    <s v="Sales Executive"/>
    <s v="Madurai"/>
    <s v="Afternoon Shift"/>
    <d v="1899-12-30T09:20:00"/>
    <d v="1899-12-30T18:00:00"/>
    <n v="8"/>
    <n v="0"/>
    <x v="0"/>
    <m/>
    <n v="4"/>
    <s v="L4"/>
    <s v="V. Vivek"/>
    <x v="2"/>
    <s v="Late Login"/>
    <n v="32"/>
    <x v="0"/>
    <n v="44515"/>
    <n v="42000000"/>
    <s v="₹2.5 Cr Monthly Sales"/>
    <n v="680000"/>
    <s v="High"/>
    <s v="Revenue Achievement"/>
    <n v="0.58333333333333337"/>
    <n v="0.95833333333333337"/>
    <n v="8"/>
    <s v="Working Day"/>
    <x v="0"/>
  </r>
  <r>
    <s v="ATD00023"/>
    <d v="2025-02-22T00:00:00"/>
    <x v="5"/>
    <s v="Q1"/>
    <s v="Saturday"/>
    <s v="EMP019"/>
    <s v="Employee 19"/>
    <x v="1"/>
    <s v="Operations Executive"/>
    <s v="Hyderabad"/>
    <s v="Flexible Shift"/>
    <d v="1899-12-30T09:00:00"/>
    <d v="1899-12-30T18:00:00"/>
    <n v="8"/>
    <n v="0"/>
    <x v="0"/>
    <m/>
    <m/>
    <s v="L4"/>
    <s v="D. Dinesh"/>
    <x v="2"/>
    <m/>
    <n v="23"/>
    <x v="0"/>
    <n v="45153"/>
    <n v="34000000"/>
    <s v="95% Process Efficiency"/>
    <n v="610000"/>
    <s v="High"/>
    <s v="Operational Efficiency"/>
    <n v="0.41666666666666669"/>
    <n v="0.79166666666666663"/>
    <n v="8"/>
    <s v="Working Day"/>
    <x v="0"/>
  </r>
  <r>
    <s v="ATD00024"/>
    <d v="2025-06-18T00:00:00"/>
    <x v="0"/>
    <s v="Q2"/>
    <s v="Wednesday"/>
    <s v="EMP049"/>
    <s v="Employee 49"/>
    <x v="0"/>
    <s v="Support Executive"/>
    <s v="Hyderabad"/>
    <s v="Morning Shift"/>
    <d v="1899-12-30T09:00:00"/>
    <d v="1899-12-30T18:00:00"/>
    <n v="8"/>
    <n v="0"/>
    <x v="0"/>
    <m/>
    <n v="5"/>
    <s v="L1"/>
    <s v="V. Vinoth"/>
    <x v="2"/>
    <s v="Work From Home"/>
    <n v="35"/>
    <x v="1"/>
    <n v="43146"/>
    <n v="24000000"/>
    <s v="90% Customer Satisfaction"/>
    <n v="520000"/>
    <s v="High"/>
    <s v="Customer Satisfaction"/>
    <n v="0.25"/>
    <n v="0.625"/>
    <n v="8"/>
    <s v="Working Day"/>
    <x v="0"/>
  </r>
  <r>
    <s v="ATD00025"/>
    <d v="2025-05-28T00:00:00"/>
    <x v="3"/>
    <s v="Q2"/>
    <s v="Wednesday"/>
    <s v="EMP015"/>
    <s v="Employee 15"/>
    <x v="2"/>
    <s v="Software Engineer"/>
    <s v="Madurai"/>
    <s v="General Shift"/>
    <d v="1899-12-30T09:00:00"/>
    <d v="1899-12-30T18:00:00"/>
    <n v="8.5"/>
    <n v="0.5"/>
    <x v="0"/>
    <m/>
    <m/>
    <s v="L4"/>
    <s v="R. Karthikeyan"/>
    <x v="1"/>
    <m/>
    <n v="37"/>
    <x v="1"/>
    <n v="43570"/>
    <n v="85000000"/>
    <s v="99.5% System Uptime"/>
    <n v="720000"/>
    <s v="High"/>
    <s v="Project Delivery"/>
    <n v="0.375"/>
    <n v="0.75"/>
    <n v="8"/>
    <s v="Working Day"/>
    <x v="0"/>
  </r>
  <r>
    <s v="ATD00026"/>
    <d v="2025-01-29T00:00:00"/>
    <x v="2"/>
    <s v="Q1"/>
    <s v="Wednesday"/>
    <s v="EMP023"/>
    <s v="Employee 23"/>
    <x v="4"/>
    <s v="HR Executive"/>
    <s v="Bengaluru"/>
    <s v="Flexible Shift"/>
    <d v="1899-12-30T09:00:00"/>
    <d v="1899-12-30T18:00:00"/>
    <n v="8"/>
    <n v="0"/>
    <x v="0"/>
    <m/>
    <n v="4"/>
    <s v="L1"/>
    <s v="P. Priya"/>
    <x v="3"/>
    <m/>
    <n v="27"/>
    <x v="1"/>
    <n v="44180"/>
    <n v="18000000"/>
    <s v="&lt;30 Days Hiring Cycle"/>
    <n v="560000"/>
    <s v="Medium"/>
    <s v="Hiring &amp; Retention"/>
    <n v="0.41666666666666669"/>
    <n v="0.79166666666666663"/>
    <n v="8"/>
    <s v="Working Day"/>
    <x v="0"/>
  </r>
  <r>
    <s v="ATD00027"/>
    <d v="2025-06-16T00:00:00"/>
    <x v="0"/>
    <s v="Q2"/>
    <s v="Monday"/>
    <s v="EMP045"/>
    <s v="Employee 45"/>
    <x v="6"/>
    <s v="Sales Executive"/>
    <s v="Madurai"/>
    <s v="Night Shift"/>
    <d v="1899-12-30T09:35:00"/>
    <d v="1899-12-30T07:00:00"/>
    <n v="10"/>
    <n v="2"/>
    <x v="0"/>
    <m/>
    <m/>
    <s v="L4"/>
    <s v="V. Vivek"/>
    <x v="3"/>
    <s v="Late Login"/>
    <n v="31"/>
    <x v="1"/>
    <n v="44484"/>
    <n v="42000000"/>
    <s v="₹2.5 Cr Monthly Sales"/>
    <n v="680000"/>
    <s v="High"/>
    <s v="Revenue Achievement"/>
    <n v="0.91666666666666663"/>
    <n v="0.29166666666666669"/>
    <n v="8"/>
    <s v="Working Day"/>
    <x v="0"/>
  </r>
  <r>
    <s v="ATD00028"/>
    <d v="2025-06-13T00:00:00"/>
    <x v="0"/>
    <s v="Q2"/>
    <s v="Friday"/>
    <s v="EMP034"/>
    <s v="Employee 34"/>
    <x v="5"/>
    <s v="Marketing Executive"/>
    <s v="Hyderabad"/>
    <s v="Morning Shift"/>
    <d v="1899-12-30T09:00:00"/>
    <d v="1899-12-30T18:00:00"/>
    <n v="8"/>
    <n v="0"/>
    <x v="0"/>
    <m/>
    <n v="5"/>
    <s v="L2"/>
    <s v="S. Swetha"/>
    <x v="0"/>
    <m/>
    <n v="38"/>
    <x v="0"/>
    <n v="45611"/>
    <n v="22000000"/>
    <s v="2500 Qualified Leads"/>
    <n v="590000"/>
    <s v="Medium"/>
    <s v="Lead Generation"/>
    <n v="0.25"/>
    <n v="0.625"/>
    <n v="8"/>
    <s v="Working Day"/>
    <x v="0"/>
  </r>
  <r>
    <s v="ATD00029"/>
    <d v="2025-05-16T00:00:00"/>
    <x v="3"/>
    <s v="Q2"/>
    <s v="Friday"/>
    <s v="EMP047"/>
    <s v="Employee 47"/>
    <x v="1"/>
    <s v="Operations Executive"/>
    <s v="Chennai"/>
    <s v="Morning Shift"/>
    <d v="1899-12-30T09:00:00"/>
    <d v="1899-12-30T18:00:00"/>
    <n v="8"/>
    <n v="0"/>
    <x v="0"/>
    <m/>
    <n v="4"/>
    <s v="L3"/>
    <s v="D. Dinesh"/>
    <x v="2"/>
    <m/>
    <n v="33"/>
    <x v="1"/>
    <n v="45275"/>
    <n v="34000000"/>
    <s v="95% Process Efficiency"/>
    <n v="610000"/>
    <s v="High"/>
    <s v="Operational Efficiency"/>
    <n v="0.25"/>
    <n v="0.625"/>
    <n v="8"/>
    <s v="Working Day"/>
    <x v="0"/>
  </r>
  <r>
    <s v="ATD00030"/>
    <d v="2025-04-07T00:00:00"/>
    <x v="1"/>
    <s v="Q2"/>
    <s v="Monday"/>
    <s v="EMP005"/>
    <s v="Employee 5"/>
    <x v="1"/>
    <s v="Operations Executive"/>
    <s v="Madurai"/>
    <s v="Afternoon Shift"/>
    <d v="1899-12-30T09:00:00"/>
    <d v="1899-12-30T18:00:00"/>
    <n v="8"/>
    <n v="0"/>
    <x v="0"/>
    <m/>
    <m/>
    <s v="L2"/>
    <s v="D. Dinesh"/>
    <x v="3"/>
    <s v="Client Visit"/>
    <n v="27"/>
    <x v="1"/>
    <n v="45092"/>
    <n v="34000000"/>
    <s v="95% Process Efficiency"/>
    <n v="610000"/>
    <s v="High"/>
    <s v="Operational Efficiency"/>
    <n v="0.58333333333333337"/>
    <n v="0.95833333333333337"/>
    <n v="8"/>
    <s v="Working Day"/>
    <x v="0"/>
  </r>
  <r>
    <s v="ATD00031"/>
    <d v="2025-05-05T00:00:00"/>
    <x v="3"/>
    <s v="Q2"/>
    <s v="Monday"/>
    <s v="EMP040"/>
    <s v="Employee 40"/>
    <x v="1"/>
    <s v="Operations Executive"/>
    <s v="Madurai"/>
    <s v="Morning Shift"/>
    <m/>
    <m/>
    <m/>
    <m/>
    <x v="2"/>
    <m/>
    <m/>
    <s v="L3"/>
    <s v="D. Dinesh"/>
    <x v="1"/>
    <s v="Work From Home"/>
    <n v="26"/>
    <x v="1"/>
    <n v="45061"/>
    <n v="34000000"/>
    <s v="95% Process Efficiency"/>
    <n v="610000"/>
    <s v="High"/>
    <s v="Operational Efficiency"/>
    <n v="0.25"/>
    <n v="0.625"/>
    <n v="8"/>
    <s v="Working Day"/>
    <x v="0"/>
  </r>
  <r>
    <s v="ATD00032"/>
    <d v="2025-02-01T00:00:00"/>
    <x v="5"/>
    <s v="Q1"/>
    <s v="Saturday"/>
    <s v="EMP008"/>
    <s v="Employee 8"/>
    <x v="2"/>
    <s v="Software Engineer"/>
    <s v="Bengaluru"/>
    <s v="General Shift"/>
    <d v="1899-12-30T09:00:00"/>
    <d v="1899-12-30T18:00:00"/>
    <n v="8"/>
    <n v="0"/>
    <x v="0"/>
    <m/>
    <n v="4"/>
    <s v="L4"/>
    <s v="R. Karthikeyan"/>
    <x v="1"/>
    <m/>
    <n v="30"/>
    <x v="0"/>
    <n v="43723"/>
    <n v="85000000"/>
    <s v="99.5% System Uptime"/>
    <n v="720000"/>
    <s v="High"/>
    <s v="Project Delivery"/>
    <n v="0.375"/>
    <n v="0.75"/>
    <n v="8"/>
    <s v="Working Day"/>
    <x v="0"/>
  </r>
  <r>
    <s v="ATD00033"/>
    <d v="2025-03-27T00:00:00"/>
    <x v="4"/>
    <s v="Q1"/>
    <s v="Thursday"/>
    <s v="EMP001"/>
    <s v="Employee 1"/>
    <x v="2"/>
    <s v="Software Engineer"/>
    <s v="Coimbatore"/>
    <s v="Flexible Shift"/>
    <d v="1899-12-30T09:00:00"/>
    <d v="1899-12-30T18:00:00"/>
    <n v="10"/>
    <n v="2"/>
    <x v="0"/>
    <m/>
    <n v="4"/>
    <s v="L1"/>
    <s v="R. Karthikeyan"/>
    <x v="2"/>
    <m/>
    <n v="23"/>
    <x v="1"/>
    <n v="43511"/>
    <n v="85000000"/>
    <s v="99.5% System Uptime"/>
    <n v="720000"/>
    <s v="High"/>
    <s v="Project Delivery"/>
    <n v="0.41666666666666669"/>
    <n v="0.79166666666666663"/>
    <n v="8"/>
    <s v="Working Day"/>
    <x v="0"/>
  </r>
  <r>
    <s v="ATD00034"/>
    <d v="2025-03-17T00:00:00"/>
    <x v="4"/>
    <s v="Q1"/>
    <s v="Monday"/>
    <s v="EMP003"/>
    <s v="Employee 3"/>
    <x v="6"/>
    <s v="Sales Executive"/>
    <s v="Bengaluru"/>
    <s v="Flexible Shift"/>
    <d v="1899-12-30T09:10:00"/>
    <d v="1899-12-30T18:00:00"/>
    <n v="8"/>
    <n v="0"/>
    <x v="0"/>
    <m/>
    <n v="4"/>
    <s v="L1"/>
    <s v="V. Vivek"/>
    <x v="0"/>
    <s v="Client Visit"/>
    <n v="25"/>
    <x v="1"/>
    <n v="44301"/>
    <n v="42000000"/>
    <s v="₹2.5 Cr Monthly Sales"/>
    <n v="680000"/>
    <s v="High"/>
    <s v="Revenue Achievement"/>
    <n v="0.41666666666666669"/>
    <n v="0.79166666666666663"/>
    <n v="8"/>
    <s v="Working Day"/>
    <x v="0"/>
  </r>
  <r>
    <s v="ATD00035"/>
    <d v="2025-02-10T00:00:00"/>
    <x v="5"/>
    <s v="Q1"/>
    <s v="Monday"/>
    <s v="EMP033"/>
    <s v="Employee 33"/>
    <x v="1"/>
    <s v="Operations Executive"/>
    <s v="Bengaluru"/>
    <s v="Night Shift"/>
    <d v="1899-12-30T22:00:00"/>
    <d v="1899-12-30T07:00:00"/>
    <n v="10"/>
    <n v="2"/>
    <x v="0"/>
    <m/>
    <n v="3"/>
    <s v="L2"/>
    <s v="D. Dinesh"/>
    <x v="2"/>
    <s v="Work From Home"/>
    <n v="37"/>
    <x v="1"/>
    <n v="45214"/>
    <n v="34000000"/>
    <s v="95% Process Efficiency"/>
    <n v="610000"/>
    <s v="High"/>
    <s v="Operational Efficiency"/>
    <n v="0.91666666666666663"/>
    <n v="0.29166666666666669"/>
    <n v="8"/>
    <s v="Working Day"/>
    <x v="0"/>
  </r>
  <r>
    <s v="ATD00036"/>
    <d v="2025-04-29T00:00:00"/>
    <x v="1"/>
    <s v="Q2"/>
    <s v="Tuesday"/>
    <s v="EMP048"/>
    <s v="Employee 48"/>
    <x v="5"/>
    <s v="Marketing Executive"/>
    <s v="Bengaluru"/>
    <s v="Afternoon Shift"/>
    <d v="1899-12-30T09:00:00"/>
    <d v="1899-12-30T18:00:00"/>
    <n v="8"/>
    <n v="0"/>
    <x v="0"/>
    <m/>
    <n v="3"/>
    <s v="L3"/>
    <s v="S. Swetha"/>
    <x v="0"/>
    <s v="Late Login"/>
    <n v="34"/>
    <x v="0"/>
    <n v="45306"/>
    <n v="22000000"/>
    <s v="2500 Qualified Leads"/>
    <n v="590000"/>
    <s v="Medium"/>
    <s v="Lead Generation"/>
    <n v="0.58333333333333337"/>
    <n v="0.95833333333333337"/>
    <n v="8"/>
    <s v="Working Day"/>
    <x v="0"/>
  </r>
  <r>
    <s v="ATD00037"/>
    <d v="2025-03-23T00:00:00"/>
    <x v="4"/>
    <s v="Q1"/>
    <s v="Sunday"/>
    <s v="EMP050"/>
    <s v="Employee 50"/>
    <x v="2"/>
    <s v="Software Engineer"/>
    <s v="Madurai"/>
    <s v="Afternoon Shift"/>
    <d v="1899-12-30T09:00:00"/>
    <d v="1899-12-30T18:00:00"/>
    <n v="10"/>
    <n v="2"/>
    <x v="0"/>
    <m/>
    <n v="3"/>
    <s v="L4"/>
    <s v="R. Karthikeyan"/>
    <x v="2"/>
    <m/>
    <n v="36"/>
    <x v="0"/>
    <n v="43539"/>
    <n v="85000000"/>
    <s v="99.5% System Uptime"/>
    <n v="720000"/>
    <s v="High"/>
    <s v="Project Delivery"/>
    <n v="0.58333333333333337"/>
    <n v="0.95833333333333337"/>
    <n v="8"/>
    <s v="Working Day"/>
    <x v="0"/>
  </r>
  <r>
    <s v="ATD00038"/>
    <d v="2025-05-04T00:00:00"/>
    <x v="3"/>
    <s v="Q2"/>
    <s v="Sunday"/>
    <s v="EMP037"/>
    <s v="Employee 37"/>
    <x v="4"/>
    <s v="HR Executive"/>
    <s v="Chennai"/>
    <s v="General Shift"/>
    <d v="1899-12-30T09:00:00"/>
    <d v="1899-12-30T18:00:00"/>
    <n v="8"/>
    <n v="0"/>
    <x v="0"/>
    <m/>
    <m/>
    <s v="L1"/>
    <s v="P. Priya"/>
    <x v="0"/>
    <s v="Work From Home"/>
    <n v="23"/>
    <x v="0"/>
    <n v="43876"/>
    <n v="18000000"/>
    <s v="&lt;30 Days Hiring Cycle"/>
    <n v="560000"/>
    <s v="Medium"/>
    <s v="Hiring &amp; Retention"/>
    <n v="0.375"/>
    <n v="0.75"/>
    <n v="8"/>
    <s v="Working Day"/>
    <x v="0"/>
  </r>
  <r>
    <s v="ATD00039"/>
    <d v="2025-03-02T00:00:00"/>
    <x v="4"/>
    <s v="Q1"/>
    <s v="Sunday"/>
    <s v="EMP012"/>
    <s v="Employee 12"/>
    <x v="1"/>
    <s v="Operations Executive"/>
    <s v="Chennai"/>
    <s v="Night Shift"/>
    <d v="1899-12-30T22:00:00"/>
    <d v="1899-12-30T07:00:00"/>
    <n v="9"/>
    <n v="1"/>
    <x v="0"/>
    <m/>
    <n v="4"/>
    <s v="L4"/>
    <s v="D. Dinesh"/>
    <x v="3"/>
    <s v="Client Visit"/>
    <n v="34"/>
    <x v="0"/>
    <n v="44941"/>
    <n v="34000000"/>
    <s v="95% Process Efficiency"/>
    <n v="610000"/>
    <s v="High"/>
    <s v="Operational Efficiency"/>
    <n v="0.91666666666666663"/>
    <n v="0.29166666666666669"/>
    <n v="8"/>
    <s v="Working Day"/>
    <x v="0"/>
  </r>
  <r>
    <s v="ATD00040"/>
    <d v="2025-05-14T00:00:00"/>
    <x v="3"/>
    <s v="Q2"/>
    <s v="Wednesday"/>
    <s v="EMP003"/>
    <s v="Employee 3"/>
    <x v="6"/>
    <s v="Sales Executive"/>
    <s v="Bengaluru"/>
    <s v="Night Shift"/>
    <d v="1899-12-30T09:35:00"/>
    <d v="1899-12-30T07:00:00"/>
    <n v="9.5"/>
    <n v="1.5"/>
    <x v="0"/>
    <m/>
    <n v="4"/>
    <s v="L4"/>
    <s v="V. Vivek"/>
    <x v="1"/>
    <s v="Work From Home"/>
    <n v="25"/>
    <x v="1"/>
    <n v="44301"/>
    <n v="42000000"/>
    <s v="₹2.5 Cr Monthly Sales"/>
    <n v="680000"/>
    <s v="High"/>
    <s v="Revenue Achievement"/>
    <n v="0.91666666666666663"/>
    <n v="0.29166666666666669"/>
    <n v="8"/>
    <s v="Working Day"/>
    <x v="0"/>
  </r>
  <r>
    <s v="ATD00041"/>
    <d v="2025-06-21T00:00:00"/>
    <x v="0"/>
    <s v="Q2"/>
    <s v="Saturday"/>
    <s v="EMP010"/>
    <s v="Employee 10"/>
    <x v="6"/>
    <s v="Sales Executive"/>
    <s v="Madurai"/>
    <s v="Afternoon Shift"/>
    <d v="1899-12-30T09:35:00"/>
    <d v="1899-12-30T18:00:00"/>
    <n v="8"/>
    <n v="0"/>
    <x v="0"/>
    <m/>
    <n v="3"/>
    <s v="L3"/>
    <s v="V. Vivek"/>
    <x v="1"/>
    <s v="Client Visit"/>
    <n v="32"/>
    <x v="0"/>
    <n v="44515"/>
    <n v="42000000"/>
    <s v="₹2.5 Cr Monthly Sales"/>
    <n v="680000"/>
    <s v="High"/>
    <s v="Revenue Achievement"/>
    <n v="0.58333333333333337"/>
    <n v="0.95833333333333337"/>
    <n v="8"/>
    <s v="Working Day"/>
    <x v="0"/>
  </r>
  <r>
    <s v="ATD00042"/>
    <d v="2025-04-19T00:00:00"/>
    <x v="1"/>
    <s v="Q2"/>
    <s v="Saturday"/>
    <s v="EMP004"/>
    <s v="Employee 4"/>
    <x v="3"/>
    <s v="Accountant"/>
    <s v="Hyderabad"/>
    <s v="Afternoon Shift"/>
    <d v="1899-12-30T09:00:00"/>
    <d v="1899-12-30T18:00:00"/>
    <n v="8"/>
    <n v="0"/>
    <x v="0"/>
    <m/>
    <n v="5"/>
    <s v="L1"/>
    <s v="M. Mahesh"/>
    <x v="1"/>
    <s v="Late Login"/>
    <n v="26"/>
    <x v="0"/>
    <n v="44696"/>
    <n v="26000000"/>
    <s v="100% Payroll Accuracy"/>
    <n v="640000"/>
    <s v="High"/>
    <s v="Financial Compliance"/>
    <n v="0.58333333333333337"/>
    <n v="0.95833333333333337"/>
    <n v="8"/>
    <s v="Working Day"/>
    <x v="0"/>
  </r>
  <r>
    <s v="ATD00043"/>
    <d v="2025-02-05T00:00:00"/>
    <x v="5"/>
    <s v="Q1"/>
    <s v="Wednesday"/>
    <s v="EMP019"/>
    <s v="Employee 19"/>
    <x v="1"/>
    <s v="Operations Executive"/>
    <s v="Hyderabad"/>
    <s v="Flexible Shift"/>
    <m/>
    <m/>
    <m/>
    <m/>
    <x v="2"/>
    <m/>
    <m/>
    <s v="L1"/>
    <s v="D. Dinesh"/>
    <x v="1"/>
    <s v="Client Visit"/>
    <n v="23"/>
    <x v="0"/>
    <n v="45153"/>
    <n v="34000000"/>
    <s v="95% Process Efficiency"/>
    <n v="610000"/>
    <s v="High"/>
    <s v="Operational Efficiency"/>
    <n v="0.41666666666666669"/>
    <n v="0.79166666666666663"/>
    <n v="8"/>
    <s v="Working Day"/>
    <x v="0"/>
  </r>
  <r>
    <s v="ATD00044"/>
    <d v="2025-04-16T00:00:00"/>
    <x v="1"/>
    <s v="Q2"/>
    <s v="Wednesday"/>
    <s v="EMP024"/>
    <s v="Employee 24"/>
    <x v="6"/>
    <s v="Sales Executive"/>
    <s v="Hyderabad"/>
    <s v="Morning Shift"/>
    <d v="1899-12-30T09:00:00"/>
    <d v="1899-12-30T18:00:00"/>
    <n v="8"/>
    <n v="0"/>
    <x v="0"/>
    <m/>
    <n v="4"/>
    <s v="L1"/>
    <s v="V. Vivek"/>
    <x v="2"/>
    <s v="Work From Home"/>
    <n v="28"/>
    <x v="1"/>
    <n v="44211"/>
    <n v="42000000"/>
    <s v="₹2.5 Cr Monthly Sales"/>
    <n v="680000"/>
    <s v="High"/>
    <s v="Revenue Achievement"/>
    <n v="0.25"/>
    <n v="0.625"/>
    <n v="8"/>
    <s v="Working Day"/>
    <x v="0"/>
  </r>
  <r>
    <s v="ATD00045"/>
    <d v="2025-01-13T00:00:00"/>
    <x v="2"/>
    <s v="Q1"/>
    <s v="Monday"/>
    <s v="EMP011"/>
    <s v="Employee 11"/>
    <x v="3"/>
    <s v="Accountant"/>
    <s v="Coimbatore"/>
    <s v="Morning Shift"/>
    <d v="1899-12-30T09:00:00"/>
    <d v="1899-12-30T18:00:00"/>
    <n v="8"/>
    <n v="0"/>
    <x v="0"/>
    <m/>
    <n v="4"/>
    <s v="L1"/>
    <s v="M. Mahesh"/>
    <x v="2"/>
    <m/>
    <n v="33"/>
    <x v="1"/>
    <n v="44910"/>
    <n v="26000000"/>
    <s v="100% Payroll Accuracy"/>
    <n v="640000"/>
    <s v="High"/>
    <s v="Financial Compliance"/>
    <n v="0.25"/>
    <n v="0.625"/>
    <n v="8"/>
    <s v="Working Day"/>
    <x v="0"/>
  </r>
  <r>
    <s v="ATD00046"/>
    <d v="2025-03-20T00:00:00"/>
    <x v="4"/>
    <s v="Q1"/>
    <s v="Thursday"/>
    <s v="EMP033"/>
    <s v="Employee 33"/>
    <x v="1"/>
    <s v="Operations Executive"/>
    <s v="Bengaluru"/>
    <s v="Afternoon Shift"/>
    <m/>
    <m/>
    <m/>
    <m/>
    <x v="1"/>
    <s v="Earned Leave"/>
    <m/>
    <s v="L2"/>
    <s v="D. Dinesh"/>
    <x v="3"/>
    <m/>
    <n v="37"/>
    <x v="1"/>
    <n v="45214"/>
    <n v="34000000"/>
    <s v="95% Process Efficiency"/>
    <n v="610000"/>
    <s v="High"/>
    <s v="Operational Efficiency"/>
    <n v="0.58333333333333337"/>
    <n v="0.95833333333333337"/>
    <n v="8"/>
    <s v="Working Day"/>
    <x v="0"/>
  </r>
  <r>
    <s v="ATD00047"/>
    <d v="2025-02-25T00:00:00"/>
    <x v="5"/>
    <s v="Q1"/>
    <s v="Tuesday"/>
    <s v="EMP010"/>
    <s v="Employee 10"/>
    <x v="6"/>
    <s v="Sales Executive"/>
    <s v="Madurai"/>
    <s v="Flexible Shift"/>
    <m/>
    <m/>
    <m/>
    <m/>
    <x v="2"/>
    <m/>
    <m/>
    <s v="L2"/>
    <s v="V. Vivek"/>
    <x v="1"/>
    <s v="Work From Home"/>
    <n v="32"/>
    <x v="0"/>
    <n v="44515"/>
    <n v="42000000"/>
    <s v="₹2.5 Cr Monthly Sales"/>
    <n v="680000"/>
    <s v="High"/>
    <s v="Revenue Achievement"/>
    <n v="0.41666666666666669"/>
    <n v="0.79166666666666663"/>
    <n v="8"/>
    <s v="Working Day"/>
    <x v="0"/>
  </r>
  <r>
    <s v="ATD00048"/>
    <d v="2025-04-14T00:00:00"/>
    <x v="1"/>
    <s v="Q2"/>
    <s v="Monday"/>
    <s v="EMP024"/>
    <s v="Employee 24"/>
    <x v="6"/>
    <s v="Sales Executive"/>
    <s v="Hyderabad"/>
    <s v="Morning Shift"/>
    <d v="1899-12-30T09:20:00"/>
    <d v="1899-12-30T18:00:00"/>
    <n v="8"/>
    <n v="0"/>
    <x v="0"/>
    <m/>
    <m/>
    <s v="L3"/>
    <s v="V. Vivek"/>
    <x v="0"/>
    <s v="Late Login"/>
    <n v="28"/>
    <x v="1"/>
    <n v="44211"/>
    <n v="42000000"/>
    <s v="₹2.5 Cr Monthly Sales"/>
    <n v="680000"/>
    <s v="High"/>
    <s v="Revenue Achievement"/>
    <n v="0.25"/>
    <n v="0.625"/>
    <n v="8"/>
    <s v="Tamil New Year"/>
    <x v="2"/>
  </r>
  <r>
    <s v="ATD00049"/>
    <d v="2025-03-22T00:00:00"/>
    <x v="4"/>
    <s v="Q1"/>
    <s v="Saturday"/>
    <s v="EMP021"/>
    <s v="Employee 21"/>
    <x v="0"/>
    <s v="Support Executive"/>
    <s v="Coimbatore"/>
    <s v="Flexible Shift"/>
    <d v="1899-12-30T09:00:00"/>
    <m/>
    <n v="8"/>
    <n v="0"/>
    <x v="0"/>
    <m/>
    <n v="5"/>
    <s v="L4"/>
    <s v="V. Vinoth"/>
    <x v="2"/>
    <s v="Late Login"/>
    <n v="25"/>
    <x v="1"/>
    <n v="43388"/>
    <n v="24000000"/>
    <s v="90% Customer Satisfaction"/>
    <n v="520000"/>
    <s v="High"/>
    <s v="Customer Satisfaction"/>
    <n v="0.41666666666666669"/>
    <n v="0.79166666666666663"/>
    <n v="8"/>
    <s v="Working Day"/>
    <x v="0"/>
  </r>
  <r>
    <s v="ATD00050"/>
    <d v="2025-06-26T00:00:00"/>
    <x v="0"/>
    <s v="Q2"/>
    <s v="Thursday"/>
    <s v="EMP046"/>
    <s v="Employee 46"/>
    <x v="3"/>
    <s v="Accountant"/>
    <s v="Coimbatore"/>
    <s v="Morning Shift"/>
    <d v="1899-12-30T09:00:00"/>
    <d v="1899-12-30T18:00:00"/>
    <n v="8"/>
    <n v="0"/>
    <x v="0"/>
    <m/>
    <n v="4"/>
    <s v="L3"/>
    <s v="M. Mahesh"/>
    <x v="3"/>
    <s v="Work From Home"/>
    <n v="32"/>
    <x v="0"/>
    <n v="44880"/>
    <n v="26000000"/>
    <s v="100% Payroll Accuracy"/>
    <n v="640000"/>
    <s v="High"/>
    <s v="Financial Compliance"/>
    <n v="0.25"/>
    <n v="0.625"/>
    <n v="8"/>
    <s v="Working Day"/>
    <x v="0"/>
  </r>
  <r>
    <s v="ATD00051"/>
    <d v="2025-03-30T00:00:00"/>
    <x v="4"/>
    <s v="Q1"/>
    <s v="Sunday"/>
    <s v="EMP020"/>
    <s v="Employee 20"/>
    <x v="5"/>
    <s v="Marketing Executive"/>
    <s v="Madurai"/>
    <s v="Afternoon Shift"/>
    <m/>
    <m/>
    <m/>
    <m/>
    <x v="1"/>
    <s v="Casual Leave"/>
    <m/>
    <s v="L3"/>
    <s v="S. Swetha"/>
    <x v="3"/>
    <s v="Late Login"/>
    <n v="24"/>
    <x v="1"/>
    <n v="45550"/>
    <n v="22000000"/>
    <s v="2500 Qualified Leads"/>
    <n v="590000"/>
    <s v="Medium"/>
    <s v="Lead Generation"/>
    <n v="0.58333333333333337"/>
    <n v="0.95833333333333337"/>
    <n v="8"/>
    <s v="Working Day"/>
    <x v="0"/>
  </r>
  <r>
    <s v="ATD00052"/>
    <d v="2025-01-26T00:00:00"/>
    <x v="2"/>
    <s v="Q1"/>
    <s v="Sunday"/>
    <s v="EMP015"/>
    <s v="Employee 15"/>
    <x v="2"/>
    <s v="Software Engineer"/>
    <s v="Madurai"/>
    <s v="General Shift"/>
    <m/>
    <m/>
    <m/>
    <m/>
    <x v="1"/>
    <s v="Casual Leave"/>
    <m/>
    <s v="L1"/>
    <s v="R. Karthikeyan"/>
    <x v="3"/>
    <m/>
    <n v="37"/>
    <x v="1"/>
    <n v="43570"/>
    <n v="85000000"/>
    <s v="99.5% System Uptime"/>
    <n v="720000"/>
    <s v="High"/>
    <s v="Project Delivery"/>
    <n v="0.375"/>
    <n v="0.75"/>
    <n v="8"/>
    <s v="Republic Day"/>
    <x v="1"/>
  </r>
  <r>
    <s v="ATD00053"/>
    <d v="2025-01-24T00:00:00"/>
    <x v="2"/>
    <s v="Q1"/>
    <s v="Friday"/>
    <s v="EMP021"/>
    <s v="Employee 21"/>
    <x v="0"/>
    <s v="Support Executive"/>
    <s v="Coimbatore"/>
    <s v="Morning Shift"/>
    <d v="1899-12-30T09:00:00"/>
    <d v="1899-12-30T18:00:00"/>
    <n v="8"/>
    <n v="0"/>
    <x v="0"/>
    <m/>
    <n v="3"/>
    <s v="L3"/>
    <s v="V. Vinoth"/>
    <x v="3"/>
    <s v="Client Visit"/>
    <n v="25"/>
    <x v="1"/>
    <n v="43388"/>
    <n v="24000000"/>
    <s v="90% Customer Satisfaction"/>
    <n v="520000"/>
    <s v="High"/>
    <s v="Customer Satisfaction"/>
    <n v="0.25"/>
    <n v="0.625"/>
    <n v="8"/>
    <s v="Working Day"/>
    <x v="0"/>
  </r>
  <r>
    <s v="ATD00054"/>
    <d v="2025-03-01T00:00:00"/>
    <x v="4"/>
    <s v="Q1"/>
    <s v="Saturday"/>
    <s v="EMP049"/>
    <s v="Employee 49"/>
    <x v="0"/>
    <s v="Support Executive"/>
    <s v="Hyderabad"/>
    <s v="Afternoon Shift"/>
    <m/>
    <m/>
    <m/>
    <m/>
    <x v="1"/>
    <s v="Casual Leave"/>
    <m/>
    <s v="L4"/>
    <s v="V. Vinoth"/>
    <x v="0"/>
    <m/>
    <n v="35"/>
    <x v="1"/>
    <n v="43146"/>
    <n v="24000000"/>
    <s v="90% Customer Satisfaction"/>
    <n v="520000"/>
    <s v="High"/>
    <s v="Customer Satisfaction"/>
    <n v="0.58333333333333337"/>
    <n v="0.95833333333333337"/>
    <n v="8"/>
    <s v="Working Day"/>
    <x v="0"/>
  </r>
  <r>
    <s v="ATD00055"/>
    <d v="2025-05-27T00:00:00"/>
    <x v="3"/>
    <s v="Q2"/>
    <s v="Tuesday"/>
    <s v="EMP031"/>
    <s v="Employee 31"/>
    <x v="6"/>
    <s v="Sales Executive"/>
    <s v="Coimbatore"/>
    <s v="Night Shift"/>
    <d v="1899-12-30T09:10:00"/>
    <d v="1899-12-30T07:00:00"/>
    <n v="9.5"/>
    <n v="1.5"/>
    <x v="0"/>
    <m/>
    <n v="3"/>
    <s v="L4"/>
    <s v="V. Vivek"/>
    <x v="2"/>
    <s v="Work From Home"/>
    <n v="35"/>
    <x v="1"/>
    <n v="44423"/>
    <n v="42000000"/>
    <s v="₹2.5 Cr Monthly Sales"/>
    <n v="680000"/>
    <s v="High"/>
    <s v="Revenue Achievement"/>
    <n v="0.91666666666666663"/>
    <n v="0.29166666666666669"/>
    <n v="8"/>
    <s v="Working Day"/>
    <x v="0"/>
  </r>
  <r>
    <s v="ATD00056"/>
    <d v="2025-03-21T00:00:00"/>
    <x v="4"/>
    <s v="Q1"/>
    <s v="Friday"/>
    <s v="EMP002"/>
    <s v="Employee 2"/>
    <x v="4"/>
    <s v="HR Executive"/>
    <s v="Chennai"/>
    <s v="Morning Shift"/>
    <d v="1899-12-30T09:00:00"/>
    <d v="1899-12-30T18:00:00"/>
    <n v="8"/>
    <n v="0"/>
    <x v="0"/>
    <m/>
    <n v="4"/>
    <s v="L2"/>
    <s v="P. Priya"/>
    <x v="1"/>
    <s v="Client Visit"/>
    <n v="24"/>
    <x v="0"/>
    <n v="43905"/>
    <n v="18000000"/>
    <s v="&lt;30 Days Hiring Cycle"/>
    <n v="560000"/>
    <s v="Medium"/>
    <s v="Hiring &amp; Retention"/>
    <n v="0.25"/>
    <n v="0.625"/>
    <n v="8"/>
    <s v="Working Day"/>
    <x v="0"/>
  </r>
  <r>
    <s v="ATD00057"/>
    <d v="2025-01-01T00:00:00"/>
    <x v="2"/>
    <s v="Q1"/>
    <s v="Wednesday"/>
    <s v="EMP029"/>
    <s v="Employee 29"/>
    <x v="2"/>
    <s v="Software Engineer"/>
    <s v="Hyderabad"/>
    <s v="Night Shift"/>
    <d v="1899-12-30T22:00:00"/>
    <d v="1899-12-30T07:00:00"/>
    <n v="10"/>
    <n v="2"/>
    <x v="0"/>
    <m/>
    <n v="5"/>
    <s v="L4"/>
    <s v="R. Karthikeyan"/>
    <x v="1"/>
    <m/>
    <n v="33"/>
    <x v="1"/>
    <n v="43631"/>
    <n v="85000000"/>
    <s v="99.5% System Uptime"/>
    <n v="720000"/>
    <s v="High"/>
    <s v="Project Delivery"/>
    <n v="0.91666666666666663"/>
    <n v="0.29166666666666669"/>
    <n v="8"/>
    <s v="New Year's Day"/>
    <x v="1"/>
  </r>
  <r>
    <s v="ATD00058"/>
    <d v="2025-04-20T00:00:00"/>
    <x v="1"/>
    <s v="Q2"/>
    <s v="Sunday"/>
    <s v="EMP046"/>
    <s v="Employee 46"/>
    <x v="3"/>
    <s v="Accountant"/>
    <s v="Coimbatore"/>
    <s v="Morning Shift"/>
    <d v="1899-12-30T09:00:00"/>
    <d v="1899-12-30T18:00:00"/>
    <n v="8"/>
    <n v="0"/>
    <x v="0"/>
    <m/>
    <n v="4"/>
    <s v="L1"/>
    <s v="M. Mahesh"/>
    <x v="2"/>
    <m/>
    <n v="32"/>
    <x v="0"/>
    <n v="44880"/>
    <n v="26000000"/>
    <s v="100% Payroll Accuracy"/>
    <n v="640000"/>
    <s v="High"/>
    <s v="Financial Compliance"/>
    <n v="0.25"/>
    <n v="0.625"/>
    <n v="8"/>
    <s v="Working Day"/>
    <x v="0"/>
  </r>
  <r>
    <s v="ATD00059"/>
    <d v="2025-03-16T00:00:00"/>
    <x v="4"/>
    <s v="Q1"/>
    <s v="Sunday"/>
    <s v="EMP022"/>
    <s v="Employee 22"/>
    <x v="2"/>
    <s v="Software Engineer"/>
    <s v="Chennai"/>
    <s v="Flexible Shift"/>
    <d v="1899-12-30T09:00:00"/>
    <d v="1899-12-30T18:00:00"/>
    <n v="8.5"/>
    <n v="0.5"/>
    <x v="0"/>
    <m/>
    <n v="5"/>
    <s v="L2"/>
    <s v="R. Karthikeyan"/>
    <x v="2"/>
    <m/>
    <n v="26"/>
    <x v="0"/>
    <n v="43784"/>
    <n v="85000000"/>
    <s v="99.5% System Uptime"/>
    <n v="720000"/>
    <s v="High"/>
    <s v="Project Delivery"/>
    <n v="0.41666666666666669"/>
    <n v="0.79166666666666663"/>
    <n v="8"/>
    <s v="Working Day"/>
    <x v="0"/>
  </r>
  <r>
    <s v="ATD00060"/>
    <d v="2025-04-20T00:00:00"/>
    <x v="1"/>
    <s v="Q2"/>
    <s v="Sunday"/>
    <s v="EMP029"/>
    <s v="Employee 29"/>
    <x v="2"/>
    <s v="Software Engineer"/>
    <s v="Hyderabad"/>
    <s v="Morning Shift"/>
    <d v="1899-12-30T09:00:00"/>
    <d v="1899-12-30T18:00:00"/>
    <n v="10"/>
    <n v="2"/>
    <x v="0"/>
    <m/>
    <n v="4"/>
    <s v="L4"/>
    <s v="R. Karthikeyan"/>
    <x v="3"/>
    <m/>
    <n v="33"/>
    <x v="1"/>
    <n v="43631"/>
    <n v="85000000"/>
    <s v="99.5% System Uptime"/>
    <n v="720000"/>
    <s v="High"/>
    <s v="Project Delivery"/>
    <n v="0.25"/>
    <n v="0.625"/>
    <n v="8"/>
    <s v="Working Day"/>
    <x v="0"/>
  </r>
  <r>
    <s v="ATD00061"/>
    <d v="2025-06-13T00:00:00"/>
    <x v="0"/>
    <s v="Q2"/>
    <s v="Friday"/>
    <s v="EMP039"/>
    <s v="Employee 39"/>
    <x v="3"/>
    <s v="Accountant"/>
    <s v="Hyderabad"/>
    <s v="Afternoon Shift"/>
    <d v="1899-12-30T09:00:00"/>
    <d v="1899-12-30T18:00:00"/>
    <n v="8"/>
    <n v="0"/>
    <x v="0"/>
    <m/>
    <m/>
    <s v="L4"/>
    <s v="M. Mahesh"/>
    <x v="3"/>
    <m/>
    <n v="25"/>
    <x v="0"/>
    <n v="44666"/>
    <n v="26000000"/>
    <s v="100% Payroll Accuracy"/>
    <n v="640000"/>
    <s v="High"/>
    <s v="Financial Compliance"/>
    <n v="0.58333333333333337"/>
    <n v="0.95833333333333337"/>
    <n v="8"/>
    <s v="Working Day"/>
    <x v="0"/>
  </r>
  <r>
    <s v="ATD00062"/>
    <d v="2025-02-02T00:00:00"/>
    <x v="5"/>
    <s v="Q1"/>
    <s v="Sunday"/>
    <s v="EMP047"/>
    <s v="Employee 47"/>
    <x v="1"/>
    <s v="Operations Executive"/>
    <s v="Chennai"/>
    <s v="Night Shift"/>
    <d v="1899-12-30T22:00:00"/>
    <d v="1899-12-30T07:00:00"/>
    <n v="8.5"/>
    <n v="0.5"/>
    <x v="0"/>
    <m/>
    <m/>
    <s v="L2"/>
    <s v="D. Dinesh"/>
    <x v="0"/>
    <s v="Late Login"/>
    <n v="33"/>
    <x v="1"/>
    <n v="45275"/>
    <n v="34000000"/>
    <s v="95% Process Efficiency"/>
    <n v="610000"/>
    <s v="High"/>
    <s v="Operational Efficiency"/>
    <n v="0.91666666666666663"/>
    <n v="0.29166666666666669"/>
    <n v="8"/>
    <s v="Working Day"/>
    <x v="0"/>
  </r>
  <r>
    <s v="ATD00063"/>
    <d v="2025-06-08T00:00:00"/>
    <x v="0"/>
    <s v="Q2"/>
    <s v="Sunday"/>
    <s v="EMP004"/>
    <s v="Employee 4"/>
    <x v="3"/>
    <s v="Accountant"/>
    <s v="Hyderabad"/>
    <s v="General Shift"/>
    <m/>
    <d v="1899-12-30T18:00:00"/>
    <n v="8"/>
    <n v="0"/>
    <x v="0"/>
    <m/>
    <n v="4"/>
    <s v="L4"/>
    <s v="M. Mahesh"/>
    <x v="1"/>
    <s v="Late Login"/>
    <n v="26"/>
    <x v="0"/>
    <n v="44696"/>
    <n v="26000000"/>
    <s v="100% Payroll Accuracy"/>
    <n v="640000"/>
    <s v="High"/>
    <s v="Financial Compliance"/>
    <n v="0.375"/>
    <n v="0.75"/>
    <n v="8"/>
    <s v="Working Day"/>
    <x v="0"/>
  </r>
  <r>
    <s v="ATD00064"/>
    <d v="2025-01-19T00:00:00"/>
    <x v="2"/>
    <s v="Q1"/>
    <s v="Sunday"/>
    <s v="EMP018"/>
    <s v="Employee 18"/>
    <x v="3"/>
    <s v="Accountant"/>
    <s v="Bengaluru"/>
    <s v="Afternoon Shift"/>
    <d v="1899-12-30T09:00:00"/>
    <d v="1899-12-30T18:00:00"/>
    <n v="8"/>
    <n v="0"/>
    <x v="0"/>
    <m/>
    <n v="3"/>
    <s v="L4"/>
    <s v="M. Mahesh"/>
    <x v="2"/>
    <m/>
    <n v="22"/>
    <x v="1"/>
    <n v="44757"/>
    <n v="26000000"/>
    <s v="100% Payroll Accuracy"/>
    <n v="640000"/>
    <s v="High"/>
    <s v="Financial Compliance"/>
    <n v="0.58333333333333337"/>
    <n v="0.95833333333333337"/>
    <n v="8"/>
    <s v="Working Day"/>
    <x v="0"/>
  </r>
  <r>
    <s v="ATD00065"/>
    <d v="2025-02-02T00:00:00"/>
    <x v="5"/>
    <s v="Q1"/>
    <s v="Sunday"/>
    <s v="EMP016"/>
    <s v="Employee 16"/>
    <x v="4"/>
    <s v="HR Executive"/>
    <s v="Coimbatore"/>
    <s v="General Shift"/>
    <d v="1899-12-30T09:00:00"/>
    <d v="1899-12-30T18:00:00"/>
    <n v="8"/>
    <n v="0"/>
    <x v="0"/>
    <m/>
    <n v="4"/>
    <s v="L2"/>
    <s v="P. Priya"/>
    <x v="3"/>
    <s v="Work From Home"/>
    <n v="38"/>
    <x v="0"/>
    <n v="43966"/>
    <n v="18000000"/>
    <s v="&lt;30 Days Hiring Cycle"/>
    <n v="560000"/>
    <s v="Medium"/>
    <s v="Hiring &amp; Retention"/>
    <n v="0.375"/>
    <n v="0.75"/>
    <n v="8"/>
    <s v="Working Day"/>
    <x v="0"/>
  </r>
  <r>
    <s v="ATD00066"/>
    <d v="2025-04-14T00:00:00"/>
    <x v="1"/>
    <s v="Q2"/>
    <s v="Monday"/>
    <s v="EMP008"/>
    <s v="Employee 8"/>
    <x v="2"/>
    <s v="Software Engineer"/>
    <s v="Bengaluru"/>
    <s v="General Shift"/>
    <d v="1899-12-30T09:00:00"/>
    <d v="1899-12-30T18:00:00"/>
    <n v="10"/>
    <n v="2"/>
    <x v="0"/>
    <m/>
    <n v="5"/>
    <s v="L1"/>
    <s v="R. Karthikeyan"/>
    <x v="0"/>
    <s v="Work From Home"/>
    <n v="30"/>
    <x v="0"/>
    <n v="43723"/>
    <n v="85000000"/>
    <s v="99.5% System Uptime"/>
    <n v="720000"/>
    <s v="High"/>
    <s v="Project Delivery"/>
    <n v="0.375"/>
    <n v="0.75"/>
    <n v="8"/>
    <s v="Tamil New Year"/>
    <x v="2"/>
  </r>
  <r>
    <s v="ATD00067"/>
    <d v="2025-01-22T00:00:00"/>
    <x v="2"/>
    <s v="Q1"/>
    <s v="Wednesday"/>
    <s v="EMP038"/>
    <s v="Employee 38"/>
    <x v="6"/>
    <s v="Sales Executive"/>
    <s v="Bengaluru"/>
    <s v="Morning Shift"/>
    <m/>
    <m/>
    <m/>
    <m/>
    <x v="1"/>
    <s v="Sick Leave"/>
    <m/>
    <s v="L1"/>
    <s v="V. Vivek"/>
    <x v="2"/>
    <s v="Work From Home"/>
    <n v="24"/>
    <x v="1"/>
    <n v="44270"/>
    <n v="42000000"/>
    <s v="₹2.5 Cr Monthly Sales"/>
    <n v="680000"/>
    <s v="High"/>
    <s v="Revenue Achievement"/>
    <n v="0.25"/>
    <n v="0.625"/>
    <n v="8"/>
    <s v="Working Day"/>
    <x v="0"/>
  </r>
  <r>
    <s v="ATD00068"/>
    <d v="2025-02-01T00:00:00"/>
    <x v="5"/>
    <s v="Q1"/>
    <s v="Saturday"/>
    <s v="EMP031"/>
    <s v="Employee 31"/>
    <x v="6"/>
    <s v="Sales Executive"/>
    <s v="Coimbatore"/>
    <s v="Night Shift"/>
    <d v="1899-12-30T09:35:00"/>
    <d v="1899-12-30T07:00:00"/>
    <n v="9.5"/>
    <n v="1.5"/>
    <x v="0"/>
    <m/>
    <m/>
    <s v="L4"/>
    <s v="V. Vivek"/>
    <x v="3"/>
    <s v="Work From Home"/>
    <n v="35"/>
    <x v="1"/>
    <n v="44423"/>
    <n v="42000000"/>
    <s v="₹2.5 Cr Monthly Sales"/>
    <n v="680000"/>
    <s v="High"/>
    <s v="Revenue Achievement"/>
    <n v="0.91666666666666663"/>
    <n v="0.29166666666666669"/>
    <n v="8"/>
    <s v="Working Day"/>
    <x v="0"/>
  </r>
  <r>
    <s v="ATD00069"/>
    <d v="2025-02-21T00:00:00"/>
    <x v="5"/>
    <s v="Q1"/>
    <s v="Friday"/>
    <s v="EMP025"/>
    <s v="Employee 25"/>
    <x v="3"/>
    <s v="Accountant"/>
    <s v="Madurai"/>
    <s v="Morning Shift"/>
    <d v="1899-12-30T09:00:00"/>
    <d v="1899-12-30T18:00:00"/>
    <n v="8"/>
    <n v="0"/>
    <x v="0"/>
    <m/>
    <n v="4"/>
    <s v="L4"/>
    <s v="M. Mahesh"/>
    <x v="1"/>
    <s v="Work From Home"/>
    <n v="29"/>
    <x v="0"/>
    <n v="44607"/>
    <n v="26000000"/>
    <s v="100% Payroll Accuracy"/>
    <n v="640000"/>
    <s v="High"/>
    <s v="Financial Compliance"/>
    <n v="0.25"/>
    <n v="0.625"/>
    <n v="8"/>
    <s v="Working Day"/>
    <x v="0"/>
  </r>
  <r>
    <s v="ATD00070"/>
    <d v="2025-03-30T00:00:00"/>
    <x v="4"/>
    <s v="Q1"/>
    <s v="Sunday"/>
    <s v="EMP027"/>
    <s v="Employee 27"/>
    <x v="5"/>
    <s v="Marketing Executive"/>
    <s v="Chennai"/>
    <s v="Night Shift"/>
    <d v="1899-12-30T22:00:00"/>
    <m/>
    <n v="10"/>
    <n v="2"/>
    <x v="0"/>
    <m/>
    <m/>
    <s v="L4"/>
    <s v="S. Swetha"/>
    <x v="3"/>
    <s v="Late Login"/>
    <n v="31"/>
    <x v="1"/>
    <n v="45397"/>
    <n v="22000000"/>
    <s v="2500 Qualified Leads"/>
    <n v="590000"/>
    <s v="Medium"/>
    <s v="Lead Generation"/>
    <n v="0.91666666666666663"/>
    <n v="0.29166666666666669"/>
    <n v="8"/>
    <s v="Working Day"/>
    <x v="0"/>
  </r>
  <r>
    <s v="ATD00071"/>
    <d v="2025-05-14T00:00:00"/>
    <x v="3"/>
    <s v="Q2"/>
    <s v="Wednesday"/>
    <s v="EMP015"/>
    <s v="Employee 15"/>
    <x v="2"/>
    <s v="Software Engineer"/>
    <s v="Madurai"/>
    <s v="Flexible Shift"/>
    <d v="1899-12-30T09:00:00"/>
    <d v="1899-12-30T18:00:00"/>
    <n v="8.5"/>
    <n v="0.5"/>
    <x v="0"/>
    <m/>
    <n v="3"/>
    <s v="L2"/>
    <s v="R. Karthikeyan"/>
    <x v="1"/>
    <s v="Client Visit"/>
    <n v="37"/>
    <x v="1"/>
    <n v="43570"/>
    <n v="85000000"/>
    <s v="99.5% System Uptime"/>
    <n v="720000"/>
    <s v="High"/>
    <s v="Project Delivery"/>
    <n v="0.41666666666666669"/>
    <n v="0.79166666666666663"/>
    <n v="8"/>
    <s v="Working Day"/>
    <x v="0"/>
  </r>
  <r>
    <s v="ATD00072"/>
    <d v="2025-05-08T00:00:00"/>
    <x v="3"/>
    <s v="Q2"/>
    <s v="Thursday"/>
    <s v="EMP045"/>
    <s v="Employee 45"/>
    <x v="6"/>
    <s v="Sales Executive"/>
    <s v="Madurai"/>
    <s v="Morning Shift"/>
    <d v="1899-12-30T09:35:00"/>
    <d v="1899-12-30T18:00:00"/>
    <n v="8"/>
    <n v="0"/>
    <x v="0"/>
    <m/>
    <n v="5"/>
    <s v="L1"/>
    <s v="V. Vivek"/>
    <x v="1"/>
    <s v="Client Visit"/>
    <n v="31"/>
    <x v="1"/>
    <n v="44484"/>
    <n v="42000000"/>
    <s v="₹2.5 Cr Monthly Sales"/>
    <n v="680000"/>
    <s v="High"/>
    <s v="Revenue Achievement"/>
    <n v="0.25"/>
    <n v="0.625"/>
    <n v="8"/>
    <s v="Working Day"/>
    <x v="0"/>
  </r>
  <r>
    <s v="ATD00073"/>
    <d v="2025-01-23T00:00:00"/>
    <x v="2"/>
    <s v="Q1"/>
    <s v="Thursday"/>
    <s v="EMP024"/>
    <s v="Employee 24"/>
    <x v="6"/>
    <s v="Sales Executive"/>
    <s v="Hyderabad"/>
    <s v="Morning Shift"/>
    <d v="1899-12-30T09:00:00"/>
    <d v="1899-12-30T18:00:00"/>
    <n v="8"/>
    <n v="0"/>
    <x v="0"/>
    <m/>
    <n v="3"/>
    <s v="L1"/>
    <s v="V. Vivek"/>
    <x v="1"/>
    <s v="Client Visit"/>
    <n v="28"/>
    <x v="1"/>
    <n v="44211"/>
    <n v="42000000"/>
    <s v="₹2.5 Cr Monthly Sales"/>
    <n v="680000"/>
    <s v="High"/>
    <s v="Revenue Achievement"/>
    <n v="0.25"/>
    <n v="0.625"/>
    <n v="8"/>
    <s v="Working Day"/>
    <x v="0"/>
  </r>
  <r>
    <s v="ATD00074"/>
    <d v="2025-03-30T00:00:00"/>
    <x v="4"/>
    <s v="Q1"/>
    <s v="Sunday"/>
    <s v="EMP002"/>
    <s v="Employee 2"/>
    <x v="4"/>
    <s v="HR Executive"/>
    <s v="Chennai"/>
    <s v="Morning Shift"/>
    <d v="1899-12-30T09:00:00"/>
    <d v="1899-12-30T18:00:00"/>
    <n v="8"/>
    <n v="0"/>
    <x v="0"/>
    <m/>
    <m/>
    <s v="L4"/>
    <s v="P. Priya"/>
    <x v="0"/>
    <m/>
    <n v="24"/>
    <x v="0"/>
    <n v="43905"/>
    <n v="18000000"/>
    <s v="&lt;30 Days Hiring Cycle"/>
    <n v="560000"/>
    <s v="Medium"/>
    <s v="Hiring &amp; Retention"/>
    <n v="0.25"/>
    <n v="0.625"/>
    <n v="8"/>
    <s v="Working Day"/>
    <x v="0"/>
  </r>
  <r>
    <s v="ATD00075"/>
    <d v="2025-04-27T00:00:00"/>
    <x v="1"/>
    <s v="Q2"/>
    <s v="Sunday"/>
    <s v="EMP045"/>
    <s v="Employee 45"/>
    <x v="6"/>
    <s v="Sales Executive"/>
    <s v="Madurai"/>
    <s v="Flexible Shift"/>
    <d v="1899-12-30T09:20:00"/>
    <d v="1899-12-30T18:00:00"/>
    <n v="8"/>
    <n v="0"/>
    <x v="0"/>
    <m/>
    <n v="4"/>
    <s v="L3"/>
    <s v="V. Vivek"/>
    <x v="3"/>
    <s v="Work From Home"/>
    <n v="31"/>
    <x v="1"/>
    <n v="44484"/>
    <n v="42000000"/>
    <s v="₹2.5 Cr Monthly Sales"/>
    <n v="680000"/>
    <s v="High"/>
    <s v="Revenue Achievement"/>
    <n v="0.41666666666666669"/>
    <n v="0.79166666666666663"/>
    <n v="8"/>
    <s v="Working Day"/>
    <x v="0"/>
  </r>
  <r>
    <s v="ATD00076"/>
    <d v="2025-05-09T00:00:00"/>
    <x v="3"/>
    <s v="Q2"/>
    <s v="Friday"/>
    <s v="EMP023"/>
    <s v="Employee 23"/>
    <x v="4"/>
    <s v="HR Executive"/>
    <s v="Bengaluru"/>
    <s v="Afternoon Shift"/>
    <d v="1899-12-30T09:00:00"/>
    <d v="1899-12-30T18:00:00"/>
    <n v="8"/>
    <n v="0"/>
    <x v="0"/>
    <m/>
    <n v="5"/>
    <s v="L1"/>
    <s v="P. Priya"/>
    <x v="1"/>
    <s v="Late Login"/>
    <n v="27"/>
    <x v="1"/>
    <n v="44180"/>
    <n v="18000000"/>
    <s v="&lt;30 Days Hiring Cycle"/>
    <n v="560000"/>
    <s v="Medium"/>
    <s v="Hiring &amp; Retention"/>
    <n v="0.58333333333333337"/>
    <n v="0.95833333333333337"/>
    <n v="8"/>
    <s v="Working Day"/>
    <x v="0"/>
  </r>
  <r>
    <s v="ATD00077"/>
    <d v="2025-01-16T00:00:00"/>
    <x v="2"/>
    <s v="Q1"/>
    <s v="Thursday"/>
    <s v="EMP026"/>
    <s v="Employee 26"/>
    <x v="1"/>
    <s v="Operations Executive"/>
    <s v="Coimbatore"/>
    <s v="General Shift"/>
    <d v="1899-12-30T09:00:00"/>
    <d v="1899-12-30T18:00:00"/>
    <n v="8"/>
    <n v="0"/>
    <x v="0"/>
    <m/>
    <m/>
    <s v="L2"/>
    <s v="D. Dinesh"/>
    <x v="1"/>
    <s v="Work From Home"/>
    <n v="30"/>
    <x v="0"/>
    <n v="45000"/>
    <n v="34000000"/>
    <s v="95% Process Efficiency"/>
    <n v="610000"/>
    <s v="High"/>
    <s v="Operational Efficiency"/>
    <n v="0.375"/>
    <n v="0.75"/>
    <n v="8"/>
    <s v="Working Day"/>
    <x v="0"/>
  </r>
  <r>
    <s v="ATD00078"/>
    <d v="2025-01-09T00:00:00"/>
    <x v="2"/>
    <s v="Q1"/>
    <s v="Thursday"/>
    <s v="EMP044"/>
    <s v="Employee 44"/>
    <x v="4"/>
    <s v="HR Executive"/>
    <s v="Hyderabad"/>
    <s v="General Shift"/>
    <d v="1899-12-30T09:00:00"/>
    <d v="1899-12-30T18:00:00"/>
    <n v="8"/>
    <n v="0"/>
    <x v="0"/>
    <m/>
    <n v="4"/>
    <s v="L4"/>
    <s v="P. Priya"/>
    <x v="1"/>
    <m/>
    <n v="30"/>
    <x v="0"/>
    <n v="44089"/>
    <n v="18000000"/>
    <s v="&lt;30 Days Hiring Cycle"/>
    <n v="560000"/>
    <s v="Medium"/>
    <s v="Hiring &amp; Retention"/>
    <n v="0.375"/>
    <n v="0.75"/>
    <n v="8"/>
    <s v="Working Day"/>
    <x v="0"/>
  </r>
  <r>
    <s v="ATD00079"/>
    <d v="2025-05-25T00:00:00"/>
    <x v="3"/>
    <s v="Q2"/>
    <s v="Sunday"/>
    <s v="EMP030"/>
    <s v="Employee 30"/>
    <x v="4"/>
    <s v="HR Executive"/>
    <s v="Madurai"/>
    <s v="Afternoon Shift"/>
    <d v="1899-12-30T09:00:00"/>
    <d v="1899-12-30T18:00:00"/>
    <n v="8"/>
    <n v="0"/>
    <x v="0"/>
    <m/>
    <n v="4"/>
    <s v="L1"/>
    <s v="P. Priya"/>
    <x v="2"/>
    <s v="Late Login"/>
    <n v="34"/>
    <x v="0"/>
    <n v="44027"/>
    <n v="18000000"/>
    <s v="&lt;30 Days Hiring Cycle"/>
    <n v="560000"/>
    <s v="Medium"/>
    <s v="Hiring &amp; Retention"/>
    <n v="0.58333333333333337"/>
    <n v="0.95833333333333337"/>
    <n v="8"/>
    <s v="Working Day"/>
    <x v="0"/>
  </r>
  <r>
    <s v="ATD00080"/>
    <d v="2025-02-01T00:00:00"/>
    <x v="5"/>
    <s v="Q1"/>
    <s v="Saturday"/>
    <s v="EMP036"/>
    <s v="Employee 36"/>
    <x v="2"/>
    <s v="Software Engineer"/>
    <s v="Coimbatore"/>
    <s v="Night Shift"/>
    <d v="1899-12-30T22:00:00"/>
    <d v="1899-12-30T07:00:00"/>
    <n v="9"/>
    <n v="1"/>
    <x v="0"/>
    <m/>
    <n v="4"/>
    <s v="L3"/>
    <s v="R. Karthikeyan"/>
    <x v="1"/>
    <m/>
    <n v="22"/>
    <x v="1"/>
    <n v="43480"/>
    <n v="85000000"/>
    <s v="99.5% System Uptime"/>
    <n v="720000"/>
    <s v="High"/>
    <s v="Project Delivery"/>
    <n v="0.91666666666666663"/>
    <n v="0.29166666666666669"/>
    <n v="8"/>
    <s v="Working Day"/>
    <x v="0"/>
  </r>
  <r>
    <s v="ATD00081"/>
    <d v="2025-05-02T00:00:00"/>
    <x v="3"/>
    <s v="Q2"/>
    <s v="Friday"/>
    <s v="EMP042"/>
    <s v="Employee 42"/>
    <x v="0"/>
    <s v="Support Executive"/>
    <s v="Chennai"/>
    <s v="Morning Shift"/>
    <d v="1899-12-30T09:00:00"/>
    <d v="1899-12-30T18:00:00"/>
    <n v="8"/>
    <n v="0"/>
    <x v="0"/>
    <m/>
    <n v="4"/>
    <s v="L3"/>
    <s v="V. Vinoth"/>
    <x v="1"/>
    <s v="Client Visit"/>
    <n v="28"/>
    <x v="0"/>
    <n v="43296"/>
    <n v="24000000"/>
    <s v="90% Customer Satisfaction"/>
    <n v="520000"/>
    <s v="High"/>
    <s v="Customer Satisfaction"/>
    <n v="0.25"/>
    <n v="0.625"/>
    <n v="8"/>
    <s v="Working Day"/>
    <x v="0"/>
  </r>
  <r>
    <s v="ATD00082"/>
    <d v="2025-04-25T00:00:00"/>
    <x v="1"/>
    <s v="Q2"/>
    <s v="Friday"/>
    <s v="EMP033"/>
    <s v="Employee 33"/>
    <x v="1"/>
    <s v="Operations Executive"/>
    <s v="Bengaluru"/>
    <s v="Afternoon Shift"/>
    <d v="1899-12-30T09:00:00"/>
    <d v="1899-12-30T18:00:00"/>
    <n v="8"/>
    <n v="0"/>
    <x v="0"/>
    <m/>
    <n v="4"/>
    <s v="L1"/>
    <s v="D. Dinesh"/>
    <x v="3"/>
    <s v="Client Visit"/>
    <n v="37"/>
    <x v="1"/>
    <n v="45214"/>
    <n v="34000000"/>
    <s v="95% Process Efficiency"/>
    <n v="610000"/>
    <s v="High"/>
    <s v="Operational Efficiency"/>
    <n v="0.58333333333333337"/>
    <n v="0.95833333333333337"/>
    <n v="8"/>
    <s v="Working Day"/>
    <x v="0"/>
  </r>
  <r>
    <s v="ATD00083"/>
    <d v="2025-06-02T00:00:00"/>
    <x v="0"/>
    <s v="Q2"/>
    <s v="Monday"/>
    <s v="EMP012"/>
    <s v="Employee 12"/>
    <x v="1"/>
    <s v="Operations Executive"/>
    <s v="Chennai"/>
    <s v="Morning Shift"/>
    <d v="1899-12-30T09:00:00"/>
    <d v="1899-12-30T18:00:00"/>
    <n v="8"/>
    <n v="0"/>
    <x v="0"/>
    <m/>
    <m/>
    <s v="L4"/>
    <s v="D. Dinesh"/>
    <x v="1"/>
    <m/>
    <n v="34"/>
    <x v="0"/>
    <n v="44941"/>
    <n v="34000000"/>
    <s v="95% Process Efficiency"/>
    <n v="610000"/>
    <s v="High"/>
    <s v="Operational Efficiency"/>
    <n v="0.25"/>
    <n v="0.625"/>
    <n v="8"/>
    <s v="Working Day"/>
    <x v="0"/>
  </r>
  <r>
    <s v="ATD00084"/>
    <d v="2025-06-10T00:00:00"/>
    <x v="0"/>
    <s v="Q2"/>
    <s v="Tuesday"/>
    <s v="EMP019"/>
    <s v="Employee 19"/>
    <x v="1"/>
    <s v="Operations Executive"/>
    <s v="Hyderabad"/>
    <s v="Flexible Shift"/>
    <d v="1899-12-30T09:00:00"/>
    <d v="1899-12-30T18:00:00"/>
    <n v="8"/>
    <n v="0"/>
    <x v="0"/>
    <m/>
    <n v="5"/>
    <s v="L3"/>
    <s v="D. Dinesh"/>
    <x v="0"/>
    <s v="Work From Home"/>
    <n v="23"/>
    <x v="0"/>
    <n v="45153"/>
    <n v="34000000"/>
    <s v="95% Process Efficiency"/>
    <n v="610000"/>
    <s v="High"/>
    <s v="Operational Efficiency"/>
    <n v="0.41666666666666669"/>
    <n v="0.79166666666666663"/>
    <n v="8"/>
    <s v="Working Day"/>
    <x v="0"/>
  </r>
  <r>
    <s v="ATD00085"/>
    <d v="2025-05-19T00:00:00"/>
    <x v="3"/>
    <s v="Q2"/>
    <s v="Monday"/>
    <s v="EMP033"/>
    <s v="Employee 33"/>
    <x v="1"/>
    <s v="Operations Executive"/>
    <s v="Bengaluru"/>
    <s v="Flexible Shift"/>
    <m/>
    <m/>
    <m/>
    <m/>
    <x v="2"/>
    <m/>
    <m/>
    <s v="L4"/>
    <s v="D. Dinesh"/>
    <x v="3"/>
    <s v="Client Visit"/>
    <n v="37"/>
    <x v="1"/>
    <n v="45214"/>
    <n v="34000000"/>
    <s v="95% Process Efficiency"/>
    <n v="610000"/>
    <s v="High"/>
    <s v="Operational Efficiency"/>
    <n v="0.41666666666666669"/>
    <n v="0.79166666666666663"/>
    <n v="8"/>
    <s v="Working Day"/>
    <x v="0"/>
  </r>
  <r>
    <s v="ATD00086"/>
    <d v="2025-01-31T00:00:00"/>
    <x v="2"/>
    <s v="Q1"/>
    <s v="Friday"/>
    <s v="EMP018"/>
    <s v="Employee 18"/>
    <x v="3"/>
    <s v="Accountant"/>
    <s v="Bengaluru"/>
    <s v="General Shift"/>
    <d v="1899-12-30T09:00:00"/>
    <d v="1899-12-30T18:00:00"/>
    <n v="8"/>
    <n v="0"/>
    <x v="0"/>
    <m/>
    <m/>
    <s v="L4"/>
    <s v="M. Mahesh"/>
    <x v="3"/>
    <m/>
    <n v="22"/>
    <x v="1"/>
    <n v="44757"/>
    <n v="26000000"/>
    <s v="100% Payroll Accuracy"/>
    <n v="640000"/>
    <s v="High"/>
    <s v="Financial Compliance"/>
    <n v="0.375"/>
    <n v="0.75"/>
    <n v="8"/>
    <s v="Working Day"/>
    <x v="0"/>
  </r>
  <r>
    <s v="ATD00087"/>
    <d v="2025-06-07T00:00:00"/>
    <x v="0"/>
    <s v="Q2"/>
    <s v="Saturday"/>
    <s v="EMP001"/>
    <s v="Employee 1"/>
    <x v="2"/>
    <s v="Software Engineer"/>
    <s v="Coimbatore"/>
    <s v="Morning Shift"/>
    <d v="1899-12-30T09:00:00"/>
    <d v="1899-12-30T18:00:00"/>
    <n v="9.5"/>
    <n v="1.5"/>
    <x v="0"/>
    <m/>
    <n v="4"/>
    <s v="L3"/>
    <s v="R. Karthikeyan"/>
    <x v="1"/>
    <m/>
    <n v="23"/>
    <x v="1"/>
    <n v="43511"/>
    <n v="85000000"/>
    <s v="99.5% System Uptime"/>
    <n v="720000"/>
    <s v="High"/>
    <s v="Project Delivery"/>
    <n v="0.25"/>
    <n v="0.625"/>
    <n v="8"/>
    <s v="Bakrid"/>
    <x v="3"/>
  </r>
  <r>
    <s v="ATD00088"/>
    <d v="2025-05-15T00:00:00"/>
    <x v="3"/>
    <s v="Q2"/>
    <s v="Thursday"/>
    <s v="EMP016"/>
    <s v="Employee 16"/>
    <x v="4"/>
    <s v="HR Executive"/>
    <s v="Coimbatore"/>
    <s v="Morning Shift"/>
    <d v="1899-12-30T09:00:00"/>
    <d v="1899-12-30T18:00:00"/>
    <n v="8"/>
    <n v="0"/>
    <x v="0"/>
    <m/>
    <n v="4"/>
    <s v="L3"/>
    <s v="P. Priya"/>
    <x v="3"/>
    <s v="Client Visit"/>
    <n v="38"/>
    <x v="0"/>
    <n v="43966"/>
    <n v="18000000"/>
    <s v="&lt;30 Days Hiring Cycle"/>
    <n v="560000"/>
    <s v="Medium"/>
    <s v="Hiring &amp; Retention"/>
    <n v="0.25"/>
    <n v="0.625"/>
    <n v="8"/>
    <s v="Working Day"/>
    <x v="0"/>
  </r>
  <r>
    <s v="ATD00089"/>
    <d v="2025-02-22T00:00:00"/>
    <x v="5"/>
    <s v="Q1"/>
    <s v="Saturday"/>
    <s v="EMP017"/>
    <s v="Employee 17"/>
    <x v="6"/>
    <s v="Sales Executive"/>
    <s v="Chennai"/>
    <s v="Night Shift"/>
    <d v="1899-12-30T09:00:00"/>
    <d v="1899-12-30T07:00:00"/>
    <n v="10"/>
    <n v="2"/>
    <x v="0"/>
    <m/>
    <n v="5"/>
    <s v="L3"/>
    <s v="V. Vivek"/>
    <x v="1"/>
    <s v="Late Login"/>
    <n v="39"/>
    <x v="1"/>
    <n v="44362"/>
    <n v="42000000"/>
    <s v="₹2.5 Cr Monthly Sales"/>
    <n v="680000"/>
    <s v="High"/>
    <s v="Revenue Achievement"/>
    <n v="0.91666666666666663"/>
    <n v="0.29166666666666669"/>
    <n v="8"/>
    <s v="Working Day"/>
    <x v="0"/>
  </r>
  <r>
    <s v="ATD00090"/>
    <d v="2025-06-13T00:00:00"/>
    <x v="0"/>
    <s v="Q2"/>
    <s v="Friday"/>
    <s v="EMP003"/>
    <s v="Employee 3"/>
    <x v="6"/>
    <s v="Sales Executive"/>
    <s v="Bengaluru"/>
    <s v="Flexible Shift"/>
    <d v="1899-12-30T09:35:00"/>
    <d v="1899-12-30T18:00:00"/>
    <n v="8"/>
    <n v="0"/>
    <x v="0"/>
    <m/>
    <n v="4"/>
    <s v="L4"/>
    <s v="V. Vivek"/>
    <x v="1"/>
    <s v="Late Login"/>
    <n v="25"/>
    <x v="1"/>
    <n v="44301"/>
    <n v="42000000"/>
    <s v="₹2.5 Cr Monthly Sales"/>
    <n v="680000"/>
    <s v="High"/>
    <s v="Revenue Achievement"/>
    <n v="0.41666666666666669"/>
    <n v="0.79166666666666663"/>
    <n v="8"/>
    <s v="Working Day"/>
    <x v="0"/>
  </r>
  <r>
    <s v="ATD00091"/>
    <d v="2025-02-13T00:00:00"/>
    <x v="5"/>
    <s v="Q1"/>
    <s v="Thursday"/>
    <s v="EMP041"/>
    <s v="Employee 41"/>
    <x v="5"/>
    <s v="Marketing Executive"/>
    <s v="Coimbatore"/>
    <s v="Night Shift"/>
    <d v="1899-12-30T22:00:00"/>
    <d v="1899-12-30T07:00:00"/>
    <n v="9"/>
    <n v="1"/>
    <x v="0"/>
    <m/>
    <m/>
    <s v="L2"/>
    <s v="S. Swetha"/>
    <x v="2"/>
    <s v="Work From Home"/>
    <n v="27"/>
    <x v="1"/>
    <n v="45458"/>
    <n v="22000000"/>
    <s v="2500 Qualified Leads"/>
    <n v="590000"/>
    <s v="Medium"/>
    <s v="Lead Generation"/>
    <n v="0.91666666666666663"/>
    <n v="0.29166666666666669"/>
    <n v="8"/>
    <s v="Working Day"/>
    <x v="0"/>
  </r>
  <r>
    <s v="ATD00092"/>
    <d v="2025-02-02T00:00:00"/>
    <x v="5"/>
    <s v="Q1"/>
    <s v="Sunday"/>
    <s v="EMP010"/>
    <s v="Employee 10"/>
    <x v="6"/>
    <s v="Sales Executive"/>
    <s v="Madurai"/>
    <s v="Morning Shift"/>
    <d v="1899-12-30T09:00:00"/>
    <d v="1899-12-30T18:00:00"/>
    <n v="8"/>
    <n v="0"/>
    <x v="0"/>
    <m/>
    <n v="4"/>
    <s v="L4"/>
    <s v="V. Vivek"/>
    <x v="2"/>
    <s v="Work From Home"/>
    <n v="32"/>
    <x v="0"/>
    <n v="44515"/>
    <n v="42000000"/>
    <s v="₹2.5 Cr Monthly Sales"/>
    <n v="680000"/>
    <s v="High"/>
    <s v="Revenue Achievement"/>
    <n v="0.25"/>
    <n v="0.625"/>
    <n v="8"/>
    <s v="Working Day"/>
    <x v="0"/>
  </r>
  <r>
    <s v="ATD00093"/>
    <d v="2025-02-01T00:00:00"/>
    <x v="5"/>
    <s v="Q1"/>
    <s v="Saturday"/>
    <s v="EMP044"/>
    <s v="Employee 44"/>
    <x v="4"/>
    <s v="HR Executive"/>
    <s v="Hyderabad"/>
    <s v="Afternoon Shift"/>
    <d v="1899-12-30T09:00:00"/>
    <d v="1899-12-30T18:00:00"/>
    <n v="8"/>
    <n v="0"/>
    <x v="0"/>
    <m/>
    <n v="4"/>
    <s v="L1"/>
    <s v="P. Priya"/>
    <x v="0"/>
    <s v="Late Login"/>
    <n v="30"/>
    <x v="0"/>
    <n v="44089"/>
    <n v="18000000"/>
    <s v="&lt;30 Days Hiring Cycle"/>
    <n v="560000"/>
    <s v="Medium"/>
    <s v="Hiring &amp; Retention"/>
    <n v="0.58333333333333337"/>
    <n v="0.95833333333333337"/>
    <n v="8"/>
    <s v="Working Day"/>
    <x v="0"/>
  </r>
  <r>
    <s v="ATD00094"/>
    <d v="2025-06-29T00:00:00"/>
    <x v="0"/>
    <s v="Q2"/>
    <s v="Sunday"/>
    <s v="EMP039"/>
    <s v="Employee 39"/>
    <x v="3"/>
    <s v="Accountant"/>
    <s v="Hyderabad"/>
    <s v="Flexible Shift"/>
    <d v="1899-12-30T09:00:00"/>
    <d v="1899-12-30T18:00:00"/>
    <n v="8"/>
    <n v="0"/>
    <x v="0"/>
    <m/>
    <n v="4"/>
    <s v="L4"/>
    <s v="M. Mahesh"/>
    <x v="1"/>
    <m/>
    <n v="25"/>
    <x v="0"/>
    <n v="44666"/>
    <n v="26000000"/>
    <s v="100% Payroll Accuracy"/>
    <n v="640000"/>
    <s v="High"/>
    <s v="Financial Compliance"/>
    <n v="0.41666666666666669"/>
    <n v="0.79166666666666663"/>
    <n v="8"/>
    <s v="Working Day"/>
    <x v="0"/>
  </r>
  <r>
    <s v="ATD00095"/>
    <d v="2025-05-08T00:00:00"/>
    <x v="3"/>
    <s v="Q2"/>
    <s v="Thursday"/>
    <s v="EMP006"/>
    <s v="Employee 6"/>
    <x v="5"/>
    <s v="Marketing Executive"/>
    <s v="Coimbatore"/>
    <s v="Flexible Shift"/>
    <d v="1899-12-30T09:00:00"/>
    <d v="1899-12-30T18:00:00"/>
    <n v="8"/>
    <n v="0"/>
    <x v="0"/>
    <m/>
    <n v="4"/>
    <s v="L1"/>
    <s v="S. Swetha"/>
    <x v="3"/>
    <m/>
    <n v="28"/>
    <x v="0"/>
    <n v="45488"/>
    <n v="22000000"/>
    <s v="2500 Qualified Leads"/>
    <n v="590000"/>
    <s v="Medium"/>
    <s v="Lead Generation"/>
    <n v="0.41666666666666669"/>
    <n v="0.79166666666666663"/>
    <n v="8"/>
    <s v="Working Day"/>
    <x v="0"/>
  </r>
  <r>
    <s v="ATD00096"/>
    <d v="2025-06-30T00:00:00"/>
    <x v="0"/>
    <s v="Q2"/>
    <s v="Monday"/>
    <s v="EMP020"/>
    <s v="Employee 20"/>
    <x v="5"/>
    <s v="Marketing Executive"/>
    <s v="Madurai"/>
    <s v="Flexible Shift"/>
    <d v="1899-12-30T09:00:00"/>
    <d v="1899-12-30T18:00:00"/>
    <n v="8"/>
    <n v="0"/>
    <x v="0"/>
    <m/>
    <n v="5"/>
    <s v="L3"/>
    <s v="S. Swetha"/>
    <x v="3"/>
    <m/>
    <n v="24"/>
    <x v="1"/>
    <n v="45550"/>
    <n v="22000000"/>
    <s v="2500 Qualified Leads"/>
    <n v="590000"/>
    <s v="Medium"/>
    <s v="Lead Generation"/>
    <n v="0.41666666666666669"/>
    <n v="0.79166666666666663"/>
    <n v="8"/>
    <s v="Working Day"/>
    <x v="0"/>
  </r>
  <r>
    <s v="ATD00097"/>
    <d v="2025-01-31T00:00:00"/>
    <x v="2"/>
    <s v="Q1"/>
    <s v="Friday"/>
    <s v="EMP027"/>
    <s v="Employee 27"/>
    <x v="5"/>
    <s v="Marketing Executive"/>
    <s v="Chennai"/>
    <s v="Night Shift"/>
    <d v="1899-12-30T22:00:00"/>
    <d v="1899-12-30T07:00:00"/>
    <n v="10"/>
    <n v="2"/>
    <x v="0"/>
    <m/>
    <n v="3"/>
    <s v="L1"/>
    <s v="S. Swetha"/>
    <x v="2"/>
    <s v="Client Visit"/>
    <n v="31"/>
    <x v="1"/>
    <n v="45397"/>
    <n v="22000000"/>
    <s v="2500 Qualified Leads"/>
    <n v="590000"/>
    <s v="Medium"/>
    <s v="Lead Generation"/>
    <n v="0.91666666666666663"/>
    <n v="0.29166666666666669"/>
    <n v="8"/>
    <s v="Working Day"/>
    <x v="0"/>
  </r>
  <r>
    <s v="ATD00098"/>
    <d v="2025-06-12T00:00:00"/>
    <x v="0"/>
    <s v="Q2"/>
    <s v="Thursday"/>
    <s v="EMP017"/>
    <s v="Employee 17"/>
    <x v="6"/>
    <s v="Sales Executive"/>
    <s v="Chennai"/>
    <s v="General Shift"/>
    <d v="1899-12-30T09:20:00"/>
    <d v="1899-12-30T18:00:00"/>
    <n v="8"/>
    <n v="0"/>
    <x v="0"/>
    <m/>
    <n v="4"/>
    <s v="L3"/>
    <s v="V. Vivek"/>
    <x v="3"/>
    <s v="Late Login"/>
    <n v="39"/>
    <x v="1"/>
    <n v="44362"/>
    <n v="42000000"/>
    <s v="₹2.5 Cr Monthly Sales"/>
    <n v="680000"/>
    <s v="High"/>
    <s v="Revenue Achievement"/>
    <n v="0.375"/>
    <n v="0.75"/>
    <n v="8"/>
    <s v="Working Day"/>
    <x v="0"/>
  </r>
  <r>
    <s v="ATD00099"/>
    <d v="2025-01-11T00:00:00"/>
    <x v="2"/>
    <s v="Q1"/>
    <s v="Saturday"/>
    <s v="EMP015"/>
    <s v="Employee 15"/>
    <x v="2"/>
    <s v="Software Engineer"/>
    <s v="Madurai"/>
    <s v="Night Shift"/>
    <d v="1899-12-30T22:00:00"/>
    <d v="1899-12-30T07:00:00"/>
    <n v="10"/>
    <n v="2"/>
    <x v="0"/>
    <m/>
    <n v="4"/>
    <s v="L1"/>
    <s v="R. Karthikeyan"/>
    <x v="0"/>
    <s v="Late Login"/>
    <n v="37"/>
    <x v="1"/>
    <n v="43570"/>
    <n v="85000000"/>
    <s v="99.5% System Uptime"/>
    <n v="720000"/>
    <s v="High"/>
    <s v="Project Delivery"/>
    <n v="0.91666666666666663"/>
    <n v="0.29166666666666669"/>
    <n v="8"/>
    <s v="Working Day"/>
    <x v="0"/>
  </r>
  <r>
    <s v="ATD00100"/>
    <d v="2025-05-08T00:00:00"/>
    <x v="3"/>
    <s v="Q2"/>
    <s v="Thursday"/>
    <s v="EMP021"/>
    <s v="Employee 21"/>
    <x v="0"/>
    <s v="Support Executive"/>
    <s v="Coimbatore"/>
    <s v="General Shift"/>
    <d v="1899-12-30T09:00:00"/>
    <d v="1899-12-30T18:00:00"/>
    <n v="8"/>
    <n v="0"/>
    <x v="0"/>
    <m/>
    <n v="5"/>
    <s v="L1"/>
    <s v="V. Vinoth"/>
    <x v="0"/>
    <s v="Late Login"/>
    <n v="25"/>
    <x v="1"/>
    <n v="43388"/>
    <n v="24000000"/>
    <s v="90% Customer Satisfaction"/>
    <n v="520000"/>
    <s v="High"/>
    <s v="Customer Satisfaction"/>
    <n v="0.375"/>
    <n v="0.75"/>
    <n v="8"/>
    <s v="Working Day"/>
    <x v="0"/>
  </r>
  <r>
    <s v="ATD00101"/>
    <d v="2025-03-14T00:00:00"/>
    <x v="4"/>
    <s v="Q1"/>
    <s v="Friday"/>
    <s v="EMP019"/>
    <s v="Employee 19"/>
    <x v="1"/>
    <s v="Operations Executive"/>
    <s v="Hyderabad"/>
    <s v="Flexible Shift"/>
    <d v="1899-12-30T09:00:00"/>
    <d v="1899-12-30T18:00:00"/>
    <n v="8"/>
    <n v="0"/>
    <x v="0"/>
    <m/>
    <n v="5"/>
    <s v="L2"/>
    <s v="D. Dinesh"/>
    <x v="0"/>
    <s v="Client Visit"/>
    <n v="23"/>
    <x v="0"/>
    <n v="45153"/>
    <n v="34000000"/>
    <s v="95% Process Efficiency"/>
    <n v="610000"/>
    <s v="High"/>
    <s v="Operational Efficiency"/>
    <n v="0.41666666666666669"/>
    <n v="0.79166666666666663"/>
    <n v="8"/>
    <s v="Working Day"/>
    <x v="0"/>
  </r>
  <r>
    <s v="ATD00102"/>
    <d v="2025-04-03T00:00:00"/>
    <x v="1"/>
    <s v="Q2"/>
    <s v="Thursday"/>
    <s v="EMP043"/>
    <s v="Employee 43"/>
    <x v="2"/>
    <s v="Software Engineer"/>
    <s v="Bengaluru"/>
    <s v="General Shift"/>
    <d v="1899-12-30T09:00:00"/>
    <d v="1899-12-30T18:00:00"/>
    <n v="9"/>
    <n v="1"/>
    <x v="0"/>
    <m/>
    <n v="5"/>
    <s v="L4"/>
    <s v="R. Karthikeyan"/>
    <x v="2"/>
    <s v="Work From Home"/>
    <n v="29"/>
    <x v="1"/>
    <n v="43692"/>
    <n v="85000000"/>
    <s v="99.5% System Uptime"/>
    <n v="720000"/>
    <s v="High"/>
    <s v="Project Delivery"/>
    <n v="0.375"/>
    <n v="0.75"/>
    <n v="8"/>
    <s v="Working Day"/>
    <x v="0"/>
  </r>
  <r>
    <s v="ATD00103"/>
    <d v="2025-01-19T00:00:00"/>
    <x v="2"/>
    <s v="Q1"/>
    <s v="Sunday"/>
    <s v="EMP030"/>
    <s v="Employee 30"/>
    <x v="4"/>
    <s v="HR Executive"/>
    <s v="Madurai"/>
    <s v="Afternoon Shift"/>
    <d v="1899-12-30T09:00:00"/>
    <d v="1899-12-30T18:00:00"/>
    <n v="8"/>
    <n v="0"/>
    <x v="0"/>
    <m/>
    <n v="3"/>
    <s v="L2"/>
    <s v="P. Priya"/>
    <x v="2"/>
    <m/>
    <n v="34"/>
    <x v="0"/>
    <n v="44027"/>
    <n v="18000000"/>
    <s v="&lt;30 Days Hiring Cycle"/>
    <n v="560000"/>
    <s v="Medium"/>
    <s v="Hiring &amp; Retention"/>
    <n v="0.58333333333333337"/>
    <n v="0.95833333333333337"/>
    <n v="8"/>
    <s v="Working Day"/>
    <x v="0"/>
  </r>
  <r>
    <s v="ATD00104"/>
    <d v="2025-03-14T00:00:00"/>
    <x v="4"/>
    <s v="Q1"/>
    <s v="Friday"/>
    <s v="EMP019"/>
    <s v="Employee 19"/>
    <x v="1"/>
    <s v="Operations Executive"/>
    <s v="Hyderabad"/>
    <s v="General Shift"/>
    <d v="1899-12-30T09:00:00"/>
    <d v="1899-12-30T18:00:00"/>
    <n v="8"/>
    <n v="0"/>
    <x v="0"/>
    <m/>
    <m/>
    <s v="L1"/>
    <s v="D. Dinesh"/>
    <x v="3"/>
    <s v="Client Visit"/>
    <n v="23"/>
    <x v="0"/>
    <n v="45153"/>
    <n v="34000000"/>
    <s v="95% Process Efficiency"/>
    <n v="610000"/>
    <s v="High"/>
    <s v="Operational Efficiency"/>
    <n v="0.375"/>
    <n v="0.75"/>
    <n v="8"/>
    <s v="Working Day"/>
    <x v="0"/>
  </r>
  <r>
    <s v="ATD00105"/>
    <d v="2025-02-28T00:00:00"/>
    <x v="5"/>
    <s v="Q1"/>
    <s v="Friday"/>
    <s v="EMP012"/>
    <s v="Employee 12"/>
    <x v="1"/>
    <s v="Operations Executive"/>
    <s v="Chennai"/>
    <s v="Night Shift"/>
    <d v="1899-12-30T22:00:00"/>
    <d v="1899-12-30T07:00:00"/>
    <n v="9"/>
    <n v="1"/>
    <x v="0"/>
    <m/>
    <n v="4"/>
    <s v="L2"/>
    <s v="D. Dinesh"/>
    <x v="2"/>
    <s v="Late Login"/>
    <n v="34"/>
    <x v="0"/>
    <n v="44941"/>
    <n v="34000000"/>
    <s v="95% Process Efficiency"/>
    <n v="610000"/>
    <s v="High"/>
    <s v="Operational Efficiency"/>
    <n v="0.91666666666666663"/>
    <n v="0.29166666666666669"/>
    <n v="8"/>
    <s v="Working Day"/>
    <x v="0"/>
  </r>
  <r>
    <s v="ATD00106"/>
    <d v="2025-06-17T00:00:00"/>
    <x v="0"/>
    <s v="Q2"/>
    <s v="Tuesday"/>
    <s v="EMP009"/>
    <s v="Employee 9"/>
    <x v="4"/>
    <s v="HR Executive"/>
    <s v="Hyderabad"/>
    <s v="Afternoon Shift"/>
    <d v="1899-12-30T09:00:00"/>
    <d v="1899-12-30T18:00:00"/>
    <n v="8"/>
    <n v="0"/>
    <x v="0"/>
    <m/>
    <n v="3"/>
    <s v="L3"/>
    <s v="P. Priya"/>
    <x v="2"/>
    <s v="Client Visit"/>
    <n v="31"/>
    <x v="1"/>
    <n v="44119"/>
    <n v="18000000"/>
    <s v="&lt;30 Days Hiring Cycle"/>
    <n v="560000"/>
    <s v="Medium"/>
    <s v="Hiring &amp; Retention"/>
    <n v="0.58333333333333337"/>
    <n v="0.95833333333333337"/>
    <n v="8"/>
    <s v="Working Day"/>
    <x v="0"/>
  </r>
  <r>
    <s v="ATD00107"/>
    <d v="2025-05-05T00:00:00"/>
    <x v="3"/>
    <s v="Q2"/>
    <s v="Monday"/>
    <s v="EMP004"/>
    <s v="Employee 4"/>
    <x v="3"/>
    <s v="Accountant"/>
    <s v="Hyderabad"/>
    <s v="Night Shift"/>
    <d v="1899-12-30T22:00:00"/>
    <d v="1899-12-30T07:00:00"/>
    <n v="8.5"/>
    <n v="0.5"/>
    <x v="0"/>
    <m/>
    <n v="5"/>
    <s v="L2"/>
    <s v="M. Mahesh"/>
    <x v="1"/>
    <s v="Late Login"/>
    <n v="26"/>
    <x v="0"/>
    <n v="44696"/>
    <n v="26000000"/>
    <s v="100% Payroll Accuracy"/>
    <n v="640000"/>
    <s v="High"/>
    <s v="Financial Compliance"/>
    <n v="0.91666666666666663"/>
    <n v="0.29166666666666669"/>
    <n v="8"/>
    <s v="Working Day"/>
    <x v="0"/>
  </r>
  <r>
    <s v="ATD00108"/>
    <d v="2025-01-16T00:00:00"/>
    <x v="2"/>
    <s v="Q1"/>
    <s v="Thursday"/>
    <s v="EMP031"/>
    <s v="Employee 31"/>
    <x v="6"/>
    <s v="Sales Executive"/>
    <s v="Coimbatore"/>
    <s v="Morning Shift"/>
    <d v="1899-12-30T09:10:00"/>
    <d v="1899-12-30T18:00:00"/>
    <n v="8"/>
    <n v="0"/>
    <x v="0"/>
    <m/>
    <n v="4"/>
    <s v="L2"/>
    <s v="V. Vivek"/>
    <x v="1"/>
    <s v="Late Login"/>
    <n v="35"/>
    <x v="1"/>
    <n v="44423"/>
    <n v="42000000"/>
    <s v="₹2.5 Cr Monthly Sales"/>
    <n v="680000"/>
    <s v="High"/>
    <s v="Revenue Achievement"/>
    <n v="0.25"/>
    <n v="0.625"/>
    <n v="8"/>
    <s v="Working Day"/>
    <x v="0"/>
  </r>
  <r>
    <s v="ATD00109"/>
    <d v="2025-06-02T00:00:00"/>
    <x v="0"/>
    <s v="Q2"/>
    <s v="Monday"/>
    <s v="EMP042"/>
    <s v="Employee 42"/>
    <x v="0"/>
    <s v="Support Executive"/>
    <s v="Chennai"/>
    <s v="Night Shift"/>
    <d v="1899-12-30T22:00:00"/>
    <d v="1899-12-30T07:00:00"/>
    <n v="9"/>
    <n v="1"/>
    <x v="0"/>
    <m/>
    <n v="4"/>
    <s v="L1"/>
    <s v="V. Vinoth"/>
    <x v="0"/>
    <s v="Late Login"/>
    <n v="28"/>
    <x v="0"/>
    <n v="43296"/>
    <n v="24000000"/>
    <s v="90% Customer Satisfaction"/>
    <n v="520000"/>
    <s v="High"/>
    <s v="Customer Satisfaction"/>
    <n v="0.91666666666666663"/>
    <n v="0.29166666666666669"/>
    <n v="8"/>
    <s v="Working Day"/>
    <x v="0"/>
  </r>
  <r>
    <s v="ATD00110"/>
    <d v="2025-06-08T00:00:00"/>
    <x v="0"/>
    <s v="Q2"/>
    <s v="Sunday"/>
    <s v="EMP045"/>
    <s v="Employee 45"/>
    <x v="6"/>
    <s v="Sales Executive"/>
    <s v="Madurai"/>
    <s v="General Shift"/>
    <d v="1899-12-30T09:20:00"/>
    <d v="1899-12-30T18:00:00"/>
    <n v="8"/>
    <n v="0"/>
    <x v="0"/>
    <m/>
    <n v="5"/>
    <s v="L3"/>
    <s v="V. Vivek"/>
    <x v="1"/>
    <s v="Client Visit"/>
    <n v="31"/>
    <x v="1"/>
    <n v="44484"/>
    <n v="42000000"/>
    <s v="₹2.5 Cr Monthly Sales"/>
    <n v="680000"/>
    <s v="High"/>
    <s v="Revenue Achievement"/>
    <n v="0.375"/>
    <n v="0.75"/>
    <n v="8"/>
    <s v="Working Day"/>
    <x v="0"/>
  </r>
  <r>
    <s v="ATD00111"/>
    <d v="2025-02-19T00:00:00"/>
    <x v="5"/>
    <s v="Q1"/>
    <s v="Wednesday"/>
    <s v="EMP007"/>
    <s v="Employee 7"/>
    <x v="0"/>
    <s v="Support Executive"/>
    <s v="Chennai"/>
    <s v="Morning Shift"/>
    <d v="1899-12-30T09:00:00"/>
    <d v="1899-12-30T18:00:00"/>
    <n v="8"/>
    <n v="0"/>
    <x v="0"/>
    <m/>
    <n v="5"/>
    <s v="L2"/>
    <s v="V. Vinoth"/>
    <x v="0"/>
    <m/>
    <n v="29"/>
    <x v="1"/>
    <n v="43327"/>
    <n v="24000000"/>
    <s v="90% Customer Satisfaction"/>
    <n v="520000"/>
    <s v="High"/>
    <s v="Customer Satisfaction"/>
    <n v="0.25"/>
    <n v="0.625"/>
    <n v="8"/>
    <s v="Working Day"/>
    <x v="0"/>
  </r>
  <r>
    <s v="ATD00112"/>
    <d v="2025-04-26T00:00:00"/>
    <x v="1"/>
    <s v="Q2"/>
    <s v="Saturday"/>
    <s v="EMP009"/>
    <s v="Employee 9"/>
    <x v="4"/>
    <s v="HR Executive"/>
    <s v="Hyderabad"/>
    <s v="Afternoon Shift"/>
    <d v="1899-12-30T09:00:00"/>
    <d v="1899-12-30T18:00:00"/>
    <n v="8"/>
    <n v="0"/>
    <x v="0"/>
    <m/>
    <n v="4"/>
    <s v="L2"/>
    <s v="P. Priya"/>
    <x v="2"/>
    <s v="Work From Home"/>
    <n v="31"/>
    <x v="1"/>
    <n v="44119"/>
    <n v="18000000"/>
    <s v="&lt;30 Days Hiring Cycle"/>
    <n v="560000"/>
    <s v="Medium"/>
    <s v="Hiring &amp; Retention"/>
    <n v="0.58333333333333337"/>
    <n v="0.95833333333333337"/>
    <n v="8"/>
    <s v="Working Day"/>
    <x v="0"/>
  </r>
  <r>
    <s v="ATD00113"/>
    <d v="2025-01-23T00:00:00"/>
    <x v="2"/>
    <s v="Q1"/>
    <s v="Thursday"/>
    <s v="EMP024"/>
    <s v="Employee 24"/>
    <x v="6"/>
    <s v="Sales Executive"/>
    <s v="Hyderabad"/>
    <s v="General Shift"/>
    <d v="1899-12-30T09:00:00"/>
    <d v="1899-12-30T18:00:00"/>
    <n v="8"/>
    <n v="0"/>
    <x v="0"/>
    <m/>
    <n v="5"/>
    <s v="L2"/>
    <s v="V. Vivek"/>
    <x v="1"/>
    <m/>
    <n v="28"/>
    <x v="1"/>
    <n v="44211"/>
    <n v="42000000"/>
    <s v="₹2.5 Cr Monthly Sales"/>
    <n v="680000"/>
    <s v="High"/>
    <s v="Revenue Achievement"/>
    <n v="0.375"/>
    <n v="0.75"/>
    <n v="8"/>
    <s v="Working Day"/>
    <x v="0"/>
  </r>
  <r>
    <s v="ATD00114"/>
    <d v="2025-04-12T00:00:00"/>
    <x v="1"/>
    <s v="Q2"/>
    <s v="Saturday"/>
    <s v="EMP017"/>
    <s v="Employee 17"/>
    <x v="6"/>
    <s v="Sales Executive"/>
    <s v="Chennai"/>
    <s v="Afternoon Shift"/>
    <d v="1899-12-30T09:10:00"/>
    <d v="1899-12-30T18:00:00"/>
    <n v="8"/>
    <n v="0"/>
    <x v="0"/>
    <m/>
    <n v="5"/>
    <s v="L3"/>
    <s v="V. Vivek"/>
    <x v="1"/>
    <s v="Client Visit"/>
    <n v="39"/>
    <x v="1"/>
    <n v="44362"/>
    <n v="42000000"/>
    <s v="₹2.5 Cr Monthly Sales"/>
    <n v="680000"/>
    <s v="High"/>
    <s v="Revenue Achievement"/>
    <n v="0.58333333333333337"/>
    <n v="0.95833333333333337"/>
    <n v="8"/>
    <s v="Working Day"/>
    <x v="0"/>
  </r>
  <r>
    <s v="ATD00115"/>
    <d v="2025-01-21T00:00:00"/>
    <x v="2"/>
    <s v="Q1"/>
    <s v="Tuesday"/>
    <s v="EMP021"/>
    <s v="Employee 21"/>
    <x v="0"/>
    <s v="Support Executive"/>
    <s v="Coimbatore"/>
    <s v="Afternoon Shift"/>
    <m/>
    <d v="1899-12-30T18:00:00"/>
    <n v="8"/>
    <n v="0"/>
    <x v="0"/>
    <m/>
    <n v="5"/>
    <s v="L3"/>
    <s v="V. Vinoth"/>
    <x v="2"/>
    <m/>
    <n v="25"/>
    <x v="1"/>
    <n v="43388"/>
    <n v="24000000"/>
    <s v="90% Customer Satisfaction"/>
    <n v="520000"/>
    <s v="High"/>
    <s v="Customer Satisfaction"/>
    <n v="0.58333333333333337"/>
    <n v="0.95833333333333337"/>
    <n v="8"/>
    <s v="Working Day"/>
    <x v="0"/>
  </r>
  <r>
    <s v="ATD00116"/>
    <d v="2025-06-04T00:00:00"/>
    <x v="0"/>
    <s v="Q2"/>
    <s v="Wednesday"/>
    <s v="EMP011"/>
    <s v="Employee 11"/>
    <x v="3"/>
    <s v="Accountant"/>
    <s v="Coimbatore"/>
    <s v="Morning Shift"/>
    <d v="1899-12-30T09:00:00"/>
    <d v="1899-12-30T18:00:00"/>
    <n v="8"/>
    <n v="0"/>
    <x v="0"/>
    <m/>
    <n v="5"/>
    <s v="L2"/>
    <s v="M. Mahesh"/>
    <x v="2"/>
    <s v="Work From Home"/>
    <n v="33"/>
    <x v="1"/>
    <n v="44910"/>
    <n v="26000000"/>
    <s v="100% Payroll Accuracy"/>
    <n v="640000"/>
    <s v="High"/>
    <s v="Financial Compliance"/>
    <n v="0.25"/>
    <n v="0.625"/>
    <n v="8"/>
    <s v="Working Day"/>
    <x v="0"/>
  </r>
  <r>
    <s v="ATD00117"/>
    <d v="2025-05-20T00:00:00"/>
    <x v="3"/>
    <s v="Q2"/>
    <s v="Tuesday"/>
    <s v="EMP044"/>
    <s v="Employee 44"/>
    <x v="4"/>
    <s v="HR Executive"/>
    <s v="Hyderabad"/>
    <s v="Morning Shift"/>
    <d v="1899-12-30T09:00:00"/>
    <d v="1899-12-30T18:00:00"/>
    <n v="8"/>
    <n v="0"/>
    <x v="0"/>
    <m/>
    <m/>
    <s v="L3"/>
    <s v="P. Priya"/>
    <x v="0"/>
    <s v="Client Visit"/>
    <n v="30"/>
    <x v="0"/>
    <n v="44089"/>
    <n v="18000000"/>
    <s v="&lt;30 Days Hiring Cycle"/>
    <n v="560000"/>
    <s v="Medium"/>
    <s v="Hiring &amp; Retention"/>
    <n v="0.25"/>
    <n v="0.625"/>
    <n v="8"/>
    <s v="Working Day"/>
    <x v="0"/>
  </r>
  <r>
    <s v="ATD00118"/>
    <d v="2025-05-31T00:00:00"/>
    <x v="3"/>
    <s v="Q2"/>
    <s v="Saturday"/>
    <s v="EMP050"/>
    <s v="Employee 50"/>
    <x v="2"/>
    <s v="Software Engineer"/>
    <s v="Madurai"/>
    <s v="General Shift"/>
    <d v="1899-12-30T09:00:00"/>
    <d v="1899-12-30T18:00:00"/>
    <n v="9"/>
    <n v="1"/>
    <x v="0"/>
    <m/>
    <n v="4"/>
    <s v="L2"/>
    <s v="R. Karthikeyan"/>
    <x v="1"/>
    <s v="Client Visit"/>
    <n v="36"/>
    <x v="0"/>
    <n v="43539"/>
    <n v="85000000"/>
    <s v="99.5% System Uptime"/>
    <n v="720000"/>
    <s v="High"/>
    <s v="Project Delivery"/>
    <n v="0.375"/>
    <n v="0.75"/>
    <n v="8"/>
    <s v="Working Day"/>
    <x v="0"/>
  </r>
  <r>
    <s v="ATD00119"/>
    <d v="2025-06-11T00:00:00"/>
    <x v="0"/>
    <s v="Q2"/>
    <s v="Wednesday"/>
    <s v="EMP050"/>
    <s v="Employee 50"/>
    <x v="2"/>
    <s v="Software Engineer"/>
    <s v="Madurai"/>
    <s v="Night Shift"/>
    <d v="1899-12-30T22:00:00"/>
    <d v="1899-12-30T07:00:00"/>
    <n v="9"/>
    <n v="1"/>
    <x v="0"/>
    <m/>
    <n v="4"/>
    <s v="L4"/>
    <s v="R. Karthikeyan"/>
    <x v="3"/>
    <m/>
    <n v="36"/>
    <x v="0"/>
    <n v="43539"/>
    <n v="85000000"/>
    <s v="99.5% System Uptime"/>
    <n v="720000"/>
    <s v="High"/>
    <s v="Project Delivery"/>
    <n v="0.91666666666666663"/>
    <n v="0.29166666666666669"/>
    <n v="8"/>
    <s v="Working Day"/>
    <x v="0"/>
  </r>
  <r>
    <s v="ATD00120"/>
    <d v="2025-01-04T00:00:00"/>
    <x v="2"/>
    <s v="Q1"/>
    <s v="Saturday"/>
    <s v="EMP041"/>
    <s v="Employee 41"/>
    <x v="5"/>
    <s v="Marketing Executive"/>
    <s v="Coimbatore"/>
    <s v="Afternoon Shift"/>
    <d v="1899-12-30T09:00:00"/>
    <d v="1899-12-30T18:00:00"/>
    <n v="8"/>
    <n v="0"/>
    <x v="0"/>
    <m/>
    <n v="4"/>
    <s v="L2"/>
    <s v="S. Swetha"/>
    <x v="2"/>
    <s v="Work From Home"/>
    <n v="27"/>
    <x v="1"/>
    <n v="45458"/>
    <n v="22000000"/>
    <s v="2500 Qualified Leads"/>
    <n v="590000"/>
    <s v="Medium"/>
    <s v="Lead Generation"/>
    <n v="0.58333333333333337"/>
    <n v="0.95833333333333337"/>
    <n v="8"/>
    <s v="Working Day"/>
    <x v="0"/>
  </r>
  <r>
    <s v="ATD00121"/>
    <d v="2025-05-22T00:00:00"/>
    <x v="3"/>
    <s v="Q2"/>
    <s v="Thursday"/>
    <s v="EMP007"/>
    <s v="Employee 7"/>
    <x v="0"/>
    <s v="Support Executive"/>
    <s v="Chennai"/>
    <s v="Flexible Shift"/>
    <m/>
    <m/>
    <m/>
    <m/>
    <x v="1"/>
    <s v="Earned Leave"/>
    <m/>
    <s v="L2"/>
    <s v="V. Vinoth"/>
    <x v="2"/>
    <s v="Work From Home"/>
    <n v="29"/>
    <x v="1"/>
    <n v="43327"/>
    <n v="24000000"/>
    <s v="90% Customer Satisfaction"/>
    <n v="520000"/>
    <s v="High"/>
    <s v="Customer Satisfaction"/>
    <n v="0.41666666666666669"/>
    <n v="0.79166666666666663"/>
    <n v="8"/>
    <s v="Working Day"/>
    <x v="0"/>
  </r>
  <r>
    <s v="ATD00122"/>
    <d v="2025-05-26T00:00:00"/>
    <x v="3"/>
    <s v="Q2"/>
    <s v="Monday"/>
    <s v="EMP022"/>
    <s v="Employee 22"/>
    <x v="2"/>
    <s v="Software Engineer"/>
    <s v="Chennai"/>
    <s v="Morning Shift"/>
    <d v="1899-12-30T09:00:00"/>
    <d v="1899-12-30T18:00:00"/>
    <n v="10"/>
    <n v="2"/>
    <x v="0"/>
    <m/>
    <m/>
    <s v="L4"/>
    <s v="R. Karthikeyan"/>
    <x v="3"/>
    <m/>
    <n v="26"/>
    <x v="0"/>
    <n v="43784"/>
    <n v="85000000"/>
    <s v="99.5% System Uptime"/>
    <n v="720000"/>
    <s v="High"/>
    <s v="Project Delivery"/>
    <n v="0.25"/>
    <n v="0.625"/>
    <n v="8"/>
    <s v="Working Day"/>
    <x v="0"/>
  </r>
  <r>
    <s v="ATD00123"/>
    <d v="2025-02-05T00:00:00"/>
    <x v="5"/>
    <s v="Q1"/>
    <s v="Wednesday"/>
    <s v="EMP008"/>
    <s v="Employee 8"/>
    <x v="2"/>
    <s v="Software Engineer"/>
    <s v="Bengaluru"/>
    <s v="Flexible Shift"/>
    <d v="1899-12-30T09:00:00"/>
    <d v="1899-12-30T18:00:00"/>
    <n v="8.5"/>
    <n v="0.5"/>
    <x v="0"/>
    <m/>
    <n v="5"/>
    <s v="L4"/>
    <s v="R. Karthikeyan"/>
    <x v="1"/>
    <s v="Late Login"/>
    <n v="30"/>
    <x v="0"/>
    <n v="43723"/>
    <n v="85000000"/>
    <s v="99.5% System Uptime"/>
    <n v="720000"/>
    <s v="High"/>
    <s v="Project Delivery"/>
    <n v="0.41666666666666669"/>
    <n v="0.79166666666666663"/>
    <n v="8"/>
    <s v="Working Day"/>
    <x v="0"/>
  </r>
  <r>
    <s v="ATD00124"/>
    <d v="2025-02-25T00:00:00"/>
    <x v="5"/>
    <s v="Q1"/>
    <s v="Tuesday"/>
    <s v="EMP025"/>
    <s v="Employee 25"/>
    <x v="3"/>
    <s v="Accountant"/>
    <s v="Madurai"/>
    <s v="Night Shift"/>
    <d v="1899-12-30T22:00:00"/>
    <d v="1899-12-30T07:00:00"/>
    <n v="9.5"/>
    <n v="1.5"/>
    <x v="0"/>
    <m/>
    <m/>
    <s v="L3"/>
    <s v="M. Mahesh"/>
    <x v="0"/>
    <s v="Late Login"/>
    <n v="29"/>
    <x v="0"/>
    <n v="44607"/>
    <n v="26000000"/>
    <s v="100% Payroll Accuracy"/>
    <n v="640000"/>
    <s v="High"/>
    <s v="Financial Compliance"/>
    <n v="0.91666666666666663"/>
    <n v="0.29166666666666669"/>
    <n v="8"/>
    <s v="Working Day"/>
    <x v="0"/>
  </r>
  <r>
    <s v="ATD00125"/>
    <d v="2025-02-08T00:00:00"/>
    <x v="5"/>
    <s v="Q1"/>
    <s v="Saturday"/>
    <s v="EMP031"/>
    <s v="Employee 31"/>
    <x v="6"/>
    <s v="Sales Executive"/>
    <s v="Coimbatore"/>
    <s v="Afternoon Shift"/>
    <d v="1899-12-30T09:00:00"/>
    <d v="1899-12-30T18:00:00"/>
    <n v="8"/>
    <n v="0"/>
    <x v="0"/>
    <m/>
    <n v="4"/>
    <s v="L1"/>
    <s v="V. Vivek"/>
    <x v="1"/>
    <s v="Late Login"/>
    <n v="35"/>
    <x v="1"/>
    <n v="44423"/>
    <n v="42000000"/>
    <s v="₹2.5 Cr Monthly Sales"/>
    <n v="680000"/>
    <s v="High"/>
    <s v="Revenue Achievement"/>
    <n v="0.58333333333333337"/>
    <n v="0.95833333333333337"/>
    <n v="8"/>
    <s v="Working Day"/>
    <x v="0"/>
  </r>
  <r>
    <s v="ATD00126"/>
    <d v="2025-03-21T00:00:00"/>
    <x v="4"/>
    <s v="Q1"/>
    <s v="Friday"/>
    <s v="EMP032"/>
    <s v="Employee 32"/>
    <x v="3"/>
    <s v="Accountant"/>
    <s v="Chennai"/>
    <s v="General Shift"/>
    <d v="1899-12-30T09:00:00"/>
    <d v="1899-12-30T18:00:00"/>
    <n v="8"/>
    <n v="0"/>
    <x v="0"/>
    <m/>
    <n v="4"/>
    <s v="L2"/>
    <s v="M. Mahesh"/>
    <x v="0"/>
    <s v="Client Visit"/>
    <n v="36"/>
    <x v="0"/>
    <n v="44819"/>
    <n v="26000000"/>
    <s v="100% Payroll Accuracy"/>
    <n v="640000"/>
    <s v="High"/>
    <s v="Financial Compliance"/>
    <n v="0.375"/>
    <n v="0.75"/>
    <n v="8"/>
    <s v="Working Day"/>
    <x v="0"/>
  </r>
  <r>
    <s v="ATD00127"/>
    <d v="2025-03-26T00:00:00"/>
    <x v="4"/>
    <s v="Q1"/>
    <s v="Wednesday"/>
    <s v="EMP003"/>
    <s v="Employee 3"/>
    <x v="6"/>
    <s v="Sales Executive"/>
    <s v="Bengaluru"/>
    <s v="Morning Shift"/>
    <d v="1899-12-30T09:00:00"/>
    <d v="1899-12-30T18:00:00"/>
    <n v="8"/>
    <n v="0"/>
    <x v="0"/>
    <m/>
    <n v="4"/>
    <s v="L4"/>
    <s v="V. Vivek"/>
    <x v="0"/>
    <s v="Late Login"/>
    <n v="25"/>
    <x v="1"/>
    <n v="44301"/>
    <n v="42000000"/>
    <s v="₹2.5 Cr Monthly Sales"/>
    <n v="680000"/>
    <s v="High"/>
    <s v="Revenue Achievement"/>
    <n v="0.25"/>
    <n v="0.625"/>
    <n v="8"/>
    <s v="Working Day"/>
    <x v="0"/>
  </r>
  <r>
    <s v="ATD00128"/>
    <d v="2025-06-20T00:00:00"/>
    <x v="0"/>
    <s v="Q2"/>
    <s v="Friday"/>
    <s v="EMP035"/>
    <s v="Employee 35"/>
    <x v="0"/>
    <s v="Support Executive"/>
    <s v="Madurai"/>
    <s v="General Shift"/>
    <d v="1899-12-30T09:00:00"/>
    <d v="1899-12-30T18:00:00"/>
    <n v="8"/>
    <n v="0"/>
    <x v="0"/>
    <m/>
    <n v="5"/>
    <s v="L1"/>
    <s v="V. Vinoth"/>
    <x v="0"/>
    <s v="Client Visit"/>
    <n v="39"/>
    <x v="1"/>
    <n v="43449"/>
    <n v="24000000"/>
    <s v="90% Customer Satisfaction"/>
    <n v="520000"/>
    <s v="High"/>
    <s v="Customer Satisfaction"/>
    <n v="0.375"/>
    <n v="0.75"/>
    <n v="8"/>
    <s v="Working Day"/>
    <x v="0"/>
  </r>
  <r>
    <s v="ATD00129"/>
    <d v="2025-03-20T00:00:00"/>
    <x v="4"/>
    <s v="Q1"/>
    <s v="Thursday"/>
    <s v="EMP016"/>
    <s v="Employee 16"/>
    <x v="4"/>
    <s v="HR Executive"/>
    <s v="Coimbatore"/>
    <s v="Flexible Shift"/>
    <d v="1899-12-30T09:00:00"/>
    <d v="1899-12-30T18:00:00"/>
    <n v="8"/>
    <n v="0"/>
    <x v="0"/>
    <m/>
    <m/>
    <s v="L2"/>
    <s v="P. Priya"/>
    <x v="2"/>
    <m/>
    <n v="38"/>
    <x v="0"/>
    <n v="43966"/>
    <n v="18000000"/>
    <s v="&lt;30 Days Hiring Cycle"/>
    <n v="560000"/>
    <s v="Medium"/>
    <s v="Hiring &amp; Retention"/>
    <n v="0.41666666666666669"/>
    <n v="0.79166666666666663"/>
    <n v="8"/>
    <s v="Working Day"/>
    <x v="0"/>
  </r>
  <r>
    <s v="ATD00130"/>
    <d v="2025-04-28T00:00:00"/>
    <x v="1"/>
    <s v="Q2"/>
    <s v="Monday"/>
    <s v="EMP014"/>
    <s v="Employee 14"/>
    <x v="0"/>
    <s v="Support Executive"/>
    <s v="Hyderabad"/>
    <s v="Flexible Shift"/>
    <d v="1899-12-30T09:00:00"/>
    <d v="1899-12-30T18:00:00"/>
    <n v="8"/>
    <n v="0"/>
    <x v="0"/>
    <m/>
    <n v="4"/>
    <s v="L3"/>
    <s v="V. Vinoth"/>
    <x v="1"/>
    <s v="Client Visit"/>
    <n v="36"/>
    <x v="0"/>
    <n v="43174"/>
    <n v="24000000"/>
    <s v="90% Customer Satisfaction"/>
    <n v="520000"/>
    <s v="High"/>
    <s v="Customer Satisfaction"/>
    <n v="0.41666666666666669"/>
    <n v="0.79166666666666663"/>
    <n v="8"/>
    <s v="Working Day"/>
    <x v="0"/>
  </r>
  <r>
    <s v="ATD00131"/>
    <d v="2025-06-19T00:00:00"/>
    <x v="0"/>
    <s v="Q2"/>
    <s v="Thursday"/>
    <s v="EMP045"/>
    <s v="Employee 45"/>
    <x v="6"/>
    <s v="Sales Executive"/>
    <s v="Madurai"/>
    <s v="Night Shift"/>
    <d v="1899-12-30T09:20:00"/>
    <m/>
    <n v="10"/>
    <n v="2"/>
    <x v="0"/>
    <m/>
    <n v="4"/>
    <s v="L1"/>
    <s v="V. Vivek"/>
    <x v="1"/>
    <s v="Late Login"/>
    <n v="31"/>
    <x v="1"/>
    <n v="44484"/>
    <n v="42000000"/>
    <s v="₹2.5 Cr Monthly Sales"/>
    <n v="680000"/>
    <s v="High"/>
    <s v="Revenue Achievement"/>
    <n v="0.91666666666666663"/>
    <n v="0.29166666666666669"/>
    <n v="8"/>
    <s v="Working Day"/>
    <x v="0"/>
  </r>
  <r>
    <s v="ATD00132"/>
    <d v="2025-02-17T00:00:00"/>
    <x v="5"/>
    <s v="Q1"/>
    <s v="Monday"/>
    <s v="EMP042"/>
    <s v="Employee 42"/>
    <x v="0"/>
    <s v="Support Executive"/>
    <s v="Chennai"/>
    <s v="Afternoon Shift"/>
    <d v="1899-12-30T09:00:00"/>
    <m/>
    <n v="8"/>
    <n v="0"/>
    <x v="0"/>
    <m/>
    <n v="4"/>
    <s v="L1"/>
    <s v="V. Vinoth"/>
    <x v="3"/>
    <s v="Work From Home"/>
    <n v="28"/>
    <x v="0"/>
    <n v="43296"/>
    <n v="24000000"/>
    <s v="90% Customer Satisfaction"/>
    <n v="520000"/>
    <s v="High"/>
    <s v="Customer Satisfaction"/>
    <n v="0.58333333333333337"/>
    <n v="0.95833333333333337"/>
    <n v="8"/>
    <s v="Working Day"/>
    <x v="0"/>
  </r>
  <r>
    <s v="ATD00133"/>
    <d v="2025-01-08T00:00:00"/>
    <x v="2"/>
    <s v="Q1"/>
    <s v="Wednesday"/>
    <s v="EMP025"/>
    <s v="Employee 25"/>
    <x v="3"/>
    <s v="Accountant"/>
    <s v="Madurai"/>
    <s v="Afternoon Shift"/>
    <d v="1899-12-30T09:00:00"/>
    <d v="1899-12-30T18:00:00"/>
    <n v="8"/>
    <n v="0"/>
    <x v="0"/>
    <m/>
    <n v="3"/>
    <s v="L4"/>
    <s v="M. Mahesh"/>
    <x v="0"/>
    <s v="Late Login"/>
    <n v="29"/>
    <x v="0"/>
    <n v="44607"/>
    <n v="26000000"/>
    <s v="100% Payroll Accuracy"/>
    <n v="640000"/>
    <s v="High"/>
    <s v="Financial Compliance"/>
    <n v="0.58333333333333337"/>
    <n v="0.95833333333333337"/>
    <n v="8"/>
    <s v="Working Day"/>
    <x v="0"/>
  </r>
  <r>
    <s v="ATD00134"/>
    <d v="2025-04-06T00:00:00"/>
    <x v="1"/>
    <s v="Q2"/>
    <s v="Sunday"/>
    <s v="EMP004"/>
    <s v="Employee 4"/>
    <x v="3"/>
    <s v="Accountant"/>
    <s v="Hyderabad"/>
    <s v="General Shift"/>
    <m/>
    <m/>
    <m/>
    <m/>
    <x v="1"/>
    <s v="Sick Leave"/>
    <m/>
    <s v="L1"/>
    <s v="M. Mahesh"/>
    <x v="2"/>
    <s v="Client Visit"/>
    <n v="26"/>
    <x v="0"/>
    <n v="44696"/>
    <n v="26000000"/>
    <s v="100% Payroll Accuracy"/>
    <n v="640000"/>
    <s v="High"/>
    <s v="Financial Compliance"/>
    <n v="0.375"/>
    <n v="0.75"/>
    <n v="8"/>
    <s v="Working Day"/>
    <x v="0"/>
  </r>
  <r>
    <s v="ATD00135"/>
    <d v="2025-02-08T00:00:00"/>
    <x v="5"/>
    <s v="Q1"/>
    <s v="Saturday"/>
    <s v="EMP033"/>
    <s v="Employee 33"/>
    <x v="1"/>
    <s v="Operations Executive"/>
    <s v="Bengaluru"/>
    <s v="Flexible Shift"/>
    <d v="1899-12-30T09:00:00"/>
    <d v="1899-12-30T18:00:00"/>
    <n v="8"/>
    <n v="0"/>
    <x v="0"/>
    <m/>
    <n v="4"/>
    <s v="L3"/>
    <s v="D. Dinesh"/>
    <x v="0"/>
    <s v="Late Login"/>
    <n v="37"/>
    <x v="1"/>
    <n v="45214"/>
    <n v="34000000"/>
    <s v="95% Process Efficiency"/>
    <n v="610000"/>
    <s v="High"/>
    <s v="Operational Efficiency"/>
    <n v="0.41666666666666669"/>
    <n v="0.79166666666666663"/>
    <n v="8"/>
    <s v="Working Day"/>
    <x v="0"/>
  </r>
  <r>
    <s v="ATD00136"/>
    <d v="2025-02-19T00:00:00"/>
    <x v="5"/>
    <s v="Q1"/>
    <s v="Wednesday"/>
    <s v="EMP033"/>
    <s v="Employee 33"/>
    <x v="1"/>
    <s v="Operations Executive"/>
    <s v="Bengaluru"/>
    <s v="Afternoon Shift"/>
    <d v="1899-12-30T09:00:00"/>
    <d v="1899-12-30T18:00:00"/>
    <n v="8"/>
    <n v="0"/>
    <x v="0"/>
    <m/>
    <m/>
    <s v="L4"/>
    <s v="D. Dinesh"/>
    <x v="3"/>
    <s v="Client Visit"/>
    <n v="37"/>
    <x v="1"/>
    <n v="45214"/>
    <n v="34000000"/>
    <s v="95% Process Efficiency"/>
    <n v="610000"/>
    <s v="High"/>
    <s v="Operational Efficiency"/>
    <n v="0.58333333333333337"/>
    <n v="0.95833333333333337"/>
    <n v="8"/>
    <s v="Working Day"/>
    <x v="0"/>
  </r>
  <r>
    <s v="ATD00137"/>
    <d v="2025-04-10T00:00:00"/>
    <x v="1"/>
    <s v="Q2"/>
    <s v="Thursday"/>
    <s v="EMP023"/>
    <s v="Employee 23"/>
    <x v="4"/>
    <s v="HR Executive"/>
    <s v="Bengaluru"/>
    <s v="Flexible Shift"/>
    <d v="1899-12-30T09:00:00"/>
    <d v="1899-12-30T18:00:00"/>
    <n v="8"/>
    <n v="0"/>
    <x v="0"/>
    <m/>
    <n v="4"/>
    <s v="L4"/>
    <s v="P. Priya"/>
    <x v="2"/>
    <m/>
    <n v="27"/>
    <x v="1"/>
    <n v="44180"/>
    <n v="18000000"/>
    <s v="&lt;30 Days Hiring Cycle"/>
    <n v="560000"/>
    <s v="Medium"/>
    <s v="Hiring &amp; Retention"/>
    <n v="0.41666666666666669"/>
    <n v="0.79166666666666663"/>
    <n v="8"/>
    <s v="Working Day"/>
    <x v="0"/>
  </r>
  <r>
    <s v="ATD00138"/>
    <d v="2025-06-01T00:00:00"/>
    <x v="0"/>
    <s v="Q2"/>
    <s v="Sunday"/>
    <s v="EMP011"/>
    <s v="Employee 11"/>
    <x v="3"/>
    <s v="Accountant"/>
    <s v="Coimbatore"/>
    <s v="Morning Shift"/>
    <d v="1899-12-30T09:00:00"/>
    <d v="1899-12-30T18:00:00"/>
    <n v="8"/>
    <n v="0"/>
    <x v="0"/>
    <m/>
    <m/>
    <s v="L1"/>
    <s v="M. Mahesh"/>
    <x v="2"/>
    <s v="Late Login"/>
    <n v="33"/>
    <x v="1"/>
    <n v="44910"/>
    <n v="26000000"/>
    <s v="100% Payroll Accuracy"/>
    <n v="640000"/>
    <s v="High"/>
    <s v="Financial Compliance"/>
    <n v="0.25"/>
    <n v="0.625"/>
    <n v="8"/>
    <s v="Working Day"/>
    <x v="0"/>
  </r>
  <r>
    <s v="ATD00139"/>
    <d v="2025-06-25T00:00:00"/>
    <x v="0"/>
    <s v="Q2"/>
    <s v="Wednesday"/>
    <s v="EMP037"/>
    <s v="Employee 37"/>
    <x v="4"/>
    <s v="HR Executive"/>
    <s v="Chennai"/>
    <s v="Afternoon Shift"/>
    <d v="1899-12-30T09:00:00"/>
    <d v="1899-12-30T18:00:00"/>
    <n v="8"/>
    <n v="0"/>
    <x v="0"/>
    <m/>
    <n v="4"/>
    <s v="L4"/>
    <s v="P. Priya"/>
    <x v="2"/>
    <m/>
    <n v="23"/>
    <x v="0"/>
    <n v="43876"/>
    <n v="18000000"/>
    <s v="&lt;30 Days Hiring Cycle"/>
    <n v="560000"/>
    <s v="Medium"/>
    <s v="Hiring &amp; Retention"/>
    <n v="0.58333333333333337"/>
    <n v="0.95833333333333337"/>
    <n v="8"/>
    <s v="Working Day"/>
    <x v="0"/>
  </r>
  <r>
    <s v="ATD00140"/>
    <d v="2025-03-27T00:00:00"/>
    <x v="4"/>
    <s v="Q1"/>
    <s v="Thursday"/>
    <s v="EMP034"/>
    <s v="Employee 34"/>
    <x v="5"/>
    <s v="Marketing Executive"/>
    <s v="Hyderabad"/>
    <s v="Afternoon Shift"/>
    <d v="1899-12-30T09:00:00"/>
    <d v="1899-12-30T18:00:00"/>
    <n v="8"/>
    <n v="0"/>
    <x v="0"/>
    <m/>
    <n v="3"/>
    <s v="L1"/>
    <s v="S. Swetha"/>
    <x v="3"/>
    <m/>
    <n v="38"/>
    <x v="0"/>
    <n v="45611"/>
    <n v="22000000"/>
    <s v="2500 Qualified Leads"/>
    <n v="590000"/>
    <s v="Medium"/>
    <s v="Lead Generation"/>
    <n v="0.58333333333333337"/>
    <n v="0.95833333333333337"/>
    <n v="8"/>
    <s v="Working Day"/>
    <x v="0"/>
  </r>
  <r>
    <s v="ATD00141"/>
    <d v="2025-03-04T00:00:00"/>
    <x v="4"/>
    <s v="Q1"/>
    <s v="Tuesday"/>
    <s v="EMP050"/>
    <s v="Employee 50"/>
    <x v="2"/>
    <s v="Software Engineer"/>
    <s v="Madurai"/>
    <s v="General Shift"/>
    <d v="1899-12-30T09:00:00"/>
    <d v="1899-12-30T18:00:00"/>
    <n v="8.5"/>
    <n v="0.5"/>
    <x v="0"/>
    <m/>
    <n v="5"/>
    <s v="L3"/>
    <s v="R. Karthikeyan"/>
    <x v="3"/>
    <s v="Client Visit"/>
    <n v="36"/>
    <x v="0"/>
    <n v="43539"/>
    <n v="85000000"/>
    <s v="99.5% System Uptime"/>
    <n v="720000"/>
    <s v="High"/>
    <s v="Project Delivery"/>
    <n v="0.375"/>
    <n v="0.75"/>
    <n v="8"/>
    <s v="Working Day"/>
    <x v="0"/>
  </r>
  <r>
    <s v="ATD00142"/>
    <d v="2025-05-07T00:00:00"/>
    <x v="3"/>
    <s v="Q2"/>
    <s v="Wednesday"/>
    <s v="EMP003"/>
    <s v="Employee 3"/>
    <x v="6"/>
    <s v="Sales Executive"/>
    <s v="Bengaluru"/>
    <s v="Morning Shift"/>
    <d v="1899-12-30T09:35:00"/>
    <d v="1899-12-30T18:00:00"/>
    <n v="8"/>
    <n v="0"/>
    <x v="0"/>
    <m/>
    <n v="3"/>
    <s v="L1"/>
    <s v="V. Vivek"/>
    <x v="0"/>
    <m/>
    <n v="25"/>
    <x v="1"/>
    <n v="44301"/>
    <n v="42000000"/>
    <s v="₹2.5 Cr Monthly Sales"/>
    <n v="680000"/>
    <s v="High"/>
    <s v="Revenue Achievement"/>
    <n v="0.25"/>
    <n v="0.625"/>
    <n v="8"/>
    <s v="Working Day"/>
    <x v="0"/>
  </r>
  <r>
    <s v="ATD00143"/>
    <d v="2025-03-10T00:00:00"/>
    <x v="4"/>
    <s v="Q1"/>
    <s v="Monday"/>
    <s v="EMP035"/>
    <s v="Employee 35"/>
    <x v="0"/>
    <s v="Support Executive"/>
    <s v="Madurai"/>
    <s v="Morning Shift"/>
    <d v="1899-12-30T09:00:00"/>
    <d v="1899-12-30T18:00:00"/>
    <n v="8"/>
    <n v="0"/>
    <x v="0"/>
    <m/>
    <n v="5"/>
    <s v="L2"/>
    <s v="V. Vinoth"/>
    <x v="3"/>
    <m/>
    <n v="39"/>
    <x v="1"/>
    <n v="43449"/>
    <n v="24000000"/>
    <s v="90% Customer Satisfaction"/>
    <n v="520000"/>
    <s v="High"/>
    <s v="Customer Satisfaction"/>
    <n v="0.25"/>
    <n v="0.625"/>
    <n v="8"/>
    <s v="Working Day"/>
    <x v="0"/>
  </r>
  <r>
    <s v="ATD00144"/>
    <d v="2025-05-03T00:00:00"/>
    <x v="3"/>
    <s v="Q2"/>
    <s v="Saturday"/>
    <s v="EMP030"/>
    <s v="Employee 30"/>
    <x v="4"/>
    <s v="HR Executive"/>
    <s v="Madurai"/>
    <s v="Morning Shift"/>
    <d v="1899-12-30T09:00:00"/>
    <d v="1899-12-30T18:00:00"/>
    <n v="8"/>
    <n v="0"/>
    <x v="0"/>
    <m/>
    <n v="4"/>
    <s v="L1"/>
    <s v="P. Priya"/>
    <x v="2"/>
    <m/>
    <n v="34"/>
    <x v="0"/>
    <n v="44027"/>
    <n v="18000000"/>
    <s v="&lt;30 Days Hiring Cycle"/>
    <n v="560000"/>
    <s v="Medium"/>
    <s v="Hiring &amp; Retention"/>
    <n v="0.25"/>
    <n v="0.625"/>
    <n v="8"/>
    <s v="Working Day"/>
    <x v="0"/>
  </r>
  <r>
    <s v="ATD00145"/>
    <d v="2025-02-22T00:00:00"/>
    <x v="5"/>
    <s v="Q1"/>
    <s v="Saturday"/>
    <s v="EMP011"/>
    <s v="Employee 11"/>
    <x v="3"/>
    <s v="Accountant"/>
    <s v="Coimbatore"/>
    <s v="Afternoon Shift"/>
    <d v="1899-12-30T09:00:00"/>
    <d v="1899-12-30T18:00:00"/>
    <n v="8"/>
    <n v="0"/>
    <x v="0"/>
    <m/>
    <n v="3"/>
    <s v="L3"/>
    <s v="M. Mahesh"/>
    <x v="0"/>
    <s v="Work From Home"/>
    <n v="33"/>
    <x v="1"/>
    <n v="44910"/>
    <n v="26000000"/>
    <s v="100% Payroll Accuracy"/>
    <n v="640000"/>
    <s v="High"/>
    <s v="Financial Compliance"/>
    <n v="0.58333333333333337"/>
    <n v="0.95833333333333337"/>
    <n v="8"/>
    <s v="Working Day"/>
    <x v="0"/>
  </r>
  <r>
    <s v="ATD00146"/>
    <d v="2025-02-07T00:00:00"/>
    <x v="5"/>
    <s v="Q1"/>
    <s v="Friday"/>
    <s v="EMP046"/>
    <s v="Employee 46"/>
    <x v="3"/>
    <s v="Accountant"/>
    <s v="Coimbatore"/>
    <s v="Flexible Shift"/>
    <d v="1899-12-30T09:00:00"/>
    <d v="1899-12-30T18:00:00"/>
    <n v="8"/>
    <n v="0"/>
    <x v="0"/>
    <m/>
    <n v="4"/>
    <s v="L1"/>
    <s v="M. Mahesh"/>
    <x v="1"/>
    <m/>
    <n v="32"/>
    <x v="0"/>
    <n v="44880"/>
    <n v="26000000"/>
    <s v="100% Payroll Accuracy"/>
    <n v="640000"/>
    <s v="High"/>
    <s v="Financial Compliance"/>
    <n v="0.41666666666666669"/>
    <n v="0.79166666666666663"/>
    <n v="8"/>
    <s v="Working Day"/>
    <x v="0"/>
  </r>
  <r>
    <s v="ATD00147"/>
    <d v="2025-03-18T00:00:00"/>
    <x v="4"/>
    <s v="Q1"/>
    <s v="Tuesday"/>
    <s v="EMP001"/>
    <s v="Employee 1"/>
    <x v="2"/>
    <s v="Software Engineer"/>
    <s v="Coimbatore"/>
    <s v="Night Shift"/>
    <d v="1899-12-30T22:00:00"/>
    <d v="1899-12-30T07:00:00"/>
    <n v="9.5"/>
    <n v="1.5"/>
    <x v="0"/>
    <m/>
    <n v="3"/>
    <s v="L4"/>
    <s v="R. Karthikeyan"/>
    <x v="2"/>
    <s v="Work From Home"/>
    <n v="23"/>
    <x v="1"/>
    <n v="43511"/>
    <n v="85000000"/>
    <s v="99.5% System Uptime"/>
    <n v="720000"/>
    <s v="High"/>
    <s v="Project Delivery"/>
    <n v="0.91666666666666663"/>
    <n v="0.29166666666666669"/>
    <n v="8"/>
    <s v="Working Day"/>
    <x v="0"/>
  </r>
  <r>
    <s v="ATD00148"/>
    <d v="2025-01-11T00:00:00"/>
    <x v="2"/>
    <s v="Q1"/>
    <s v="Saturday"/>
    <s v="EMP024"/>
    <s v="Employee 24"/>
    <x v="6"/>
    <s v="Sales Executive"/>
    <s v="Hyderabad"/>
    <s v="Night Shift"/>
    <d v="1899-12-30T09:00:00"/>
    <d v="1899-12-30T07:00:00"/>
    <n v="9"/>
    <n v="1"/>
    <x v="0"/>
    <m/>
    <n v="3"/>
    <s v="L2"/>
    <s v="V. Vivek"/>
    <x v="2"/>
    <s v="Client Visit"/>
    <n v="28"/>
    <x v="1"/>
    <n v="44211"/>
    <n v="42000000"/>
    <s v="₹2.5 Cr Monthly Sales"/>
    <n v="680000"/>
    <s v="High"/>
    <s v="Revenue Achievement"/>
    <n v="0.91666666666666663"/>
    <n v="0.29166666666666669"/>
    <n v="8"/>
    <s v="Working Day"/>
    <x v="0"/>
  </r>
  <r>
    <s v="ATD00149"/>
    <d v="2025-06-28T00:00:00"/>
    <x v="0"/>
    <s v="Q2"/>
    <s v="Saturday"/>
    <s v="EMP038"/>
    <s v="Employee 38"/>
    <x v="6"/>
    <s v="Sales Executive"/>
    <s v="Bengaluru"/>
    <s v="Afternoon Shift"/>
    <d v="1899-12-30T09:20:00"/>
    <d v="1899-12-30T18:00:00"/>
    <n v="8"/>
    <n v="0"/>
    <x v="0"/>
    <m/>
    <n v="5"/>
    <s v="L4"/>
    <s v="V. Vivek"/>
    <x v="1"/>
    <m/>
    <n v="24"/>
    <x v="1"/>
    <n v="44270"/>
    <n v="42000000"/>
    <s v="₹2.5 Cr Monthly Sales"/>
    <n v="680000"/>
    <s v="High"/>
    <s v="Revenue Achievement"/>
    <n v="0.58333333333333337"/>
    <n v="0.95833333333333337"/>
    <n v="8"/>
    <s v="Working Day"/>
    <x v="0"/>
  </r>
  <r>
    <s v="ATD00150"/>
    <d v="2025-04-27T00:00:00"/>
    <x v="1"/>
    <s v="Q2"/>
    <s v="Sunday"/>
    <s v="EMP034"/>
    <s v="Employee 34"/>
    <x v="5"/>
    <s v="Marketing Executive"/>
    <s v="Hyderabad"/>
    <s v="Afternoon Shift"/>
    <d v="1899-12-30T09:00:00"/>
    <d v="1899-12-30T18:00:00"/>
    <n v="8"/>
    <n v="0"/>
    <x v="0"/>
    <m/>
    <n v="4"/>
    <s v="L4"/>
    <s v="S. Swetha"/>
    <x v="2"/>
    <s v="Work From Home"/>
    <n v="38"/>
    <x v="0"/>
    <n v="45611"/>
    <n v="22000000"/>
    <s v="2500 Qualified Leads"/>
    <n v="590000"/>
    <s v="Medium"/>
    <s v="Lead Generation"/>
    <n v="0.58333333333333337"/>
    <n v="0.95833333333333337"/>
    <n v="8"/>
    <s v="Working Day"/>
    <x v="0"/>
  </r>
  <r>
    <s v="ATD00151"/>
    <d v="2025-06-25T00:00:00"/>
    <x v="0"/>
    <s v="Q2"/>
    <s v="Wednesday"/>
    <s v="EMP046"/>
    <s v="Employee 46"/>
    <x v="3"/>
    <s v="Accountant"/>
    <s v="Coimbatore"/>
    <s v="General Shift"/>
    <d v="1899-12-30T09:00:00"/>
    <d v="1899-12-30T18:00:00"/>
    <n v="8"/>
    <n v="0"/>
    <x v="0"/>
    <m/>
    <n v="3"/>
    <s v="L1"/>
    <s v="M. Mahesh"/>
    <x v="3"/>
    <s v="Client Visit"/>
    <n v="32"/>
    <x v="0"/>
    <n v="44880"/>
    <n v="26000000"/>
    <s v="100% Payroll Accuracy"/>
    <n v="640000"/>
    <s v="High"/>
    <s v="Financial Compliance"/>
    <n v="0.375"/>
    <n v="0.75"/>
    <n v="8"/>
    <s v="Working Day"/>
    <x v="0"/>
  </r>
  <r>
    <s v="ATD00152"/>
    <d v="2025-04-03T00:00:00"/>
    <x v="1"/>
    <s v="Q2"/>
    <s v="Thursday"/>
    <s v="EMP049"/>
    <s v="Employee 49"/>
    <x v="0"/>
    <s v="Support Executive"/>
    <s v="Hyderabad"/>
    <s v="Night Shift"/>
    <d v="1899-12-30T22:00:00"/>
    <m/>
    <n v="10"/>
    <n v="2"/>
    <x v="0"/>
    <m/>
    <n v="4"/>
    <s v="L3"/>
    <s v="V. Vinoth"/>
    <x v="2"/>
    <s v="Late Login"/>
    <n v="35"/>
    <x v="1"/>
    <n v="43146"/>
    <n v="24000000"/>
    <s v="90% Customer Satisfaction"/>
    <n v="520000"/>
    <s v="High"/>
    <s v="Customer Satisfaction"/>
    <n v="0.91666666666666663"/>
    <n v="0.29166666666666669"/>
    <n v="8"/>
    <s v="Working Day"/>
    <x v="0"/>
  </r>
  <r>
    <s v="ATD00153"/>
    <d v="2025-02-26T00:00:00"/>
    <x v="5"/>
    <s v="Q1"/>
    <s v="Wednesday"/>
    <s v="EMP047"/>
    <s v="Employee 47"/>
    <x v="1"/>
    <s v="Operations Executive"/>
    <s v="Chennai"/>
    <s v="Afternoon Shift"/>
    <d v="1899-12-30T09:00:00"/>
    <d v="1899-12-30T18:00:00"/>
    <n v="8"/>
    <n v="0"/>
    <x v="0"/>
    <m/>
    <n v="4"/>
    <s v="L1"/>
    <s v="D. Dinesh"/>
    <x v="1"/>
    <s v="Work From Home"/>
    <n v="33"/>
    <x v="1"/>
    <n v="45275"/>
    <n v="34000000"/>
    <s v="95% Process Efficiency"/>
    <n v="610000"/>
    <s v="High"/>
    <s v="Operational Efficiency"/>
    <n v="0.58333333333333337"/>
    <n v="0.95833333333333337"/>
    <n v="8"/>
    <s v="Mahashivratri"/>
    <x v="3"/>
  </r>
  <r>
    <s v="ATD00154"/>
    <d v="2025-04-01T00:00:00"/>
    <x v="1"/>
    <s v="Q2"/>
    <s v="Tuesday"/>
    <s v="EMP050"/>
    <s v="Employee 50"/>
    <x v="2"/>
    <s v="Software Engineer"/>
    <s v="Madurai"/>
    <s v="Afternoon Shift"/>
    <d v="1899-12-30T09:00:00"/>
    <d v="1899-12-30T18:00:00"/>
    <n v="10"/>
    <n v="2"/>
    <x v="0"/>
    <m/>
    <n v="5"/>
    <s v="L4"/>
    <s v="R. Karthikeyan"/>
    <x v="3"/>
    <s v="Client Visit"/>
    <n v="36"/>
    <x v="0"/>
    <n v="43539"/>
    <n v="85000000"/>
    <s v="99.5% System Uptime"/>
    <n v="720000"/>
    <s v="High"/>
    <s v="Project Delivery"/>
    <n v="0.58333333333333337"/>
    <n v="0.95833333333333337"/>
    <n v="8"/>
    <s v="Working Day"/>
    <x v="0"/>
  </r>
  <r>
    <s v="ATD00155"/>
    <d v="2025-06-20T00:00:00"/>
    <x v="0"/>
    <s v="Q2"/>
    <s v="Friday"/>
    <s v="EMP006"/>
    <s v="Employee 6"/>
    <x v="5"/>
    <s v="Marketing Executive"/>
    <s v="Coimbatore"/>
    <s v="Flexible Shift"/>
    <d v="1899-12-30T09:00:00"/>
    <d v="1899-12-30T18:00:00"/>
    <n v="8"/>
    <n v="0"/>
    <x v="0"/>
    <m/>
    <n v="4"/>
    <s v="L2"/>
    <s v="S. Swetha"/>
    <x v="2"/>
    <s v="Work From Home"/>
    <n v="28"/>
    <x v="0"/>
    <n v="45488"/>
    <n v="22000000"/>
    <s v="2500 Qualified Leads"/>
    <n v="590000"/>
    <s v="Medium"/>
    <s v="Lead Generation"/>
    <n v="0.41666666666666669"/>
    <n v="0.79166666666666663"/>
    <n v="8"/>
    <s v="Working Day"/>
    <x v="0"/>
  </r>
  <r>
    <s v="ATD00156"/>
    <d v="2025-02-20T00:00:00"/>
    <x v="5"/>
    <s v="Q1"/>
    <s v="Thursday"/>
    <s v="EMP006"/>
    <s v="Employee 6"/>
    <x v="5"/>
    <s v="Marketing Executive"/>
    <s v="Coimbatore"/>
    <s v="Night Shift"/>
    <m/>
    <m/>
    <m/>
    <m/>
    <x v="2"/>
    <m/>
    <m/>
    <s v="L2"/>
    <s v="S. Swetha"/>
    <x v="0"/>
    <s v="Late Login"/>
    <n v="28"/>
    <x v="0"/>
    <n v="45488"/>
    <n v="22000000"/>
    <s v="2500 Qualified Leads"/>
    <n v="590000"/>
    <s v="Medium"/>
    <s v="Lead Generation"/>
    <n v="0.91666666666666663"/>
    <n v="0.29166666666666669"/>
    <n v="8"/>
    <s v="Working Day"/>
    <x v="0"/>
  </r>
  <r>
    <s v="ATD00157"/>
    <d v="2025-06-06T00:00:00"/>
    <x v="0"/>
    <s v="Q2"/>
    <s v="Friday"/>
    <s v="EMP017"/>
    <s v="Employee 17"/>
    <x v="6"/>
    <s v="Sales Executive"/>
    <s v="Chennai"/>
    <s v="General Shift"/>
    <d v="1899-12-30T09:20:00"/>
    <d v="1899-12-30T18:00:00"/>
    <n v="8"/>
    <n v="0"/>
    <x v="0"/>
    <m/>
    <n v="3"/>
    <s v="L3"/>
    <s v="V. Vivek"/>
    <x v="0"/>
    <s v="Client Visit"/>
    <n v="39"/>
    <x v="1"/>
    <n v="44362"/>
    <n v="42000000"/>
    <s v="₹2.5 Cr Monthly Sales"/>
    <n v="680000"/>
    <s v="High"/>
    <s v="Revenue Achievement"/>
    <n v="0.375"/>
    <n v="0.75"/>
    <n v="8"/>
    <s v="Working Day"/>
    <x v="0"/>
  </r>
  <r>
    <s v="ATD00158"/>
    <d v="2025-06-26T00:00:00"/>
    <x v="0"/>
    <s v="Q2"/>
    <s v="Thursday"/>
    <s v="EMP049"/>
    <s v="Employee 49"/>
    <x v="0"/>
    <s v="Support Executive"/>
    <s v="Hyderabad"/>
    <s v="Night Shift"/>
    <d v="1899-12-30T22:00:00"/>
    <d v="1899-12-30T07:00:00"/>
    <n v="9.5"/>
    <n v="1.5"/>
    <x v="0"/>
    <m/>
    <n v="4"/>
    <s v="L2"/>
    <s v="V. Vinoth"/>
    <x v="3"/>
    <s v="Work From Home"/>
    <n v="35"/>
    <x v="1"/>
    <n v="43146"/>
    <n v="24000000"/>
    <s v="90% Customer Satisfaction"/>
    <n v="520000"/>
    <s v="High"/>
    <s v="Customer Satisfaction"/>
    <n v="0.91666666666666663"/>
    <n v="0.29166666666666669"/>
    <n v="8"/>
    <s v="Working Day"/>
    <x v="0"/>
  </r>
  <r>
    <s v="ATD00159"/>
    <d v="2025-04-27T00:00:00"/>
    <x v="1"/>
    <s v="Q2"/>
    <s v="Sunday"/>
    <s v="EMP031"/>
    <s v="Employee 31"/>
    <x v="6"/>
    <s v="Sales Executive"/>
    <s v="Coimbatore"/>
    <s v="Night Shift"/>
    <d v="1899-12-30T09:35:00"/>
    <d v="1899-12-30T07:00:00"/>
    <n v="10"/>
    <n v="2"/>
    <x v="0"/>
    <m/>
    <n v="4"/>
    <s v="L2"/>
    <s v="V. Vivek"/>
    <x v="2"/>
    <s v="Work From Home"/>
    <n v="35"/>
    <x v="1"/>
    <n v="44423"/>
    <n v="42000000"/>
    <s v="₹2.5 Cr Monthly Sales"/>
    <n v="680000"/>
    <s v="High"/>
    <s v="Revenue Achievement"/>
    <n v="0.91666666666666663"/>
    <n v="0.29166666666666669"/>
    <n v="8"/>
    <s v="Working Day"/>
    <x v="0"/>
  </r>
  <r>
    <s v="ATD00160"/>
    <d v="2025-05-01T00:00:00"/>
    <x v="3"/>
    <s v="Q2"/>
    <s v="Thursday"/>
    <s v="EMP024"/>
    <s v="Employee 24"/>
    <x v="6"/>
    <s v="Sales Executive"/>
    <s v="Hyderabad"/>
    <s v="Flexible Shift"/>
    <d v="1899-12-30T09:00:00"/>
    <m/>
    <n v="8"/>
    <n v="0"/>
    <x v="0"/>
    <m/>
    <n v="3"/>
    <s v="L2"/>
    <s v="V. Vivek"/>
    <x v="1"/>
    <s v="Client Visit"/>
    <n v="28"/>
    <x v="1"/>
    <n v="44211"/>
    <n v="42000000"/>
    <s v="₹2.5 Cr Monthly Sales"/>
    <n v="680000"/>
    <s v="High"/>
    <s v="Revenue Achievement"/>
    <n v="0.41666666666666669"/>
    <n v="0.79166666666666663"/>
    <n v="8"/>
    <s v="Labour Day"/>
    <x v="1"/>
  </r>
  <r>
    <s v="ATD00161"/>
    <d v="2025-06-12T00:00:00"/>
    <x v="0"/>
    <s v="Q2"/>
    <s v="Thursday"/>
    <s v="EMP042"/>
    <s v="Employee 42"/>
    <x v="0"/>
    <s v="Support Executive"/>
    <s v="Chennai"/>
    <s v="Night Shift"/>
    <d v="1899-12-30T22:00:00"/>
    <m/>
    <n v="9"/>
    <n v="1"/>
    <x v="0"/>
    <m/>
    <n v="5"/>
    <s v="L1"/>
    <s v="V. Vinoth"/>
    <x v="3"/>
    <s v="Late Login"/>
    <n v="28"/>
    <x v="0"/>
    <n v="43296"/>
    <n v="24000000"/>
    <s v="90% Customer Satisfaction"/>
    <n v="520000"/>
    <s v="High"/>
    <s v="Customer Satisfaction"/>
    <n v="0.91666666666666663"/>
    <n v="0.29166666666666669"/>
    <n v="8"/>
    <s v="Working Day"/>
    <x v="0"/>
  </r>
  <r>
    <s v="ATD00162"/>
    <d v="2025-01-20T00:00:00"/>
    <x v="2"/>
    <s v="Q1"/>
    <s v="Monday"/>
    <s v="EMP034"/>
    <s v="Employee 34"/>
    <x v="5"/>
    <s v="Marketing Executive"/>
    <s v="Hyderabad"/>
    <s v="Afternoon Shift"/>
    <d v="1899-12-30T09:00:00"/>
    <d v="1899-12-30T18:00:00"/>
    <n v="8"/>
    <n v="0"/>
    <x v="0"/>
    <m/>
    <n v="4"/>
    <s v="L4"/>
    <s v="S. Swetha"/>
    <x v="0"/>
    <s v="Client Visit"/>
    <n v="38"/>
    <x v="0"/>
    <n v="45611"/>
    <n v="22000000"/>
    <s v="2500 Qualified Leads"/>
    <n v="590000"/>
    <s v="Medium"/>
    <s v="Lead Generation"/>
    <n v="0.58333333333333337"/>
    <n v="0.95833333333333337"/>
    <n v="8"/>
    <s v="Working Day"/>
    <x v="0"/>
  </r>
  <r>
    <s v="ATD00163"/>
    <d v="2025-06-30T00:00:00"/>
    <x v="0"/>
    <s v="Q2"/>
    <s v="Monday"/>
    <s v="EMP044"/>
    <s v="Employee 44"/>
    <x v="4"/>
    <s v="HR Executive"/>
    <s v="Hyderabad"/>
    <s v="Morning Shift"/>
    <m/>
    <m/>
    <m/>
    <m/>
    <x v="2"/>
    <m/>
    <m/>
    <s v="L2"/>
    <s v="P. Priya"/>
    <x v="2"/>
    <m/>
    <n v="30"/>
    <x v="0"/>
    <n v="44089"/>
    <n v="18000000"/>
    <s v="&lt;30 Days Hiring Cycle"/>
    <n v="560000"/>
    <s v="Medium"/>
    <s v="Hiring &amp; Retention"/>
    <n v="0.25"/>
    <n v="0.625"/>
    <n v="8"/>
    <s v="Working Day"/>
    <x v="0"/>
  </r>
  <r>
    <s v="ATD00164"/>
    <d v="2025-03-31T00:00:00"/>
    <x v="4"/>
    <s v="Q1"/>
    <s v="Monday"/>
    <s v="EMP030"/>
    <s v="Employee 30"/>
    <x v="4"/>
    <s v="HR Executive"/>
    <s v="Madurai"/>
    <s v="Night Shift"/>
    <d v="1899-12-30T22:00:00"/>
    <d v="1899-12-30T07:00:00"/>
    <n v="9"/>
    <n v="1"/>
    <x v="0"/>
    <m/>
    <n v="4"/>
    <s v="L2"/>
    <s v="P. Priya"/>
    <x v="0"/>
    <s v="Late Login"/>
    <n v="34"/>
    <x v="0"/>
    <n v="44027"/>
    <n v="18000000"/>
    <s v="&lt;30 Days Hiring Cycle"/>
    <n v="560000"/>
    <s v="Medium"/>
    <s v="Hiring &amp; Retention"/>
    <n v="0.91666666666666663"/>
    <n v="0.29166666666666669"/>
    <n v="8"/>
    <s v="Working Day"/>
    <x v="0"/>
  </r>
  <r>
    <s v="ATD00165"/>
    <d v="2025-01-03T00:00:00"/>
    <x v="2"/>
    <s v="Q1"/>
    <s v="Friday"/>
    <s v="EMP047"/>
    <s v="Employee 47"/>
    <x v="1"/>
    <s v="Operations Executive"/>
    <s v="Chennai"/>
    <s v="General Shift"/>
    <d v="1899-12-30T09:00:00"/>
    <d v="1899-12-30T18:00:00"/>
    <n v="8"/>
    <n v="0"/>
    <x v="0"/>
    <m/>
    <n v="4"/>
    <s v="L3"/>
    <s v="D. Dinesh"/>
    <x v="0"/>
    <s v="Work From Home"/>
    <n v="33"/>
    <x v="1"/>
    <n v="45275"/>
    <n v="34000000"/>
    <s v="95% Process Efficiency"/>
    <n v="610000"/>
    <s v="High"/>
    <s v="Operational Efficiency"/>
    <n v="0.375"/>
    <n v="0.75"/>
    <n v="8"/>
    <s v="Working Day"/>
    <x v="0"/>
  </r>
  <r>
    <s v="ATD00166"/>
    <d v="2025-06-12T00:00:00"/>
    <x v="0"/>
    <s v="Q2"/>
    <s v="Thursday"/>
    <s v="EMP016"/>
    <s v="Employee 16"/>
    <x v="4"/>
    <s v="HR Executive"/>
    <s v="Coimbatore"/>
    <s v="Afternoon Shift"/>
    <d v="1899-12-30T09:00:00"/>
    <d v="1899-12-30T18:00:00"/>
    <n v="8"/>
    <n v="0"/>
    <x v="0"/>
    <m/>
    <n v="4"/>
    <s v="L1"/>
    <s v="P. Priya"/>
    <x v="0"/>
    <m/>
    <n v="38"/>
    <x v="0"/>
    <n v="43966"/>
    <n v="18000000"/>
    <s v="&lt;30 Days Hiring Cycle"/>
    <n v="560000"/>
    <s v="Medium"/>
    <s v="Hiring &amp; Retention"/>
    <n v="0.58333333333333337"/>
    <n v="0.95833333333333337"/>
    <n v="8"/>
    <s v="Working Day"/>
    <x v="0"/>
  </r>
  <r>
    <s v="ATD00167"/>
    <d v="2025-06-09T00:00:00"/>
    <x v="0"/>
    <s v="Q2"/>
    <s v="Monday"/>
    <s v="EMP047"/>
    <s v="Employee 47"/>
    <x v="1"/>
    <s v="Operations Executive"/>
    <s v="Chennai"/>
    <s v="Morning Shift"/>
    <d v="1899-12-30T09:00:00"/>
    <d v="1899-12-30T18:00:00"/>
    <n v="8"/>
    <n v="0"/>
    <x v="0"/>
    <m/>
    <n v="4"/>
    <s v="L1"/>
    <s v="D. Dinesh"/>
    <x v="0"/>
    <s v="Late Login"/>
    <n v="33"/>
    <x v="1"/>
    <n v="45275"/>
    <n v="34000000"/>
    <s v="95% Process Efficiency"/>
    <n v="610000"/>
    <s v="High"/>
    <s v="Operational Efficiency"/>
    <n v="0.25"/>
    <n v="0.625"/>
    <n v="8"/>
    <s v="Working Day"/>
    <x v="0"/>
  </r>
  <r>
    <s v="ATD00168"/>
    <d v="2025-03-30T00:00:00"/>
    <x v="4"/>
    <s v="Q1"/>
    <s v="Sunday"/>
    <s v="EMP035"/>
    <s v="Employee 35"/>
    <x v="0"/>
    <s v="Support Executive"/>
    <s v="Madurai"/>
    <s v="Afternoon Shift"/>
    <m/>
    <m/>
    <m/>
    <m/>
    <x v="2"/>
    <m/>
    <m/>
    <s v="L4"/>
    <s v="V. Vinoth"/>
    <x v="2"/>
    <s v="Work From Home"/>
    <n v="39"/>
    <x v="1"/>
    <n v="43449"/>
    <n v="24000000"/>
    <s v="90% Customer Satisfaction"/>
    <n v="520000"/>
    <s v="High"/>
    <s v="Customer Satisfaction"/>
    <n v="0.58333333333333337"/>
    <n v="0.95833333333333337"/>
    <n v="8"/>
    <s v="Working Day"/>
    <x v="0"/>
  </r>
  <r>
    <s v="ATD00169"/>
    <d v="2025-05-03T00:00:00"/>
    <x v="3"/>
    <s v="Q2"/>
    <s v="Saturday"/>
    <s v="EMP024"/>
    <s v="Employee 24"/>
    <x v="6"/>
    <s v="Sales Executive"/>
    <s v="Hyderabad"/>
    <s v="General Shift"/>
    <d v="1899-12-30T09:20:00"/>
    <d v="1899-12-30T18:00:00"/>
    <n v="8"/>
    <n v="0"/>
    <x v="0"/>
    <m/>
    <n v="4"/>
    <s v="L4"/>
    <s v="V. Vivek"/>
    <x v="2"/>
    <s v="Client Visit"/>
    <n v="28"/>
    <x v="1"/>
    <n v="44211"/>
    <n v="42000000"/>
    <s v="₹2.5 Cr Monthly Sales"/>
    <n v="680000"/>
    <s v="High"/>
    <s v="Revenue Achievement"/>
    <n v="0.375"/>
    <n v="0.75"/>
    <n v="8"/>
    <s v="Working Day"/>
    <x v="0"/>
  </r>
  <r>
    <s v="ATD00170"/>
    <d v="2025-04-18T00:00:00"/>
    <x v="1"/>
    <s v="Q2"/>
    <s v="Friday"/>
    <s v="EMP028"/>
    <s v="Employee 28"/>
    <x v="0"/>
    <s v="Support Executive"/>
    <s v="Bengaluru"/>
    <s v="General Shift"/>
    <d v="1899-12-30T09:00:00"/>
    <d v="1899-12-30T18:00:00"/>
    <n v="8"/>
    <n v="0"/>
    <x v="0"/>
    <m/>
    <m/>
    <s v="L3"/>
    <s v="V. Vinoth"/>
    <x v="0"/>
    <s v="Work From Home"/>
    <n v="32"/>
    <x v="0"/>
    <n v="43235"/>
    <n v="24000000"/>
    <s v="90% Customer Satisfaction"/>
    <n v="520000"/>
    <s v="High"/>
    <s v="Customer Satisfaction"/>
    <n v="0.375"/>
    <n v="0.75"/>
    <n v="8"/>
    <s v="Good Friday"/>
    <x v="3"/>
  </r>
  <r>
    <s v="ATD00171"/>
    <d v="2025-05-12T00:00:00"/>
    <x v="3"/>
    <s v="Q2"/>
    <s v="Monday"/>
    <s v="EMP022"/>
    <s v="Employee 22"/>
    <x v="2"/>
    <s v="Software Engineer"/>
    <s v="Chennai"/>
    <s v="Afternoon Shift"/>
    <d v="1899-12-30T09:00:00"/>
    <d v="1899-12-30T18:00:00"/>
    <n v="8"/>
    <n v="0"/>
    <x v="0"/>
    <m/>
    <n v="3"/>
    <s v="L2"/>
    <s v="R. Karthikeyan"/>
    <x v="2"/>
    <m/>
    <n v="26"/>
    <x v="0"/>
    <n v="43784"/>
    <n v="85000000"/>
    <s v="99.5% System Uptime"/>
    <n v="720000"/>
    <s v="High"/>
    <s v="Project Delivery"/>
    <n v="0.58333333333333337"/>
    <n v="0.95833333333333337"/>
    <n v="8"/>
    <s v="Working Day"/>
    <x v="0"/>
  </r>
  <r>
    <s v="ATD00172"/>
    <d v="2025-03-12T00:00:00"/>
    <x v="4"/>
    <s v="Q1"/>
    <s v="Wednesday"/>
    <s v="EMP029"/>
    <s v="Employee 29"/>
    <x v="2"/>
    <s v="Software Engineer"/>
    <s v="Hyderabad"/>
    <s v="General Shift"/>
    <m/>
    <m/>
    <m/>
    <m/>
    <x v="1"/>
    <m/>
    <m/>
    <s v="L1"/>
    <s v="R. Karthikeyan"/>
    <x v="2"/>
    <m/>
    <n v="33"/>
    <x v="1"/>
    <n v="43631"/>
    <n v="85000000"/>
    <s v="99.5% System Uptime"/>
    <n v="720000"/>
    <s v="High"/>
    <s v="Project Delivery"/>
    <n v="0.375"/>
    <n v="0.75"/>
    <n v="8"/>
    <s v="Working Day"/>
    <x v="0"/>
  </r>
  <r>
    <s v="ATD00173"/>
    <d v="2025-04-19T00:00:00"/>
    <x v="1"/>
    <s v="Q2"/>
    <s v="Saturday"/>
    <s v="EMP032"/>
    <s v="Employee 32"/>
    <x v="3"/>
    <s v="Accountant"/>
    <s v="Chennai"/>
    <s v="Afternoon Shift"/>
    <d v="1899-12-30T09:00:00"/>
    <d v="1899-12-30T18:00:00"/>
    <n v="8"/>
    <n v="0"/>
    <x v="0"/>
    <m/>
    <n v="4"/>
    <s v="L3"/>
    <s v="M. Mahesh"/>
    <x v="3"/>
    <m/>
    <n v="36"/>
    <x v="0"/>
    <n v="44819"/>
    <n v="26000000"/>
    <s v="100% Payroll Accuracy"/>
    <n v="640000"/>
    <s v="High"/>
    <s v="Financial Compliance"/>
    <n v="0.58333333333333337"/>
    <n v="0.95833333333333337"/>
    <n v="8"/>
    <s v="Working Day"/>
    <x v="0"/>
  </r>
  <r>
    <s v="ATD00174"/>
    <d v="2025-06-25T00:00:00"/>
    <x v="0"/>
    <s v="Q2"/>
    <s v="Wednesday"/>
    <s v="EMP024"/>
    <s v="Employee 24"/>
    <x v="6"/>
    <s v="Sales Executive"/>
    <s v="Hyderabad"/>
    <s v="Flexible Shift"/>
    <d v="1899-12-30T09:00:00"/>
    <d v="1899-12-30T18:00:00"/>
    <n v="8"/>
    <n v="0"/>
    <x v="0"/>
    <m/>
    <m/>
    <s v="L4"/>
    <s v="V. Vivek"/>
    <x v="1"/>
    <s v="Late Login"/>
    <n v="28"/>
    <x v="1"/>
    <n v="44211"/>
    <n v="42000000"/>
    <s v="₹2.5 Cr Monthly Sales"/>
    <n v="680000"/>
    <s v="High"/>
    <s v="Revenue Achievement"/>
    <n v="0.41666666666666669"/>
    <n v="0.79166666666666663"/>
    <n v="8"/>
    <s v="Working Day"/>
    <x v="0"/>
  </r>
  <r>
    <s v="ATD00175"/>
    <d v="2025-05-02T00:00:00"/>
    <x v="3"/>
    <s v="Q2"/>
    <s v="Friday"/>
    <s v="EMP030"/>
    <s v="Employee 30"/>
    <x v="4"/>
    <s v="HR Executive"/>
    <s v="Madurai"/>
    <s v="Morning Shift"/>
    <d v="1899-12-30T09:00:00"/>
    <d v="1899-12-30T18:00:00"/>
    <n v="8"/>
    <n v="0"/>
    <x v="0"/>
    <m/>
    <n v="4"/>
    <s v="L3"/>
    <s v="P. Priya"/>
    <x v="1"/>
    <s v="Late Login"/>
    <n v="34"/>
    <x v="0"/>
    <n v="44027"/>
    <n v="18000000"/>
    <s v="&lt;30 Days Hiring Cycle"/>
    <n v="560000"/>
    <s v="Medium"/>
    <s v="Hiring &amp; Retention"/>
    <n v="0.25"/>
    <n v="0.625"/>
    <n v="8"/>
    <s v="Working Day"/>
    <x v="0"/>
  </r>
  <r>
    <s v="ATD00176"/>
    <d v="2025-03-03T00:00:00"/>
    <x v="4"/>
    <s v="Q1"/>
    <s v="Monday"/>
    <s v="EMP042"/>
    <s v="Employee 42"/>
    <x v="0"/>
    <s v="Support Executive"/>
    <s v="Chennai"/>
    <s v="General Shift"/>
    <d v="1899-12-30T09:00:00"/>
    <d v="1899-12-30T18:00:00"/>
    <n v="8"/>
    <n v="0"/>
    <x v="0"/>
    <m/>
    <m/>
    <s v="L1"/>
    <s v="V. Vinoth"/>
    <x v="3"/>
    <m/>
    <n v="28"/>
    <x v="0"/>
    <n v="43296"/>
    <n v="24000000"/>
    <s v="90% Customer Satisfaction"/>
    <n v="520000"/>
    <s v="High"/>
    <s v="Customer Satisfaction"/>
    <n v="0.375"/>
    <n v="0.75"/>
    <n v="8"/>
    <s v="Working Day"/>
    <x v="0"/>
  </r>
  <r>
    <s v="ATD00177"/>
    <d v="2025-06-04T00:00:00"/>
    <x v="0"/>
    <s v="Q2"/>
    <s v="Wednesday"/>
    <s v="EMP033"/>
    <s v="Employee 33"/>
    <x v="1"/>
    <s v="Operations Executive"/>
    <s v="Bengaluru"/>
    <s v="Flexible Shift"/>
    <d v="1899-12-30T09:00:00"/>
    <d v="1899-12-30T18:00:00"/>
    <n v="8"/>
    <n v="0"/>
    <x v="0"/>
    <m/>
    <n v="3"/>
    <s v="L1"/>
    <s v="D. Dinesh"/>
    <x v="3"/>
    <s v="Work From Home"/>
    <n v="37"/>
    <x v="1"/>
    <n v="45214"/>
    <n v="34000000"/>
    <s v="95% Process Efficiency"/>
    <n v="610000"/>
    <s v="High"/>
    <s v="Operational Efficiency"/>
    <n v="0.41666666666666669"/>
    <n v="0.79166666666666663"/>
    <n v="8"/>
    <s v="Working Day"/>
    <x v="0"/>
  </r>
  <r>
    <s v="ATD00178"/>
    <d v="2025-03-31T00:00:00"/>
    <x v="4"/>
    <s v="Q1"/>
    <s v="Monday"/>
    <s v="EMP018"/>
    <s v="Employee 18"/>
    <x v="3"/>
    <s v="Accountant"/>
    <s v="Bengaluru"/>
    <s v="Night Shift"/>
    <d v="1899-12-30T22:00:00"/>
    <d v="1899-12-30T07:00:00"/>
    <n v="9"/>
    <n v="1"/>
    <x v="0"/>
    <m/>
    <n v="5"/>
    <s v="L2"/>
    <s v="M. Mahesh"/>
    <x v="3"/>
    <s v="Client Visit"/>
    <n v="22"/>
    <x v="1"/>
    <n v="44757"/>
    <n v="26000000"/>
    <s v="100% Payroll Accuracy"/>
    <n v="640000"/>
    <s v="High"/>
    <s v="Financial Compliance"/>
    <n v="0.91666666666666663"/>
    <n v="0.29166666666666669"/>
    <n v="8"/>
    <s v="Working Day"/>
    <x v="0"/>
  </r>
  <r>
    <s v="ATD00179"/>
    <d v="2025-04-20T00:00:00"/>
    <x v="1"/>
    <s v="Q2"/>
    <s v="Sunday"/>
    <s v="EMP009"/>
    <s v="Employee 9"/>
    <x v="4"/>
    <s v="HR Executive"/>
    <s v="Hyderabad"/>
    <s v="General Shift"/>
    <d v="1899-12-30T09:00:00"/>
    <d v="1899-12-30T18:00:00"/>
    <n v="8"/>
    <n v="0"/>
    <x v="0"/>
    <m/>
    <n v="3"/>
    <s v="L2"/>
    <s v="P. Priya"/>
    <x v="2"/>
    <s v="Work From Home"/>
    <n v="31"/>
    <x v="1"/>
    <n v="44119"/>
    <n v="18000000"/>
    <s v="&lt;30 Days Hiring Cycle"/>
    <n v="560000"/>
    <s v="Medium"/>
    <s v="Hiring &amp; Retention"/>
    <n v="0.375"/>
    <n v="0.75"/>
    <n v="8"/>
    <s v="Working Day"/>
    <x v="0"/>
  </r>
  <r>
    <s v="ATD00180"/>
    <d v="2025-01-21T00:00:00"/>
    <x v="2"/>
    <s v="Q1"/>
    <s v="Tuesday"/>
    <s v="EMP001"/>
    <s v="Employee 1"/>
    <x v="2"/>
    <s v="Software Engineer"/>
    <s v="Coimbatore"/>
    <s v="Morning Shift"/>
    <d v="1899-12-30T09:00:00"/>
    <d v="1899-12-30T18:00:00"/>
    <n v="10"/>
    <n v="2"/>
    <x v="0"/>
    <m/>
    <n v="4"/>
    <s v="L2"/>
    <s v="R. Karthikeyan"/>
    <x v="1"/>
    <s v="Late Login"/>
    <n v="23"/>
    <x v="1"/>
    <n v="43511"/>
    <n v="85000000"/>
    <s v="99.5% System Uptime"/>
    <n v="720000"/>
    <s v="High"/>
    <s v="Project Delivery"/>
    <n v="0.25"/>
    <n v="0.625"/>
    <n v="8"/>
    <s v="Working Day"/>
    <x v="0"/>
  </r>
  <r>
    <s v="ATD00181"/>
    <d v="2025-04-22T00:00:00"/>
    <x v="1"/>
    <s v="Q2"/>
    <s v="Tuesday"/>
    <s v="EMP036"/>
    <s v="Employee 36"/>
    <x v="2"/>
    <s v="Software Engineer"/>
    <s v="Coimbatore"/>
    <s v="Flexible Shift"/>
    <m/>
    <d v="1899-12-30T18:00:00"/>
    <n v="8.5"/>
    <n v="0.5"/>
    <x v="0"/>
    <m/>
    <n v="4"/>
    <s v="L1"/>
    <s v="R. Karthikeyan"/>
    <x v="2"/>
    <s v="Work From Home"/>
    <n v="22"/>
    <x v="1"/>
    <n v="43480"/>
    <n v="85000000"/>
    <s v="99.5% System Uptime"/>
    <n v="720000"/>
    <s v="High"/>
    <s v="Project Delivery"/>
    <n v="0.41666666666666669"/>
    <n v="0.79166666666666663"/>
    <n v="8"/>
    <s v="Working Day"/>
    <x v="0"/>
  </r>
  <r>
    <s v="ATD00182"/>
    <d v="2025-03-10T00:00:00"/>
    <x v="4"/>
    <s v="Q1"/>
    <s v="Monday"/>
    <s v="EMP027"/>
    <s v="Employee 27"/>
    <x v="5"/>
    <s v="Marketing Executive"/>
    <s v="Chennai"/>
    <s v="General Shift"/>
    <d v="1899-12-30T09:00:00"/>
    <d v="1899-12-30T18:00:00"/>
    <n v="8"/>
    <n v="0"/>
    <x v="0"/>
    <m/>
    <n v="4"/>
    <s v="L4"/>
    <s v="S. Swetha"/>
    <x v="3"/>
    <s v="Late Login"/>
    <n v="31"/>
    <x v="1"/>
    <n v="45397"/>
    <n v="22000000"/>
    <s v="2500 Qualified Leads"/>
    <n v="590000"/>
    <s v="Medium"/>
    <s v="Lead Generation"/>
    <n v="0.375"/>
    <n v="0.75"/>
    <n v="8"/>
    <s v="Working Day"/>
    <x v="0"/>
  </r>
  <r>
    <s v="ATD00183"/>
    <d v="2025-06-02T00:00:00"/>
    <x v="0"/>
    <s v="Q2"/>
    <s v="Monday"/>
    <s v="EMP050"/>
    <s v="Employee 50"/>
    <x v="2"/>
    <s v="Software Engineer"/>
    <s v="Madurai"/>
    <s v="Morning Shift"/>
    <m/>
    <m/>
    <m/>
    <m/>
    <x v="2"/>
    <m/>
    <m/>
    <s v="L3"/>
    <s v="R. Karthikeyan"/>
    <x v="2"/>
    <s v="Client Visit"/>
    <n v="36"/>
    <x v="0"/>
    <n v="43539"/>
    <n v="85000000"/>
    <s v="99.5% System Uptime"/>
    <n v="720000"/>
    <s v="High"/>
    <s v="Project Delivery"/>
    <n v="0.25"/>
    <n v="0.625"/>
    <n v="8"/>
    <s v="Working Day"/>
    <x v="0"/>
  </r>
  <r>
    <s v="ATD00184"/>
    <d v="2025-01-22T00:00:00"/>
    <x v="2"/>
    <s v="Q1"/>
    <s v="Wednesday"/>
    <s v="EMP032"/>
    <s v="Employee 32"/>
    <x v="3"/>
    <s v="Accountant"/>
    <s v="Chennai"/>
    <s v="Morning Shift"/>
    <d v="1899-12-30T09:00:00"/>
    <d v="1899-12-30T18:00:00"/>
    <n v="8"/>
    <n v="0"/>
    <x v="0"/>
    <m/>
    <n v="3"/>
    <s v="L1"/>
    <s v="M. Mahesh"/>
    <x v="3"/>
    <s v="Client Visit"/>
    <n v="36"/>
    <x v="0"/>
    <n v="44819"/>
    <n v="26000000"/>
    <s v="100% Payroll Accuracy"/>
    <n v="640000"/>
    <s v="High"/>
    <s v="Financial Compliance"/>
    <n v="0.25"/>
    <n v="0.625"/>
    <n v="8"/>
    <s v="Working Day"/>
    <x v="0"/>
  </r>
  <r>
    <s v="ATD00185"/>
    <d v="2025-03-04T00:00:00"/>
    <x v="4"/>
    <s v="Q1"/>
    <s v="Tuesday"/>
    <s v="EMP004"/>
    <s v="Employee 4"/>
    <x v="3"/>
    <s v="Accountant"/>
    <s v="Hyderabad"/>
    <s v="Flexible Shift"/>
    <d v="1899-12-30T09:00:00"/>
    <d v="1899-12-30T18:00:00"/>
    <n v="8"/>
    <n v="0"/>
    <x v="0"/>
    <m/>
    <n v="4"/>
    <s v="L2"/>
    <s v="M. Mahesh"/>
    <x v="3"/>
    <s v="Work From Home"/>
    <n v="26"/>
    <x v="0"/>
    <n v="44696"/>
    <n v="26000000"/>
    <s v="100% Payroll Accuracy"/>
    <n v="640000"/>
    <s v="High"/>
    <s v="Financial Compliance"/>
    <n v="0.41666666666666669"/>
    <n v="0.79166666666666663"/>
    <n v="8"/>
    <s v="Working Day"/>
    <x v="0"/>
  </r>
  <r>
    <s v="ATD00186"/>
    <d v="2025-05-07T00:00:00"/>
    <x v="3"/>
    <s v="Q2"/>
    <s v="Wednesday"/>
    <s v="EMP045"/>
    <s v="Employee 45"/>
    <x v="6"/>
    <s v="Sales Executive"/>
    <s v="Madurai"/>
    <s v="Afternoon Shift"/>
    <m/>
    <m/>
    <m/>
    <m/>
    <x v="1"/>
    <s v="Casual Leave"/>
    <m/>
    <s v="L1"/>
    <s v="V. Vivek"/>
    <x v="2"/>
    <m/>
    <n v="31"/>
    <x v="1"/>
    <n v="44484"/>
    <n v="42000000"/>
    <s v="₹2.5 Cr Monthly Sales"/>
    <n v="680000"/>
    <s v="High"/>
    <s v="Revenue Achievement"/>
    <n v="0.58333333333333337"/>
    <n v="0.95833333333333337"/>
    <n v="8"/>
    <s v="Working Day"/>
    <x v="0"/>
  </r>
  <r>
    <s v="ATD00187"/>
    <d v="2025-01-22T00:00:00"/>
    <x v="2"/>
    <s v="Q1"/>
    <s v="Wednesday"/>
    <s v="EMP026"/>
    <s v="Employee 26"/>
    <x v="1"/>
    <s v="Operations Executive"/>
    <s v="Coimbatore"/>
    <s v="Morning Shift"/>
    <d v="1899-12-30T09:00:00"/>
    <d v="1899-12-30T18:00:00"/>
    <n v="8"/>
    <n v="0"/>
    <x v="0"/>
    <m/>
    <n v="4"/>
    <s v="L2"/>
    <s v="D. Dinesh"/>
    <x v="2"/>
    <s v="Work From Home"/>
    <n v="30"/>
    <x v="0"/>
    <n v="45000"/>
    <n v="34000000"/>
    <s v="95% Process Efficiency"/>
    <n v="610000"/>
    <s v="High"/>
    <s v="Operational Efficiency"/>
    <n v="0.25"/>
    <n v="0.625"/>
    <n v="8"/>
    <s v="Working Day"/>
    <x v="0"/>
  </r>
  <r>
    <s v="ATD00188"/>
    <d v="2025-01-13T00:00:00"/>
    <x v="2"/>
    <s v="Q1"/>
    <s v="Monday"/>
    <s v="EMP015"/>
    <s v="Employee 15"/>
    <x v="2"/>
    <s v="Software Engineer"/>
    <s v="Madurai"/>
    <s v="Afternoon Shift"/>
    <d v="1899-12-30T09:00:00"/>
    <d v="1899-12-30T18:00:00"/>
    <n v="9"/>
    <n v="1"/>
    <x v="0"/>
    <m/>
    <n v="5"/>
    <s v="L3"/>
    <s v="R. Karthikeyan"/>
    <x v="0"/>
    <m/>
    <n v="37"/>
    <x v="1"/>
    <n v="43570"/>
    <n v="85000000"/>
    <s v="99.5% System Uptime"/>
    <n v="720000"/>
    <s v="High"/>
    <s v="Project Delivery"/>
    <n v="0.58333333333333337"/>
    <n v="0.95833333333333337"/>
    <n v="8"/>
    <s v="Working Day"/>
    <x v="0"/>
  </r>
  <r>
    <s v="ATD00189"/>
    <d v="2025-06-06T00:00:00"/>
    <x v="0"/>
    <s v="Q2"/>
    <s v="Friday"/>
    <s v="EMP046"/>
    <s v="Employee 46"/>
    <x v="3"/>
    <s v="Accountant"/>
    <s v="Coimbatore"/>
    <s v="Night Shift"/>
    <d v="1899-12-30T22:00:00"/>
    <d v="1899-12-30T07:00:00"/>
    <n v="9"/>
    <n v="1"/>
    <x v="0"/>
    <m/>
    <n v="3"/>
    <s v="L4"/>
    <s v="M. Mahesh"/>
    <x v="2"/>
    <s v="Client Visit"/>
    <n v="32"/>
    <x v="0"/>
    <n v="44880"/>
    <n v="26000000"/>
    <s v="100% Payroll Accuracy"/>
    <n v="640000"/>
    <s v="High"/>
    <s v="Financial Compliance"/>
    <n v="0.91666666666666663"/>
    <n v="0.29166666666666669"/>
    <n v="8"/>
    <s v="Working Day"/>
    <x v="0"/>
  </r>
  <r>
    <s v="ATD00190"/>
    <d v="2025-01-26T00:00:00"/>
    <x v="2"/>
    <s v="Q1"/>
    <s v="Sunday"/>
    <s v="EMP027"/>
    <s v="Employee 27"/>
    <x v="5"/>
    <s v="Marketing Executive"/>
    <s v="Chennai"/>
    <s v="Flexible Shift"/>
    <d v="1899-12-30T09:00:00"/>
    <d v="1899-12-30T18:00:00"/>
    <n v="8"/>
    <n v="0"/>
    <x v="0"/>
    <m/>
    <n v="3"/>
    <s v="L3"/>
    <s v="S. Swetha"/>
    <x v="3"/>
    <s v="Work From Home"/>
    <n v="31"/>
    <x v="1"/>
    <n v="45397"/>
    <n v="22000000"/>
    <s v="2500 Qualified Leads"/>
    <n v="590000"/>
    <s v="Medium"/>
    <s v="Lead Generation"/>
    <n v="0.41666666666666669"/>
    <n v="0.79166666666666663"/>
    <n v="8"/>
    <s v="Republic Day"/>
    <x v="1"/>
  </r>
  <r>
    <s v="ATD00191"/>
    <d v="2025-02-28T00:00:00"/>
    <x v="5"/>
    <s v="Q1"/>
    <s v="Friday"/>
    <s v="EMP028"/>
    <s v="Employee 28"/>
    <x v="0"/>
    <s v="Support Executive"/>
    <s v="Bengaluru"/>
    <s v="Afternoon Shift"/>
    <d v="1899-12-30T09:00:00"/>
    <d v="1899-12-30T18:00:00"/>
    <n v="8"/>
    <n v="0"/>
    <x v="0"/>
    <m/>
    <m/>
    <s v="L4"/>
    <s v="V. Vinoth"/>
    <x v="1"/>
    <m/>
    <n v="32"/>
    <x v="0"/>
    <n v="43235"/>
    <n v="24000000"/>
    <s v="90% Customer Satisfaction"/>
    <n v="520000"/>
    <s v="High"/>
    <s v="Customer Satisfaction"/>
    <n v="0.58333333333333337"/>
    <n v="0.95833333333333337"/>
    <n v="8"/>
    <s v="Working Day"/>
    <x v="0"/>
  </r>
  <r>
    <s v="ATD00192"/>
    <d v="2025-01-24T00:00:00"/>
    <x v="2"/>
    <s v="Q1"/>
    <s v="Friday"/>
    <s v="EMP048"/>
    <s v="Employee 48"/>
    <x v="5"/>
    <s v="Marketing Executive"/>
    <s v="Bengaluru"/>
    <s v="Flexible Shift"/>
    <d v="1899-12-30T09:00:00"/>
    <d v="1899-12-30T18:00:00"/>
    <n v="8"/>
    <n v="0"/>
    <x v="0"/>
    <m/>
    <n v="4"/>
    <s v="L3"/>
    <s v="S. Swetha"/>
    <x v="2"/>
    <s v="Work From Home"/>
    <n v="34"/>
    <x v="0"/>
    <n v="45306"/>
    <n v="22000000"/>
    <s v="2500 Qualified Leads"/>
    <n v="590000"/>
    <s v="Medium"/>
    <s v="Lead Generation"/>
    <n v="0.41666666666666669"/>
    <n v="0.79166666666666663"/>
    <n v="8"/>
    <s v="Working Day"/>
    <x v="0"/>
  </r>
  <r>
    <s v="ATD00193"/>
    <d v="2025-04-18T00:00:00"/>
    <x v="1"/>
    <s v="Q2"/>
    <s v="Friday"/>
    <s v="EMP022"/>
    <s v="Employee 22"/>
    <x v="2"/>
    <s v="Software Engineer"/>
    <s v="Chennai"/>
    <s v="General Shift"/>
    <d v="1899-12-30T09:00:00"/>
    <d v="1899-12-30T18:00:00"/>
    <n v="10"/>
    <n v="2"/>
    <x v="0"/>
    <m/>
    <n v="4"/>
    <s v="L3"/>
    <s v="R. Karthikeyan"/>
    <x v="0"/>
    <m/>
    <n v="26"/>
    <x v="0"/>
    <n v="43784"/>
    <n v="85000000"/>
    <s v="99.5% System Uptime"/>
    <n v="720000"/>
    <s v="High"/>
    <s v="Project Delivery"/>
    <n v="0.375"/>
    <n v="0.75"/>
    <n v="8"/>
    <s v="Good Friday"/>
    <x v="3"/>
  </r>
  <r>
    <s v="ATD00194"/>
    <d v="2025-01-09T00:00:00"/>
    <x v="2"/>
    <s v="Q1"/>
    <s v="Thursday"/>
    <s v="EMP015"/>
    <s v="Employee 15"/>
    <x v="2"/>
    <s v="Software Engineer"/>
    <s v="Madurai"/>
    <s v="Flexible Shift"/>
    <d v="1899-12-30T09:00:00"/>
    <d v="1899-12-30T18:00:00"/>
    <n v="9"/>
    <n v="1"/>
    <x v="0"/>
    <m/>
    <n v="4"/>
    <s v="L3"/>
    <s v="R. Karthikeyan"/>
    <x v="0"/>
    <s v="Late Login"/>
    <n v="37"/>
    <x v="1"/>
    <n v="43570"/>
    <n v="85000000"/>
    <s v="99.5% System Uptime"/>
    <n v="720000"/>
    <s v="High"/>
    <s v="Project Delivery"/>
    <n v="0.41666666666666669"/>
    <n v="0.79166666666666663"/>
    <n v="8"/>
    <s v="Working Day"/>
    <x v="0"/>
  </r>
  <r>
    <s v="ATD00195"/>
    <d v="2025-06-14T00:00:00"/>
    <x v="0"/>
    <s v="Q2"/>
    <s v="Saturday"/>
    <s v="EMP032"/>
    <s v="Employee 32"/>
    <x v="3"/>
    <s v="Accountant"/>
    <s v="Chennai"/>
    <s v="Night Shift"/>
    <m/>
    <d v="1899-12-30T07:00:00"/>
    <n v="10"/>
    <n v="2"/>
    <x v="0"/>
    <m/>
    <n v="4"/>
    <s v="L3"/>
    <s v="M. Mahesh"/>
    <x v="3"/>
    <s v="Late Login"/>
    <n v="36"/>
    <x v="0"/>
    <n v="44819"/>
    <n v="26000000"/>
    <s v="100% Payroll Accuracy"/>
    <n v="640000"/>
    <s v="High"/>
    <s v="Financial Compliance"/>
    <n v="0.91666666666666663"/>
    <n v="0.29166666666666669"/>
    <n v="8"/>
    <s v="Working Day"/>
    <x v="0"/>
  </r>
  <r>
    <s v="ATD00196"/>
    <d v="2025-05-11T00:00:00"/>
    <x v="3"/>
    <s v="Q2"/>
    <s v="Sunday"/>
    <s v="EMP041"/>
    <s v="Employee 41"/>
    <x v="5"/>
    <s v="Marketing Executive"/>
    <s v="Coimbatore"/>
    <s v="Afternoon Shift"/>
    <d v="1899-12-30T09:00:00"/>
    <d v="1899-12-30T18:00:00"/>
    <n v="8"/>
    <n v="0"/>
    <x v="0"/>
    <m/>
    <n v="4"/>
    <s v="L3"/>
    <s v="S. Swetha"/>
    <x v="2"/>
    <s v="Client Visit"/>
    <n v="27"/>
    <x v="1"/>
    <n v="45458"/>
    <n v="22000000"/>
    <s v="2500 Qualified Leads"/>
    <n v="590000"/>
    <s v="Medium"/>
    <s v="Lead Generation"/>
    <n v="0.58333333333333337"/>
    <n v="0.95833333333333337"/>
    <n v="8"/>
    <s v="Working Day"/>
    <x v="0"/>
  </r>
  <r>
    <s v="ATD00197"/>
    <d v="2025-01-06T00:00:00"/>
    <x v="2"/>
    <s v="Q1"/>
    <s v="Monday"/>
    <s v="EMP044"/>
    <s v="Employee 44"/>
    <x v="4"/>
    <s v="HR Executive"/>
    <s v="Hyderabad"/>
    <s v="Morning Shift"/>
    <d v="1899-12-30T09:00:00"/>
    <d v="1899-12-30T18:00:00"/>
    <n v="8"/>
    <n v="0"/>
    <x v="0"/>
    <m/>
    <n v="3"/>
    <s v="L2"/>
    <s v="P. Priya"/>
    <x v="3"/>
    <s v="Client Visit"/>
    <n v="30"/>
    <x v="0"/>
    <n v="44089"/>
    <n v="18000000"/>
    <s v="&lt;30 Days Hiring Cycle"/>
    <n v="560000"/>
    <s v="Medium"/>
    <s v="Hiring &amp; Retention"/>
    <n v="0.25"/>
    <n v="0.625"/>
    <n v="8"/>
    <s v="Working Day"/>
    <x v="0"/>
  </r>
  <r>
    <s v="ATD00198"/>
    <d v="2025-03-30T00:00:00"/>
    <x v="4"/>
    <s v="Q1"/>
    <s v="Sunday"/>
    <s v="EMP022"/>
    <s v="Employee 22"/>
    <x v="2"/>
    <s v="Software Engineer"/>
    <s v="Chennai"/>
    <s v="Afternoon Shift"/>
    <d v="1899-12-30T09:00:00"/>
    <d v="1899-12-30T18:00:00"/>
    <n v="10"/>
    <n v="2"/>
    <x v="0"/>
    <m/>
    <n v="5"/>
    <s v="L3"/>
    <s v="R. Karthikeyan"/>
    <x v="0"/>
    <s v="Work From Home"/>
    <n v="26"/>
    <x v="0"/>
    <n v="43784"/>
    <n v="85000000"/>
    <s v="99.5% System Uptime"/>
    <n v="720000"/>
    <s v="High"/>
    <s v="Project Delivery"/>
    <n v="0.58333333333333337"/>
    <n v="0.95833333333333337"/>
    <n v="8"/>
    <s v="Working Day"/>
    <x v="0"/>
  </r>
  <r>
    <s v="ATD00199"/>
    <d v="2025-01-26T00:00:00"/>
    <x v="2"/>
    <s v="Q1"/>
    <s v="Sunday"/>
    <s v="EMP025"/>
    <s v="Employee 25"/>
    <x v="3"/>
    <s v="Accountant"/>
    <s v="Madurai"/>
    <s v="Night Shift"/>
    <m/>
    <m/>
    <m/>
    <m/>
    <x v="2"/>
    <m/>
    <m/>
    <s v="L3"/>
    <s v="M. Mahesh"/>
    <x v="0"/>
    <s v="Late Login"/>
    <n v="29"/>
    <x v="0"/>
    <n v="44607"/>
    <n v="26000000"/>
    <s v="100% Payroll Accuracy"/>
    <n v="640000"/>
    <s v="High"/>
    <s v="Financial Compliance"/>
    <n v="0.91666666666666663"/>
    <n v="0.29166666666666669"/>
    <n v="8"/>
    <s v="Republic Day"/>
    <x v="1"/>
  </r>
  <r>
    <s v="ATD00200"/>
    <d v="2025-03-21T00:00:00"/>
    <x v="4"/>
    <s v="Q1"/>
    <s v="Friday"/>
    <s v="EMP002"/>
    <s v="Employee 2"/>
    <x v="4"/>
    <s v="HR Executive"/>
    <s v="Chennai"/>
    <s v="Afternoon Shift"/>
    <d v="1899-12-30T09:00:00"/>
    <d v="1899-12-30T18:00:00"/>
    <n v="8"/>
    <n v="0"/>
    <x v="0"/>
    <m/>
    <m/>
    <s v="L2"/>
    <s v="P. Priya"/>
    <x v="3"/>
    <m/>
    <n v="24"/>
    <x v="0"/>
    <n v="43905"/>
    <n v="18000000"/>
    <s v="&lt;30 Days Hiring Cycle"/>
    <n v="560000"/>
    <s v="Medium"/>
    <s v="Hiring &amp; Retention"/>
    <n v="0.58333333333333337"/>
    <n v="0.95833333333333337"/>
    <n v="8"/>
    <s v="Working Day"/>
    <x v="0"/>
  </r>
  <r>
    <s v="ATD00201"/>
    <d v="2025-03-28T00:00:00"/>
    <x v="4"/>
    <s v="Q1"/>
    <s v="Friday"/>
    <s v="EMP017"/>
    <s v="Employee 17"/>
    <x v="6"/>
    <s v="Sales Executive"/>
    <s v="Chennai"/>
    <s v="General Shift"/>
    <d v="1899-12-30T09:10:00"/>
    <d v="1899-12-30T18:00:00"/>
    <n v="8"/>
    <n v="0"/>
    <x v="0"/>
    <m/>
    <m/>
    <s v="L2"/>
    <s v="V. Vivek"/>
    <x v="0"/>
    <m/>
    <n v="39"/>
    <x v="1"/>
    <n v="44362"/>
    <n v="42000000"/>
    <s v="₹2.5 Cr Monthly Sales"/>
    <n v="680000"/>
    <s v="High"/>
    <s v="Revenue Achievement"/>
    <n v="0.375"/>
    <n v="0.75"/>
    <n v="8"/>
    <s v="Working Day"/>
    <x v="0"/>
  </r>
  <r>
    <s v="ATD00202"/>
    <d v="2025-05-13T00:00:00"/>
    <x v="3"/>
    <s v="Q2"/>
    <s v="Tuesday"/>
    <s v="EMP005"/>
    <s v="Employee 5"/>
    <x v="1"/>
    <s v="Operations Executive"/>
    <s v="Madurai"/>
    <s v="Afternoon Shift"/>
    <d v="1899-12-30T09:00:00"/>
    <d v="1899-12-30T18:00:00"/>
    <n v="8"/>
    <n v="0"/>
    <x v="0"/>
    <m/>
    <m/>
    <s v="L4"/>
    <s v="D. Dinesh"/>
    <x v="3"/>
    <m/>
    <n v="27"/>
    <x v="1"/>
    <n v="45092"/>
    <n v="34000000"/>
    <s v="95% Process Efficiency"/>
    <n v="610000"/>
    <s v="High"/>
    <s v="Operational Efficiency"/>
    <n v="0.58333333333333337"/>
    <n v="0.95833333333333337"/>
    <n v="8"/>
    <s v="Working Day"/>
    <x v="0"/>
  </r>
  <r>
    <s v="ATD00203"/>
    <d v="2025-04-02T00:00:00"/>
    <x v="1"/>
    <s v="Q2"/>
    <s v="Wednesday"/>
    <s v="EMP027"/>
    <s v="Employee 27"/>
    <x v="5"/>
    <s v="Marketing Executive"/>
    <s v="Chennai"/>
    <s v="General Shift"/>
    <d v="1899-12-30T09:00:00"/>
    <d v="1899-12-30T18:00:00"/>
    <n v="8"/>
    <n v="0"/>
    <x v="0"/>
    <m/>
    <n v="3"/>
    <s v="L1"/>
    <s v="S. Swetha"/>
    <x v="2"/>
    <m/>
    <n v="31"/>
    <x v="1"/>
    <n v="45397"/>
    <n v="22000000"/>
    <s v="2500 Qualified Leads"/>
    <n v="590000"/>
    <s v="Medium"/>
    <s v="Lead Generation"/>
    <n v="0.375"/>
    <n v="0.75"/>
    <n v="8"/>
    <s v="Working Day"/>
    <x v="0"/>
  </r>
  <r>
    <s v="ATD00204"/>
    <d v="2025-05-22T00:00:00"/>
    <x v="3"/>
    <s v="Q2"/>
    <s v="Thursday"/>
    <s v="EMP038"/>
    <s v="Employee 38"/>
    <x v="6"/>
    <s v="Sales Executive"/>
    <s v="Bengaluru"/>
    <s v="Morning Shift"/>
    <d v="1899-12-30T09:10:00"/>
    <d v="1899-12-30T18:00:00"/>
    <n v="8"/>
    <n v="0"/>
    <x v="0"/>
    <m/>
    <n v="4"/>
    <s v="L1"/>
    <s v="V. Vivek"/>
    <x v="2"/>
    <m/>
    <n v="24"/>
    <x v="1"/>
    <n v="44270"/>
    <n v="42000000"/>
    <s v="₹2.5 Cr Monthly Sales"/>
    <n v="680000"/>
    <s v="High"/>
    <s v="Revenue Achievement"/>
    <n v="0.25"/>
    <n v="0.625"/>
    <n v="8"/>
    <s v="Working Day"/>
    <x v="0"/>
  </r>
  <r>
    <s v="ATD00205"/>
    <d v="2025-05-19T00:00:00"/>
    <x v="3"/>
    <s v="Q2"/>
    <s v="Monday"/>
    <s v="EMP020"/>
    <s v="Employee 20"/>
    <x v="5"/>
    <s v="Marketing Executive"/>
    <s v="Madurai"/>
    <s v="Afternoon Shift"/>
    <d v="1899-12-30T09:00:00"/>
    <d v="1899-12-30T18:00:00"/>
    <n v="8"/>
    <n v="0"/>
    <x v="0"/>
    <m/>
    <n v="4"/>
    <s v="L1"/>
    <s v="S. Swetha"/>
    <x v="1"/>
    <s v="Late Login"/>
    <n v="24"/>
    <x v="1"/>
    <n v="45550"/>
    <n v="22000000"/>
    <s v="2500 Qualified Leads"/>
    <n v="590000"/>
    <s v="Medium"/>
    <s v="Lead Generation"/>
    <n v="0.58333333333333337"/>
    <n v="0.95833333333333337"/>
    <n v="8"/>
    <s v="Working Day"/>
    <x v="0"/>
  </r>
  <r>
    <s v="ATD00206"/>
    <d v="2025-04-11T00:00:00"/>
    <x v="1"/>
    <s v="Q2"/>
    <s v="Friday"/>
    <s v="EMP024"/>
    <s v="Employee 24"/>
    <x v="6"/>
    <s v="Sales Executive"/>
    <s v="Hyderabad"/>
    <s v="Morning Shift"/>
    <d v="1899-12-30T09:20:00"/>
    <d v="1899-12-30T18:00:00"/>
    <n v="8"/>
    <n v="0"/>
    <x v="0"/>
    <m/>
    <n v="5"/>
    <s v="L1"/>
    <s v="V. Vivek"/>
    <x v="3"/>
    <m/>
    <n v="28"/>
    <x v="1"/>
    <n v="44211"/>
    <n v="42000000"/>
    <s v="₹2.5 Cr Monthly Sales"/>
    <n v="680000"/>
    <s v="High"/>
    <s v="Revenue Achievement"/>
    <n v="0.25"/>
    <n v="0.625"/>
    <n v="8"/>
    <s v="Working Day"/>
    <x v="0"/>
  </r>
  <r>
    <s v="ATD00207"/>
    <d v="2025-03-10T00:00:00"/>
    <x v="4"/>
    <s v="Q1"/>
    <s v="Monday"/>
    <s v="EMP036"/>
    <s v="Employee 36"/>
    <x v="2"/>
    <s v="Software Engineer"/>
    <s v="Coimbatore"/>
    <s v="Flexible Shift"/>
    <d v="1899-12-30T09:00:00"/>
    <d v="1899-12-30T18:00:00"/>
    <n v="8.5"/>
    <n v="0.5"/>
    <x v="0"/>
    <m/>
    <n v="3"/>
    <s v="L2"/>
    <s v="R. Karthikeyan"/>
    <x v="0"/>
    <s v="Late Login"/>
    <n v="22"/>
    <x v="1"/>
    <n v="43480"/>
    <n v="85000000"/>
    <s v="99.5% System Uptime"/>
    <n v="720000"/>
    <s v="High"/>
    <s v="Project Delivery"/>
    <n v="0.41666666666666669"/>
    <n v="0.79166666666666663"/>
    <n v="8"/>
    <s v="Working Day"/>
    <x v="0"/>
  </r>
  <r>
    <s v="ATD00208"/>
    <d v="2025-05-18T00:00:00"/>
    <x v="3"/>
    <s v="Q2"/>
    <s v="Sunday"/>
    <s v="EMP021"/>
    <s v="Employee 21"/>
    <x v="0"/>
    <s v="Support Executive"/>
    <s v="Coimbatore"/>
    <s v="Night Shift"/>
    <d v="1899-12-30T22:00:00"/>
    <d v="1899-12-30T07:00:00"/>
    <n v="8.5"/>
    <n v="0.5"/>
    <x v="0"/>
    <m/>
    <n v="4"/>
    <s v="L2"/>
    <s v="V. Vinoth"/>
    <x v="2"/>
    <s v="Client Visit"/>
    <n v="25"/>
    <x v="1"/>
    <n v="43388"/>
    <n v="24000000"/>
    <s v="90% Customer Satisfaction"/>
    <n v="520000"/>
    <s v="High"/>
    <s v="Customer Satisfaction"/>
    <n v="0.91666666666666663"/>
    <n v="0.29166666666666669"/>
    <n v="8"/>
    <s v="Working Day"/>
    <x v="0"/>
  </r>
  <r>
    <s v="ATD00209"/>
    <d v="2025-01-01T00:00:00"/>
    <x v="2"/>
    <s v="Q1"/>
    <s v="Wednesday"/>
    <s v="EMP001"/>
    <s v="Employee 1"/>
    <x v="2"/>
    <s v="Software Engineer"/>
    <s v="Coimbatore"/>
    <s v="Flexible Shift"/>
    <d v="1899-12-30T09:00:00"/>
    <d v="1899-12-30T18:00:00"/>
    <n v="8.5"/>
    <n v="0.5"/>
    <x v="0"/>
    <m/>
    <m/>
    <s v="L1"/>
    <s v="R. Karthikeyan"/>
    <x v="3"/>
    <s v="Late Login"/>
    <n v="23"/>
    <x v="1"/>
    <n v="43511"/>
    <n v="85000000"/>
    <s v="99.5% System Uptime"/>
    <n v="720000"/>
    <s v="High"/>
    <s v="Project Delivery"/>
    <n v="0.41666666666666669"/>
    <n v="0.79166666666666663"/>
    <n v="8"/>
    <s v="New Year's Day"/>
    <x v="1"/>
  </r>
  <r>
    <s v="ATD00210"/>
    <d v="2025-03-19T00:00:00"/>
    <x v="4"/>
    <s v="Q1"/>
    <s v="Wednesday"/>
    <s v="EMP039"/>
    <s v="Employee 39"/>
    <x v="3"/>
    <s v="Accountant"/>
    <s v="Hyderabad"/>
    <s v="Flexible Shift"/>
    <d v="1899-12-30T09:00:00"/>
    <d v="1899-12-30T18:00:00"/>
    <n v="8"/>
    <n v="0"/>
    <x v="0"/>
    <m/>
    <n v="5"/>
    <s v="L1"/>
    <s v="M. Mahesh"/>
    <x v="0"/>
    <s v="Client Visit"/>
    <n v="25"/>
    <x v="0"/>
    <n v="44666"/>
    <n v="26000000"/>
    <s v="100% Payroll Accuracy"/>
    <n v="640000"/>
    <s v="High"/>
    <s v="Financial Compliance"/>
    <n v="0.41666666666666669"/>
    <n v="0.79166666666666663"/>
    <n v="8"/>
    <s v="Working Day"/>
    <x v="0"/>
  </r>
  <r>
    <s v="ATD00211"/>
    <d v="2025-02-06T00:00:00"/>
    <x v="5"/>
    <s v="Q1"/>
    <s v="Thursday"/>
    <s v="EMP038"/>
    <s v="Employee 38"/>
    <x v="6"/>
    <s v="Sales Executive"/>
    <s v="Bengaluru"/>
    <s v="Morning Shift"/>
    <d v="1899-12-30T09:35:00"/>
    <d v="1899-12-30T18:00:00"/>
    <n v="8"/>
    <n v="0"/>
    <x v="0"/>
    <m/>
    <n v="3"/>
    <s v="L3"/>
    <s v="V. Vivek"/>
    <x v="1"/>
    <s v="Late Login"/>
    <n v="24"/>
    <x v="1"/>
    <n v="44270"/>
    <n v="42000000"/>
    <s v="₹2.5 Cr Monthly Sales"/>
    <n v="680000"/>
    <s v="High"/>
    <s v="Revenue Achievement"/>
    <n v="0.25"/>
    <n v="0.625"/>
    <n v="8"/>
    <s v="Working Day"/>
    <x v="0"/>
  </r>
  <r>
    <s v="ATD00212"/>
    <d v="2025-05-31T00:00:00"/>
    <x v="3"/>
    <s v="Q2"/>
    <s v="Saturday"/>
    <s v="EMP008"/>
    <s v="Employee 8"/>
    <x v="2"/>
    <s v="Software Engineer"/>
    <s v="Bengaluru"/>
    <s v="Night Shift"/>
    <d v="1899-12-30T22:00:00"/>
    <d v="1899-12-30T07:00:00"/>
    <n v="10"/>
    <n v="2"/>
    <x v="0"/>
    <m/>
    <m/>
    <s v="L4"/>
    <s v="R. Karthikeyan"/>
    <x v="3"/>
    <s v="Work From Home"/>
    <n v="30"/>
    <x v="0"/>
    <n v="43723"/>
    <n v="85000000"/>
    <s v="99.5% System Uptime"/>
    <n v="720000"/>
    <s v="High"/>
    <s v="Project Delivery"/>
    <n v="0.91666666666666663"/>
    <n v="0.29166666666666669"/>
    <n v="8"/>
    <s v="Working Day"/>
    <x v="0"/>
  </r>
  <r>
    <s v="ATD00213"/>
    <d v="2025-03-18T00:00:00"/>
    <x v="4"/>
    <s v="Q1"/>
    <s v="Tuesday"/>
    <s v="EMP040"/>
    <s v="Employee 40"/>
    <x v="1"/>
    <s v="Operations Executive"/>
    <s v="Madurai"/>
    <s v="Morning Shift"/>
    <d v="1899-12-30T09:00:00"/>
    <d v="1899-12-30T18:00:00"/>
    <n v="8"/>
    <n v="0"/>
    <x v="0"/>
    <m/>
    <n v="5"/>
    <s v="L4"/>
    <s v="D. Dinesh"/>
    <x v="1"/>
    <s v="Client Visit"/>
    <n v="26"/>
    <x v="1"/>
    <n v="45061"/>
    <n v="34000000"/>
    <s v="95% Process Efficiency"/>
    <n v="610000"/>
    <s v="High"/>
    <s v="Operational Efficiency"/>
    <n v="0.25"/>
    <n v="0.625"/>
    <n v="8"/>
    <s v="Working Day"/>
    <x v="0"/>
  </r>
  <r>
    <s v="ATD00214"/>
    <d v="2025-01-30T00:00:00"/>
    <x v="2"/>
    <s v="Q1"/>
    <s v="Thursday"/>
    <s v="EMP016"/>
    <s v="Employee 16"/>
    <x v="4"/>
    <s v="HR Executive"/>
    <s v="Coimbatore"/>
    <s v="Night Shift"/>
    <d v="1899-12-30T22:00:00"/>
    <d v="1899-12-30T07:00:00"/>
    <n v="9"/>
    <n v="1"/>
    <x v="0"/>
    <m/>
    <n v="5"/>
    <s v="L3"/>
    <s v="P. Priya"/>
    <x v="3"/>
    <s v="Client Visit"/>
    <n v="38"/>
    <x v="0"/>
    <n v="43966"/>
    <n v="18000000"/>
    <s v="&lt;30 Days Hiring Cycle"/>
    <n v="560000"/>
    <s v="Medium"/>
    <s v="Hiring &amp; Retention"/>
    <n v="0.91666666666666663"/>
    <n v="0.29166666666666669"/>
    <n v="8"/>
    <s v="Working Day"/>
    <x v="0"/>
  </r>
  <r>
    <s v="ATD00215"/>
    <d v="2025-01-20T00:00:00"/>
    <x v="2"/>
    <s v="Q1"/>
    <s v="Monday"/>
    <s v="EMP033"/>
    <s v="Employee 33"/>
    <x v="1"/>
    <s v="Operations Executive"/>
    <s v="Bengaluru"/>
    <s v="Morning Shift"/>
    <d v="1899-12-30T09:00:00"/>
    <d v="1899-12-30T18:00:00"/>
    <n v="8"/>
    <n v="0"/>
    <x v="0"/>
    <m/>
    <n v="3"/>
    <s v="L1"/>
    <s v="D. Dinesh"/>
    <x v="0"/>
    <s v="Late Login"/>
    <n v="37"/>
    <x v="1"/>
    <n v="45214"/>
    <n v="34000000"/>
    <s v="95% Process Efficiency"/>
    <n v="610000"/>
    <s v="High"/>
    <s v="Operational Efficiency"/>
    <n v="0.25"/>
    <n v="0.625"/>
    <n v="8"/>
    <s v="Working Day"/>
    <x v="0"/>
  </r>
  <r>
    <s v="ATD00216"/>
    <d v="2025-01-15T00:00:00"/>
    <x v="2"/>
    <s v="Q1"/>
    <s v="Wednesday"/>
    <s v="EMP033"/>
    <s v="Employee 33"/>
    <x v="1"/>
    <s v="Operations Executive"/>
    <s v="Bengaluru"/>
    <s v="Morning Shift"/>
    <m/>
    <m/>
    <m/>
    <m/>
    <x v="1"/>
    <s v="Earned Leave"/>
    <m/>
    <s v="L1"/>
    <s v="D. Dinesh"/>
    <x v="3"/>
    <s v="Client Visit"/>
    <n v="37"/>
    <x v="1"/>
    <n v="45214"/>
    <n v="34000000"/>
    <s v="95% Process Efficiency"/>
    <n v="610000"/>
    <s v="High"/>
    <s v="Operational Efficiency"/>
    <n v="0.25"/>
    <n v="0.625"/>
    <n v="8"/>
    <s v="Working Day"/>
    <x v="0"/>
  </r>
  <r>
    <s v="ATD00217"/>
    <d v="2025-05-13T00:00:00"/>
    <x v="3"/>
    <s v="Q2"/>
    <s v="Tuesday"/>
    <s v="EMP049"/>
    <s v="Employee 49"/>
    <x v="0"/>
    <s v="Support Executive"/>
    <s v="Hyderabad"/>
    <s v="General Shift"/>
    <d v="1899-12-30T09:00:00"/>
    <d v="1899-12-30T18:00:00"/>
    <n v="8"/>
    <n v="0"/>
    <x v="0"/>
    <m/>
    <n v="5"/>
    <s v="L1"/>
    <s v="V. Vinoth"/>
    <x v="2"/>
    <m/>
    <n v="35"/>
    <x v="1"/>
    <n v="43146"/>
    <n v="24000000"/>
    <s v="90% Customer Satisfaction"/>
    <n v="520000"/>
    <s v="High"/>
    <s v="Customer Satisfaction"/>
    <n v="0.375"/>
    <n v="0.75"/>
    <n v="8"/>
    <s v="Working Day"/>
    <x v="0"/>
  </r>
  <r>
    <s v="ATD00218"/>
    <d v="2025-03-17T00:00:00"/>
    <x v="4"/>
    <s v="Q1"/>
    <s v="Monday"/>
    <s v="EMP016"/>
    <s v="Employee 16"/>
    <x v="4"/>
    <s v="HR Executive"/>
    <s v="Coimbatore"/>
    <s v="Morning Shift"/>
    <d v="1899-12-30T09:00:00"/>
    <d v="1899-12-30T18:00:00"/>
    <n v="8"/>
    <n v="0"/>
    <x v="0"/>
    <m/>
    <m/>
    <s v="L4"/>
    <s v="P. Priya"/>
    <x v="1"/>
    <s v="Work From Home"/>
    <n v="38"/>
    <x v="0"/>
    <n v="43966"/>
    <n v="18000000"/>
    <s v="&lt;30 Days Hiring Cycle"/>
    <n v="560000"/>
    <s v="Medium"/>
    <s v="Hiring &amp; Retention"/>
    <n v="0.25"/>
    <n v="0.625"/>
    <n v="8"/>
    <s v="Working Day"/>
    <x v="0"/>
  </r>
  <r>
    <s v="ATD00219"/>
    <d v="2025-04-30T00:00:00"/>
    <x v="1"/>
    <s v="Q2"/>
    <s v="Wednesday"/>
    <s v="EMP026"/>
    <s v="Employee 26"/>
    <x v="1"/>
    <s v="Operations Executive"/>
    <s v="Coimbatore"/>
    <s v="Afternoon Shift"/>
    <d v="1899-12-30T09:00:00"/>
    <d v="1899-12-30T18:00:00"/>
    <n v="8"/>
    <n v="0"/>
    <x v="0"/>
    <m/>
    <n v="4"/>
    <s v="L3"/>
    <s v="D. Dinesh"/>
    <x v="2"/>
    <m/>
    <n v="30"/>
    <x v="0"/>
    <n v="45000"/>
    <n v="34000000"/>
    <s v="95% Process Efficiency"/>
    <n v="610000"/>
    <s v="High"/>
    <s v="Operational Efficiency"/>
    <n v="0.58333333333333337"/>
    <n v="0.95833333333333337"/>
    <n v="8"/>
    <s v="Working Day"/>
    <x v="0"/>
  </r>
  <r>
    <s v="ATD00220"/>
    <d v="2025-05-04T00:00:00"/>
    <x v="3"/>
    <s v="Q2"/>
    <s v="Sunday"/>
    <s v="EMP050"/>
    <s v="Employee 50"/>
    <x v="2"/>
    <s v="Software Engineer"/>
    <s v="Madurai"/>
    <s v="Night Shift"/>
    <d v="1899-12-30T22:00:00"/>
    <d v="1899-12-30T07:00:00"/>
    <n v="8.5"/>
    <n v="0.5"/>
    <x v="0"/>
    <m/>
    <n v="3"/>
    <s v="L3"/>
    <s v="R. Karthikeyan"/>
    <x v="2"/>
    <s v="Client Visit"/>
    <n v="36"/>
    <x v="0"/>
    <n v="43539"/>
    <n v="85000000"/>
    <s v="99.5% System Uptime"/>
    <n v="720000"/>
    <s v="High"/>
    <s v="Project Delivery"/>
    <n v="0.91666666666666663"/>
    <n v="0.29166666666666669"/>
    <n v="8"/>
    <s v="Working Day"/>
    <x v="0"/>
  </r>
  <r>
    <s v="ATD00221"/>
    <d v="2025-05-09T00:00:00"/>
    <x v="3"/>
    <s v="Q2"/>
    <s v="Friday"/>
    <s v="EMP048"/>
    <s v="Employee 48"/>
    <x v="5"/>
    <s v="Marketing Executive"/>
    <s v="Bengaluru"/>
    <s v="General Shift"/>
    <d v="1899-12-30T09:00:00"/>
    <d v="1899-12-30T18:00:00"/>
    <n v="8"/>
    <n v="0"/>
    <x v="0"/>
    <m/>
    <m/>
    <s v="L4"/>
    <s v="S. Swetha"/>
    <x v="2"/>
    <s v="Client Visit"/>
    <n v="34"/>
    <x v="0"/>
    <n v="45306"/>
    <n v="22000000"/>
    <s v="2500 Qualified Leads"/>
    <n v="590000"/>
    <s v="Medium"/>
    <s v="Lead Generation"/>
    <n v="0.375"/>
    <n v="0.75"/>
    <n v="8"/>
    <s v="Working Day"/>
    <x v="0"/>
  </r>
  <r>
    <s v="ATD00222"/>
    <d v="2025-06-10T00:00:00"/>
    <x v="0"/>
    <s v="Q2"/>
    <s v="Tuesday"/>
    <s v="EMP038"/>
    <s v="Employee 38"/>
    <x v="6"/>
    <s v="Sales Executive"/>
    <s v="Bengaluru"/>
    <s v="Afternoon Shift"/>
    <d v="1899-12-30T09:00:00"/>
    <d v="1899-12-30T18:00:00"/>
    <n v="8"/>
    <n v="0"/>
    <x v="0"/>
    <m/>
    <n v="5"/>
    <s v="L4"/>
    <s v="V. Vivek"/>
    <x v="3"/>
    <s v="Work From Home"/>
    <n v="24"/>
    <x v="1"/>
    <n v="44270"/>
    <n v="42000000"/>
    <s v="₹2.5 Cr Monthly Sales"/>
    <n v="680000"/>
    <s v="High"/>
    <s v="Revenue Achievement"/>
    <n v="0.58333333333333337"/>
    <n v="0.95833333333333337"/>
    <n v="8"/>
    <s v="Working Day"/>
    <x v="0"/>
  </r>
  <r>
    <s v="ATD00223"/>
    <d v="2025-04-13T00:00:00"/>
    <x v="1"/>
    <s v="Q2"/>
    <s v="Sunday"/>
    <s v="EMP015"/>
    <s v="Employee 15"/>
    <x v="2"/>
    <s v="Software Engineer"/>
    <s v="Madurai"/>
    <s v="Afternoon Shift"/>
    <d v="1899-12-30T09:00:00"/>
    <d v="1899-12-30T18:00:00"/>
    <n v="9"/>
    <n v="1"/>
    <x v="0"/>
    <m/>
    <m/>
    <s v="L3"/>
    <s v="R. Karthikeyan"/>
    <x v="3"/>
    <s v="Late Login"/>
    <n v="37"/>
    <x v="1"/>
    <n v="43570"/>
    <n v="85000000"/>
    <s v="99.5% System Uptime"/>
    <n v="720000"/>
    <s v="High"/>
    <s v="Project Delivery"/>
    <n v="0.58333333333333337"/>
    <n v="0.95833333333333337"/>
    <n v="8"/>
    <s v="Working Day"/>
    <x v="0"/>
  </r>
  <r>
    <s v="ATD00224"/>
    <d v="2025-04-12T00:00:00"/>
    <x v="1"/>
    <s v="Q2"/>
    <s v="Saturday"/>
    <s v="EMP045"/>
    <s v="Employee 45"/>
    <x v="6"/>
    <s v="Sales Executive"/>
    <s v="Madurai"/>
    <s v="General Shift"/>
    <d v="1899-12-30T09:10:00"/>
    <d v="1899-12-30T18:00:00"/>
    <n v="8"/>
    <n v="0"/>
    <x v="0"/>
    <m/>
    <n v="3"/>
    <s v="L2"/>
    <s v="V. Vivek"/>
    <x v="2"/>
    <s v="Late Login"/>
    <n v="31"/>
    <x v="1"/>
    <n v="44484"/>
    <n v="42000000"/>
    <s v="₹2.5 Cr Monthly Sales"/>
    <n v="680000"/>
    <s v="High"/>
    <s v="Revenue Achievement"/>
    <n v="0.375"/>
    <n v="0.75"/>
    <n v="8"/>
    <s v="Working Day"/>
    <x v="0"/>
  </r>
  <r>
    <s v="ATD00225"/>
    <d v="2025-02-04T00:00:00"/>
    <x v="5"/>
    <s v="Q1"/>
    <s v="Tuesday"/>
    <s v="EMP033"/>
    <s v="Employee 33"/>
    <x v="1"/>
    <s v="Operations Executive"/>
    <s v="Bengaluru"/>
    <s v="General Shift"/>
    <d v="1899-12-30T09:00:00"/>
    <d v="1899-12-30T18:00:00"/>
    <n v="8"/>
    <n v="0"/>
    <x v="0"/>
    <m/>
    <n v="5"/>
    <s v="L1"/>
    <s v="D. Dinesh"/>
    <x v="1"/>
    <s v="Client Visit"/>
    <n v="37"/>
    <x v="1"/>
    <n v="45214"/>
    <n v="34000000"/>
    <s v="95% Process Efficiency"/>
    <n v="610000"/>
    <s v="High"/>
    <s v="Operational Efficiency"/>
    <n v="0.375"/>
    <n v="0.75"/>
    <n v="8"/>
    <s v="Working Day"/>
    <x v="0"/>
  </r>
  <r>
    <s v="ATD00226"/>
    <d v="2025-05-28T00:00:00"/>
    <x v="3"/>
    <s v="Q2"/>
    <s v="Wednesday"/>
    <s v="EMP041"/>
    <s v="Employee 41"/>
    <x v="5"/>
    <s v="Marketing Executive"/>
    <s v="Coimbatore"/>
    <s v="Afternoon Shift"/>
    <d v="1899-12-30T09:00:00"/>
    <d v="1899-12-30T18:00:00"/>
    <n v="8"/>
    <n v="0"/>
    <x v="0"/>
    <m/>
    <n v="3"/>
    <s v="L3"/>
    <s v="S. Swetha"/>
    <x v="0"/>
    <s v="Work From Home"/>
    <n v="27"/>
    <x v="1"/>
    <n v="45458"/>
    <n v="22000000"/>
    <s v="2500 Qualified Leads"/>
    <n v="590000"/>
    <s v="Medium"/>
    <s v="Lead Generation"/>
    <n v="0.58333333333333337"/>
    <n v="0.95833333333333337"/>
    <n v="8"/>
    <s v="Working Day"/>
    <x v="0"/>
  </r>
  <r>
    <s v="ATD00227"/>
    <d v="2025-05-26T00:00:00"/>
    <x v="3"/>
    <s v="Q2"/>
    <s v="Monday"/>
    <s v="EMP029"/>
    <s v="Employee 29"/>
    <x v="2"/>
    <s v="Software Engineer"/>
    <s v="Hyderabad"/>
    <s v="Night Shift"/>
    <d v="1899-12-30T22:00:00"/>
    <d v="1899-12-30T07:00:00"/>
    <n v="10"/>
    <n v="2"/>
    <x v="0"/>
    <m/>
    <n v="3"/>
    <s v="L1"/>
    <s v="R. Karthikeyan"/>
    <x v="3"/>
    <s v="Work From Home"/>
    <n v="33"/>
    <x v="1"/>
    <n v="43631"/>
    <n v="85000000"/>
    <s v="99.5% System Uptime"/>
    <n v="720000"/>
    <s v="High"/>
    <s v="Project Delivery"/>
    <n v="0.91666666666666663"/>
    <n v="0.29166666666666669"/>
    <n v="8"/>
    <s v="Working Day"/>
    <x v="0"/>
  </r>
  <r>
    <s v="ATD00228"/>
    <d v="2025-03-22T00:00:00"/>
    <x v="4"/>
    <s v="Q1"/>
    <s v="Saturday"/>
    <s v="EMP011"/>
    <s v="Employee 11"/>
    <x v="3"/>
    <s v="Accountant"/>
    <s v="Coimbatore"/>
    <s v="Morning Shift"/>
    <d v="1899-12-30T09:00:00"/>
    <d v="1899-12-30T18:00:00"/>
    <n v="8"/>
    <n v="0"/>
    <x v="0"/>
    <m/>
    <n v="4"/>
    <s v="L2"/>
    <s v="M. Mahesh"/>
    <x v="3"/>
    <s v="Late Login"/>
    <n v="33"/>
    <x v="1"/>
    <n v="44910"/>
    <n v="26000000"/>
    <s v="100% Payroll Accuracy"/>
    <n v="640000"/>
    <s v="High"/>
    <s v="Financial Compliance"/>
    <n v="0.25"/>
    <n v="0.625"/>
    <n v="8"/>
    <s v="Working Day"/>
    <x v="0"/>
  </r>
  <r>
    <s v="ATD00229"/>
    <d v="2025-02-05T00:00:00"/>
    <x v="5"/>
    <s v="Q1"/>
    <s v="Wednesday"/>
    <s v="EMP028"/>
    <s v="Employee 28"/>
    <x v="0"/>
    <s v="Support Executive"/>
    <s v="Bengaluru"/>
    <s v="General Shift"/>
    <d v="1899-12-30T09:00:00"/>
    <d v="1899-12-30T18:00:00"/>
    <n v="8"/>
    <n v="0"/>
    <x v="0"/>
    <m/>
    <n v="3"/>
    <s v="L2"/>
    <s v="V. Vinoth"/>
    <x v="0"/>
    <s v="Late Login"/>
    <n v="32"/>
    <x v="0"/>
    <n v="43235"/>
    <n v="24000000"/>
    <s v="90% Customer Satisfaction"/>
    <n v="520000"/>
    <s v="High"/>
    <s v="Customer Satisfaction"/>
    <n v="0.375"/>
    <n v="0.75"/>
    <n v="8"/>
    <s v="Working Day"/>
    <x v="0"/>
  </r>
  <r>
    <s v="ATD00230"/>
    <d v="2025-01-24T00:00:00"/>
    <x v="2"/>
    <s v="Q1"/>
    <s v="Friday"/>
    <s v="EMP016"/>
    <s v="Employee 16"/>
    <x v="4"/>
    <s v="HR Executive"/>
    <s v="Coimbatore"/>
    <s v="Afternoon Shift"/>
    <d v="1899-12-30T09:00:00"/>
    <d v="1899-12-30T18:00:00"/>
    <n v="8"/>
    <n v="0"/>
    <x v="0"/>
    <m/>
    <n v="5"/>
    <s v="L1"/>
    <s v="P. Priya"/>
    <x v="1"/>
    <s v="Client Visit"/>
    <n v="38"/>
    <x v="0"/>
    <n v="43966"/>
    <n v="18000000"/>
    <s v="&lt;30 Days Hiring Cycle"/>
    <n v="560000"/>
    <s v="Medium"/>
    <s v="Hiring &amp; Retention"/>
    <n v="0.58333333333333337"/>
    <n v="0.95833333333333337"/>
    <n v="8"/>
    <s v="Working Day"/>
    <x v="0"/>
  </r>
  <r>
    <s v="ATD00231"/>
    <d v="2025-02-19T00:00:00"/>
    <x v="5"/>
    <s v="Q1"/>
    <s v="Wednesday"/>
    <s v="EMP009"/>
    <s v="Employee 9"/>
    <x v="4"/>
    <s v="HR Executive"/>
    <s v="Hyderabad"/>
    <s v="Morning Shift"/>
    <d v="1899-12-30T09:00:00"/>
    <d v="1899-12-30T18:00:00"/>
    <n v="8"/>
    <n v="0"/>
    <x v="0"/>
    <m/>
    <m/>
    <s v="L2"/>
    <s v="P. Priya"/>
    <x v="2"/>
    <s v="Work From Home"/>
    <n v="31"/>
    <x v="1"/>
    <n v="44119"/>
    <n v="18000000"/>
    <s v="&lt;30 Days Hiring Cycle"/>
    <n v="560000"/>
    <s v="Medium"/>
    <s v="Hiring &amp; Retention"/>
    <n v="0.25"/>
    <n v="0.625"/>
    <n v="8"/>
    <s v="Working Day"/>
    <x v="0"/>
  </r>
  <r>
    <s v="ATD00232"/>
    <d v="2025-01-19T00:00:00"/>
    <x v="2"/>
    <s v="Q1"/>
    <s v="Sunday"/>
    <s v="EMP004"/>
    <s v="Employee 4"/>
    <x v="3"/>
    <s v="Accountant"/>
    <s v="Hyderabad"/>
    <s v="Morning Shift"/>
    <m/>
    <d v="1899-12-30T18:00:00"/>
    <n v="8"/>
    <n v="0"/>
    <x v="0"/>
    <m/>
    <n v="4"/>
    <s v="L4"/>
    <s v="M. Mahesh"/>
    <x v="2"/>
    <s v="Client Visit"/>
    <n v="26"/>
    <x v="0"/>
    <n v="44696"/>
    <n v="26000000"/>
    <s v="100% Payroll Accuracy"/>
    <n v="640000"/>
    <s v="High"/>
    <s v="Financial Compliance"/>
    <n v="0.25"/>
    <n v="0.625"/>
    <n v="8"/>
    <s v="Working Day"/>
    <x v="0"/>
  </r>
  <r>
    <s v="ATD00233"/>
    <d v="2025-04-20T00:00:00"/>
    <x v="1"/>
    <s v="Q2"/>
    <s v="Sunday"/>
    <s v="EMP004"/>
    <s v="Employee 4"/>
    <x v="3"/>
    <s v="Accountant"/>
    <s v="Hyderabad"/>
    <s v="Morning Shift"/>
    <m/>
    <m/>
    <m/>
    <m/>
    <x v="1"/>
    <s v="Earned Leave"/>
    <m/>
    <s v="L3"/>
    <s v="M. Mahesh"/>
    <x v="1"/>
    <s v="Work From Home"/>
    <n v="26"/>
    <x v="0"/>
    <n v="44696"/>
    <n v="26000000"/>
    <s v="100% Payroll Accuracy"/>
    <n v="640000"/>
    <s v="High"/>
    <s v="Financial Compliance"/>
    <n v="0.25"/>
    <n v="0.625"/>
    <n v="8"/>
    <s v="Working Day"/>
    <x v="0"/>
  </r>
  <r>
    <s v="ATD00234"/>
    <d v="2025-05-24T00:00:00"/>
    <x v="3"/>
    <s v="Q2"/>
    <s v="Saturday"/>
    <s v="EMP008"/>
    <s v="Employee 8"/>
    <x v="2"/>
    <s v="Software Engineer"/>
    <s v="Bengaluru"/>
    <s v="Morning Shift"/>
    <m/>
    <m/>
    <m/>
    <m/>
    <x v="2"/>
    <m/>
    <m/>
    <s v="L1"/>
    <s v="R. Karthikeyan"/>
    <x v="3"/>
    <s v="Late Login"/>
    <n v="30"/>
    <x v="0"/>
    <n v="43723"/>
    <n v="85000000"/>
    <s v="99.5% System Uptime"/>
    <n v="720000"/>
    <s v="High"/>
    <s v="Project Delivery"/>
    <n v="0.25"/>
    <n v="0.625"/>
    <n v="8"/>
    <s v="Working Day"/>
    <x v="0"/>
  </r>
  <r>
    <s v="ATD00235"/>
    <d v="2025-03-26T00:00:00"/>
    <x v="4"/>
    <s v="Q1"/>
    <s v="Wednesday"/>
    <s v="EMP043"/>
    <s v="Employee 43"/>
    <x v="2"/>
    <s v="Software Engineer"/>
    <s v="Bengaluru"/>
    <s v="Flexible Shift"/>
    <d v="1899-12-30T09:00:00"/>
    <d v="1899-12-30T18:00:00"/>
    <n v="8.5"/>
    <n v="0.5"/>
    <x v="0"/>
    <m/>
    <n v="3"/>
    <s v="L4"/>
    <s v="R. Karthikeyan"/>
    <x v="2"/>
    <m/>
    <n v="29"/>
    <x v="1"/>
    <n v="43692"/>
    <n v="85000000"/>
    <s v="99.5% System Uptime"/>
    <n v="720000"/>
    <s v="High"/>
    <s v="Project Delivery"/>
    <n v="0.41666666666666669"/>
    <n v="0.79166666666666663"/>
    <n v="8"/>
    <s v="Working Day"/>
    <x v="0"/>
  </r>
  <r>
    <s v="ATD00236"/>
    <d v="2025-01-09T00:00:00"/>
    <x v="2"/>
    <s v="Q1"/>
    <s v="Thursday"/>
    <s v="EMP016"/>
    <s v="Employee 16"/>
    <x v="4"/>
    <s v="HR Executive"/>
    <s v="Coimbatore"/>
    <s v="Flexible Shift"/>
    <d v="1899-12-30T09:00:00"/>
    <d v="1899-12-30T18:00:00"/>
    <n v="8"/>
    <n v="0"/>
    <x v="0"/>
    <m/>
    <m/>
    <s v="L3"/>
    <s v="P. Priya"/>
    <x v="0"/>
    <m/>
    <n v="38"/>
    <x v="0"/>
    <n v="43966"/>
    <n v="18000000"/>
    <s v="&lt;30 Days Hiring Cycle"/>
    <n v="560000"/>
    <s v="Medium"/>
    <s v="Hiring &amp; Retention"/>
    <n v="0.41666666666666669"/>
    <n v="0.79166666666666663"/>
    <n v="8"/>
    <s v="Working Day"/>
    <x v="0"/>
  </r>
  <r>
    <s v="ATD00237"/>
    <d v="2025-01-01T00:00:00"/>
    <x v="2"/>
    <s v="Q1"/>
    <s v="Wednesday"/>
    <s v="EMP033"/>
    <s v="Employee 33"/>
    <x v="1"/>
    <s v="Operations Executive"/>
    <s v="Bengaluru"/>
    <s v="Night Shift"/>
    <d v="1899-12-30T22:00:00"/>
    <d v="1899-12-30T07:00:00"/>
    <n v="9"/>
    <n v="1"/>
    <x v="0"/>
    <m/>
    <n v="4"/>
    <s v="L2"/>
    <s v="D. Dinesh"/>
    <x v="0"/>
    <m/>
    <n v="37"/>
    <x v="1"/>
    <n v="45214"/>
    <n v="34000000"/>
    <s v="95% Process Efficiency"/>
    <n v="610000"/>
    <s v="High"/>
    <s v="Operational Efficiency"/>
    <n v="0.91666666666666663"/>
    <n v="0.29166666666666669"/>
    <n v="8"/>
    <s v="New Year's Day"/>
    <x v="1"/>
  </r>
  <r>
    <s v="ATD00238"/>
    <d v="2025-03-17T00:00:00"/>
    <x v="4"/>
    <s v="Q1"/>
    <s v="Monday"/>
    <s v="EMP028"/>
    <s v="Employee 28"/>
    <x v="0"/>
    <s v="Support Executive"/>
    <s v="Bengaluru"/>
    <s v="Morning Shift"/>
    <d v="1899-12-30T09:00:00"/>
    <d v="1899-12-30T18:00:00"/>
    <n v="8"/>
    <n v="0"/>
    <x v="0"/>
    <m/>
    <n v="3"/>
    <s v="L4"/>
    <s v="V. Vinoth"/>
    <x v="2"/>
    <s v="Work From Home"/>
    <n v="32"/>
    <x v="0"/>
    <n v="43235"/>
    <n v="24000000"/>
    <s v="90% Customer Satisfaction"/>
    <n v="520000"/>
    <s v="High"/>
    <s v="Customer Satisfaction"/>
    <n v="0.25"/>
    <n v="0.625"/>
    <n v="8"/>
    <s v="Working Day"/>
    <x v="0"/>
  </r>
  <r>
    <s v="ATD00239"/>
    <d v="2025-01-01T00:00:00"/>
    <x v="2"/>
    <s v="Q1"/>
    <s v="Wednesday"/>
    <s v="EMP045"/>
    <s v="Employee 45"/>
    <x v="6"/>
    <s v="Sales Executive"/>
    <s v="Madurai"/>
    <s v="Morning Shift"/>
    <m/>
    <m/>
    <m/>
    <m/>
    <x v="2"/>
    <m/>
    <m/>
    <s v="L2"/>
    <s v="V. Vivek"/>
    <x v="3"/>
    <s v="Work From Home"/>
    <n v="31"/>
    <x v="1"/>
    <n v="44484"/>
    <n v="42000000"/>
    <s v="₹2.5 Cr Monthly Sales"/>
    <n v="680000"/>
    <s v="High"/>
    <s v="Revenue Achievement"/>
    <n v="0.25"/>
    <n v="0.625"/>
    <n v="8"/>
    <s v="New Year's Day"/>
    <x v="1"/>
  </r>
  <r>
    <s v="ATD00240"/>
    <d v="2025-02-15T00:00:00"/>
    <x v="5"/>
    <s v="Q1"/>
    <s v="Saturday"/>
    <s v="EMP025"/>
    <s v="Employee 25"/>
    <x v="3"/>
    <s v="Accountant"/>
    <s v="Madurai"/>
    <s v="Night Shift"/>
    <d v="1899-12-30T22:00:00"/>
    <d v="1899-12-30T07:00:00"/>
    <n v="9.5"/>
    <n v="1.5"/>
    <x v="0"/>
    <m/>
    <n v="4"/>
    <s v="L2"/>
    <s v="M. Mahesh"/>
    <x v="2"/>
    <m/>
    <n v="29"/>
    <x v="0"/>
    <n v="44607"/>
    <n v="26000000"/>
    <s v="100% Payroll Accuracy"/>
    <n v="640000"/>
    <s v="High"/>
    <s v="Financial Compliance"/>
    <n v="0.91666666666666663"/>
    <n v="0.29166666666666669"/>
    <n v="8"/>
    <s v="Working Day"/>
    <x v="0"/>
  </r>
  <r>
    <s v="ATD00241"/>
    <d v="2025-02-02T00:00:00"/>
    <x v="5"/>
    <s v="Q1"/>
    <s v="Sunday"/>
    <s v="EMP033"/>
    <s v="Employee 33"/>
    <x v="1"/>
    <s v="Operations Executive"/>
    <s v="Bengaluru"/>
    <s v="Afternoon Shift"/>
    <d v="1899-12-30T09:00:00"/>
    <d v="1899-12-30T18:00:00"/>
    <n v="8"/>
    <n v="0"/>
    <x v="0"/>
    <m/>
    <n v="4"/>
    <s v="L2"/>
    <s v="D. Dinesh"/>
    <x v="1"/>
    <s v="Work From Home"/>
    <n v="37"/>
    <x v="1"/>
    <n v="45214"/>
    <n v="34000000"/>
    <s v="95% Process Efficiency"/>
    <n v="610000"/>
    <s v="High"/>
    <s v="Operational Efficiency"/>
    <n v="0.58333333333333337"/>
    <n v="0.95833333333333337"/>
    <n v="8"/>
    <s v="Working Day"/>
    <x v="0"/>
  </r>
  <r>
    <s v="ATD00242"/>
    <d v="2025-01-30T00:00:00"/>
    <x v="2"/>
    <s v="Q1"/>
    <s v="Thursday"/>
    <s v="EMP011"/>
    <s v="Employee 11"/>
    <x v="3"/>
    <s v="Accountant"/>
    <s v="Coimbatore"/>
    <s v="General Shift"/>
    <m/>
    <m/>
    <m/>
    <m/>
    <x v="2"/>
    <m/>
    <m/>
    <s v="L3"/>
    <s v="M. Mahesh"/>
    <x v="0"/>
    <s v="Client Visit"/>
    <n v="33"/>
    <x v="1"/>
    <n v="44910"/>
    <n v="26000000"/>
    <s v="100% Payroll Accuracy"/>
    <n v="640000"/>
    <s v="High"/>
    <s v="Financial Compliance"/>
    <n v="0.375"/>
    <n v="0.75"/>
    <n v="8"/>
    <s v="Working Day"/>
    <x v="0"/>
  </r>
  <r>
    <s v="ATD00243"/>
    <d v="2025-06-02T00:00:00"/>
    <x v="0"/>
    <s v="Q2"/>
    <s v="Monday"/>
    <s v="EMP006"/>
    <s v="Employee 6"/>
    <x v="5"/>
    <s v="Marketing Executive"/>
    <s v="Coimbatore"/>
    <s v="General Shift"/>
    <d v="1899-12-30T09:00:00"/>
    <d v="1899-12-30T18:00:00"/>
    <n v="8"/>
    <n v="0"/>
    <x v="0"/>
    <m/>
    <n v="5"/>
    <s v="L1"/>
    <s v="S. Swetha"/>
    <x v="0"/>
    <s v="Work From Home"/>
    <n v="28"/>
    <x v="0"/>
    <n v="45488"/>
    <n v="22000000"/>
    <s v="2500 Qualified Leads"/>
    <n v="590000"/>
    <s v="Medium"/>
    <s v="Lead Generation"/>
    <n v="0.375"/>
    <n v="0.75"/>
    <n v="8"/>
    <s v="Working Day"/>
    <x v="0"/>
  </r>
  <r>
    <s v="ATD00244"/>
    <d v="2025-06-18T00:00:00"/>
    <x v="0"/>
    <s v="Q2"/>
    <s v="Wednesday"/>
    <s v="EMP040"/>
    <s v="Employee 40"/>
    <x v="1"/>
    <s v="Operations Executive"/>
    <s v="Madurai"/>
    <s v="Afternoon Shift"/>
    <d v="1899-12-30T09:00:00"/>
    <d v="1899-12-30T18:00:00"/>
    <n v="8"/>
    <n v="0"/>
    <x v="0"/>
    <m/>
    <m/>
    <s v="L1"/>
    <s v="D. Dinesh"/>
    <x v="1"/>
    <s v="Client Visit"/>
    <n v="26"/>
    <x v="1"/>
    <n v="45061"/>
    <n v="34000000"/>
    <s v="95% Process Efficiency"/>
    <n v="610000"/>
    <s v="High"/>
    <s v="Operational Efficiency"/>
    <n v="0.58333333333333337"/>
    <n v="0.95833333333333337"/>
    <n v="8"/>
    <s v="Working Day"/>
    <x v="0"/>
  </r>
  <r>
    <s v="ATD00245"/>
    <d v="2025-05-14T00:00:00"/>
    <x v="3"/>
    <s v="Q2"/>
    <s v="Wednesday"/>
    <s v="EMP012"/>
    <s v="Employee 12"/>
    <x v="1"/>
    <s v="Operations Executive"/>
    <s v="Chennai"/>
    <s v="Night Shift"/>
    <d v="1899-12-30T22:00:00"/>
    <m/>
    <n v="10"/>
    <n v="2"/>
    <x v="0"/>
    <m/>
    <m/>
    <s v="L1"/>
    <s v="D. Dinesh"/>
    <x v="0"/>
    <s v="Client Visit"/>
    <n v="34"/>
    <x v="0"/>
    <n v="44941"/>
    <n v="34000000"/>
    <s v="95% Process Efficiency"/>
    <n v="610000"/>
    <s v="High"/>
    <s v="Operational Efficiency"/>
    <n v="0.91666666666666663"/>
    <n v="0.29166666666666669"/>
    <n v="8"/>
    <s v="Working Day"/>
    <x v="0"/>
  </r>
  <r>
    <s v="ATD00246"/>
    <d v="2025-06-04T00:00:00"/>
    <x v="0"/>
    <s v="Q2"/>
    <s v="Wednesday"/>
    <s v="EMP008"/>
    <s v="Employee 8"/>
    <x v="2"/>
    <s v="Software Engineer"/>
    <s v="Bengaluru"/>
    <s v="Night Shift"/>
    <d v="1899-12-30T22:00:00"/>
    <d v="1899-12-30T07:00:00"/>
    <n v="9.5"/>
    <n v="1.5"/>
    <x v="0"/>
    <m/>
    <n v="3"/>
    <s v="L2"/>
    <s v="R. Karthikeyan"/>
    <x v="2"/>
    <s v="Late Login"/>
    <n v="30"/>
    <x v="0"/>
    <n v="43723"/>
    <n v="85000000"/>
    <s v="99.5% System Uptime"/>
    <n v="720000"/>
    <s v="High"/>
    <s v="Project Delivery"/>
    <n v="0.91666666666666663"/>
    <n v="0.29166666666666669"/>
    <n v="8"/>
    <s v="Working Day"/>
    <x v="0"/>
  </r>
  <r>
    <s v="ATD00247"/>
    <d v="2025-05-23T00:00:00"/>
    <x v="3"/>
    <s v="Q2"/>
    <s v="Friday"/>
    <s v="EMP050"/>
    <s v="Employee 50"/>
    <x v="2"/>
    <s v="Software Engineer"/>
    <s v="Madurai"/>
    <s v="Morning Shift"/>
    <d v="1899-12-30T09:00:00"/>
    <d v="1899-12-30T18:00:00"/>
    <n v="8.5"/>
    <n v="0.5"/>
    <x v="0"/>
    <m/>
    <n v="5"/>
    <s v="L2"/>
    <s v="R. Karthikeyan"/>
    <x v="0"/>
    <s v="Work From Home"/>
    <n v="36"/>
    <x v="0"/>
    <n v="43539"/>
    <n v="85000000"/>
    <s v="99.5% System Uptime"/>
    <n v="720000"/>
    <s v="High"/>
    <s v="Project Delivery"/>
    <n v="0.25"/>
    <n v="0.625"/>
    <n v="8"/>
    <s v="Working Day"/>
    <x v="0"/>
  </r>
  <r>
    <s v="ATD00248"/>
    <d v="2025-02-13T00:00:00"/>
    <x v="5"/>
    <s v="Q1"/>
    <s v="Thursday"/>
    <s v="EMP020"/>
    <s v="Employee 20"/>
    <x v="5"/>
    <s v="Marketing Executive"/>
    <s v="Madurai"/>
    <s v="Flexible Shift"/>
    <d v="1899-12-30T09:00:00"/>
    <d v="1899-12-30T18:00:00"/>
    <n v="8"/>
    <n v="0"/>
    <x v="0"/>
    <m/>
    <n v="4"/>
    <s v="L1"/>
    <s v="S. Swetha"/>
    <x v="0"/>
    <s v="Work From Home"/>
    <n v="24"/>
    <x v="1"/>
    <n v="45550"/>
    <n v="22000000"/>
    <s v="2500 Qualified Leads"/>
    <n v="590000"/>
    <s v="Medium"/>
    <s v="Lead Generation"/>
    <n v="0.41666666666666669"/>
    <n v="0.79166666666666663"/>
    <n v="8"/>
    <s v="Working Day"/>
    <x v="0"/>
  </r>
  <r>
    <s v="ATD00249"/>
    <d v="2025-03-08T00:00:00"/>
    <x v="4"/>
    <s v="Q1"/>
    <s v="Saturday"/>
    <s v="EMP042"/>
    <s v="Employee 42"/>
    <x v="0"/>
    <s v="Support Executive"/>
    <s v="Chennai"/>
    <s v="General Shift"/>
    <d v="1899-12-30T09:00:00"/>
    <d v="1899-12-30T18:00:00"/>
    <n v="8"/>
    <n v="0"/>
    <x v="0"/>
    <m/>
    <n v="4"/>
    <s v="L3"/>
    <s v="V. Vinoth"/>
    <x v="2"/>
    <s v="Work From Home"/>
    <n v="28"/>
    <x v="0"/>
    <n v="43296"/>
    <n v="24000000"/>
    <s v="90% Customer Satisfaction"/>
    <n v="520000"/>
    <s v="High"/>
    <s v="Customer Satisfaction"/>
    <n v="0.375"/>
    <n v="0.75"/>
    <n v="8"/>
    <s v="Working Day"/>
    <x v="0"/>
  </r>
  <r>
    <s v="ATD00250"/>
    <d v="2025-03-12T00:00:00"/>
    <x v="4"/>
    <s v="Q1"/>
    <s v="Wednesday"/>
    <s v="EMP031"/>
    <s v="Employee 31"/>
    <x v="6"/>
    <s v="Sales Executive"/>
    <s v="Coimbatore"/>
    <s v="Night Shift"/>
    <d v="1899-12-30T09:10:00"/>
    <d v="1899-12-30T07:00:00"/>
    <n v="9.5"/>
    <n v="1.5"/>
    <x v="0"/>
    <m/>
    <n v="3"/>
    <s v="L2"/>
    <s v="V. Vivek"/>
    <x v="2"/>
    <s v="Client Visit"/>
    <n v="35"/>
    <x v="1"/>
    <n v="44423"/>
    <n v="42000000"/>
    <s v="₹2.5 Cr Monthly Sales"/>
    <n v="680000"/>
    <s v="High"/>
    <s v="Revenue Achievement"/>
    <n v="0.91666666666666663"/>
    <n v="0.29166666666666669"/>
    <n v="8"/>
    <s v="Working Day"/>
    <x v="0"/>
  </r>
  <r>
    <s v="ATD00251"/>
    <d v="2025-04-02T00:00:00"/>
    <x v="1"/>
    <s v="Q2"/>
    <s v="Wednesday"/>
    <s v="EMP038"/>
    <s v="Employee 38"/>
    <x v="6"/>
    <s v="Sales Executive"/>
    <s v="Bengaluru"/>
    <s v="Morning Shift"/>
    <d v="1899-12-30T09:20:00"/>
    <d v="1899-12-30T18:00:00"/>
    <n v="8"/>
    <n v="0"/>
    <x v="0"/>
    <m/>
    <n v="4"/>
    <s v="L1"/>
    <s v="V. Vivek"/>
    <x v="2"/>
    <s v="Client Visit"/>
    <n v="24"/>
    <x v="1"/>
    <n v="44270"/>
    <n v="42000000"/>
    <s v="₹2.5 Cr Monthly Sales"/>
    <n v="680000"/>
    <s v="High"/>
    <s v="Revenue Achievement"/>
    <n v="0.25"/>
    <n v="0.625"/>
    <n v="8"/>
    <s v="Working Day"/>
    <x v="0"/>
  </r>
  <r>
    <s v="ATD00252"/>
    <d v="2025-03-16T00:00:00"/>
    <x v="4"/>
    <s v="Q1"/>
    <s v="Sunday"/>
    <s v="EMP033"/>
    <s v="Employee 33"/>
    <x v="1"/>
    <s v="Operations Executive"/>
    <s v="Bengaluru"/>
    <s v="Flexible Shift"/>
    <d v="1899-12-30T09:00:00"/>
    <m/>
    <n v="8"/>
    <n v="0"/>
    <x v="0"/>
    <m/>
    <n v="4"/>
    <s v="L3"/>
    <s v="D. Dinesh"/>
    <x v="1"/>
    <m/>
    <n v="37"/>
    <x v="1"/>
    <n v="45214"/>
    <n v="34000000"/>
    <s v="95% Process Efficiency"/>
    <n v="610000"/>
    <s v="High"/>
    <s v="Operational Efficiency"/>
    <n v="0.41666666666666669"/>
    <n v="0.79166666666666663"/>
    <n v="8"/>
    <s v="Working Day"/>
    <x v="0"/>
  </r>
  <r>
    <s v="ATD00253"/>
    <d v="2025-02-02T00:00:00"/>
    <x v="5"/>
    <s v="Q1"/>
    <s v="Sunday"/>
    <s v="EMP036"/>
    <s v="Employee 36"/>
    <x v="2"/>
    <s v="Software Engineer"/>
    <s v="Coimbatore"/>
    <s v="Afternoon Shift"/>
    <m/>
    <d v="1899-12-30T18:00:00"/>
    <n v="9.5"/>
    <n v="1.5"/>
    <x v="0"/>
    <m/>
    <m/>
    <s v="L1"/>
    <s v="R. Karthikeyan"/>
    <x v="1"/>
    <s v="Work From Home"/>
    <n v="22"/>
    <x v="1"/>
    <n v="43480"/>
    <n v="85000000"/>
    <s v="99.5% System Uptime"/>
    <n v="720000"/>
    <s v="High"/>
    <s v="Project Delivery"/>
    <n v="0.58333333333333337"/>
    <n v="0.95833333333333337"/>
    <n v="8"/>
    <s v="Working Day"/>
    <x v="0"/>
  </r>
  <r>
    <s v="ATD00254"/>
    <d v="2025-03-16T00:00:00"/>
    <x v="4"/>
    <s v="Q1"/>
    <s v="Sunday"/>
    <s v="EMP019"/>
    <s v="Employee 19"/>
    <x v="1"/>
    <s v="Operations Executive"/>
    <s v="Hyderabad"/>
    <s v="Morning Shift"/>
    <d v="1899-12-30T09:00:00"/>
    <d v="1899-12-30T18:00:00"/>
    <n v="8"/>
    <n v="0"/>
    <x v="0"/>
    <m/>
    <n v="4"/>
    <s v="L2"/>
    <s v="D. Dinesh"/>
    <x v="1"/>
    <s v="Late Login"/>
    <n v="23"/>
    <x v="0"/>
    <n v="45153"/>
    <n v="34000000"/>
    <s v="95% Process Efficiency"/>
    <n v="610000"/>
    <s v="High"/>
    <s v="Operational Efficiency"/>
    <n v="0.25"/>
    <n v="0.625"/>
    <n v="8"/>
    <s v="Working Day"/>
    <x v="0"/>
  </r>
  <r>
    <s v="ATD00255"/>
    <d v="2025-02-27T00:00:00"/>
    <x v="5"/>
    <s v="Q1"/>
    <s v="Thursday"/>
    <s v="EMP026"/>
    <s v="Employee 26"/>
    <x v="1"/>
    <s v="Operations Executive"/>
    <s v="Coimbatore"/>
    <s v="General Shift"/>
    <d v="1899-12-30T09:00:00"/>
    <d v="1899-12-30T18:00:00"/>
    <n v="8"/>
    <n v="0"/>
    <x v="0"/>
    <m/>
    <n v="3"/>
    <s v="L2"/>
    <s v="D. Dinesh"/>
    <x v="3"/>
    <s v="Late Login"/>
    <n v="30"/>
    <x v="0"/>
    <n v="45000"/>
    <n v="34000000"/>
    <s v="95% Process Efficiency"/>
    <n v="610000"/>
    <s v="High"/>
    <s v="Operational Efficiency"/>
    <n v="0.375"/>
    <n v="0.75"/>
    <n v="8"/>
    <s v="Working Day"/>
    <x v="0"/>
  </r>
  <r>
    <s v="ATD00256"/>
    <d v="2025-06-27T00:00:00"/>
    <x v="0"/>
    <s v="Q2"/>
    <s v="Friday"/>
    <s v="EMP040"/>
    <s v="Employee 40"/>
    <x v="1"/>
    <s v="Operations Executive"/>
    <s v="Madurai"/>
    <s v="Flexible Shift"/>
    <d v="1899-12-30T09:00:00"/>
    <d v="1899-12-30T18:00:00"/>
    <n v="8"/>
    <n v="0"/>
    <x v="0"/>
    <m/>
    <n v="4"/>
    <s v="L3"/>
    <s v="D. Dinesh"/>
    <x v="0"/>
    <s v="Late Login"/>
    <n v="26"/>
    <x v="1"/>
    <n v="45061"/>
    <n v="34000000"/>
    <s v="95% Process Efficiency"/>
    <n v="610000"/>
    <s v="High"/>
    <s v="Operational Efficiency"/>
    <n v="0.41666666666666669"/>
    <n v="0.79166666666666663"/>
    <n v="8"/>
    <s v="Working Day"/>
    <x v="0"/>
  </r>
  <r>
    <s v="ATD00257"/>
    <d v="2025-01-07T00:00:00"/>
    <x v="2"/>
    <s v="Q1"/>
    <s v="Tuesday"/>
    <s v="EMP005"/>
    <s v="Employee 5"/>
    <x v="1"/>
    <s v="Operations Executive"/>
    <s v="Madurai"/>
    <s v="Morning Shift"/>
    <d v="1899-12-30T09:00:00"/>
    <d v="1899-12-30T18:00:00"/>
    <n v="8"/>
    <n v="0"/>
    <x v="0"/>
    <m/>
    <m/>
    <s v="L4"/>
    <s v="D. Dinesh"/>
    <x v="3"/>
    <m/>
    <n v="27"/>
    <x v="1"/>
    <n v="45092"/>
    <n v="34000000"/>
    <s v="95% Process Efficiency"/>
    <n v="610000"/>
    <s v="High"/>
    <s v="Operational Efficiency"/>
    <n v="0.25"/>
    <n v="0.625"/>
    <n v="8"/>
    <s v="Working Day"/>
    <x v="0"/>
  </r>
  <r>
    <s v="ATD00258"/>
    <d v="2025-03-03T00:00:00"/>
    <x v="4"/>
    <s v="Q1"/>
    <s v="Monday"/>
    <s v="EMP006"/>
    <s v="Employee 6"/>
    <x v="5"/>
    <s v="Marketing Executive"/>
    <s v="Coimbatore"/>
    <s v="Flexible Shift"/>
    <d v="1899-12-30T09:00:00"/>
    <d v="1899-12-30T18:00:00"/>
    <n v="8"/>
    <n v="0"/>
    <x v="0"/>
    <m/>
    <n v="4"/>
    <s v="L3"/>
    <s v="S. Swetha"/>
    <x v="1"/>
    <m/>
    <n v="28"/>
    <x v="0"/>
    <n v="45488"/>
    <n v="22000000"/>
    <s v="2500 Qualified Leads"/>
    <n v="590000"/>
    <s v="Medium"/>
    <s v="Lead Generation"/>
    <n v="0.41666666666666669"/>
    <n v="0.79166666666666663"/>
    <n v="8"/>
    <s v="Working Day"/>
    <x v="0"/>
  </r>
  <r>
    <s v="ATD00259"/>
    <d v="2025-04-04T00:00:00"/>
    <x v="1"/>
    <s v="Q2"/>
    <s v="Friday"/>
    <s v="EMP024"/>
    <s v="Employee 24"/>
    <x v="6"/>
    <s v="Sales Executive"/>
    <s v="Hyderabad"/>
    <s v="Morning Shift"/>
    <d v="1899-12-30T09:00:00"/>
    <d v="1899-12-30T18:00:00"/>
    <n v="8"/>
    <n v="0"/>
    <x v="0"/>
    <m/>
    <m/>
    <s v="L4"/>
    <s v="V. Vivek"/>
    <x v="1"/>
    <s v="Late Login"/>
    <n v="28"/>
    <x v="1"/>
    <n v="44211"/>
    <n v="42000000"/>
    <s v="₹2.5 Cr Monthly Sales"/>
    <n v="680000"/>
    <s v="High"/>
    <s v="Revenue Achievement"/>
    <n v="0.25"/>
    <n v="0.625"/>
    <n v="8"/>
    <s v="Working Day"/>
    <x v="0"/>
  </r>
  <r>
    <s v="ATD00260"/>
    <d v="2025-04-11T00:00:00"/>
    <x v="1"/>
    <s v="Q2"/>
    <s v="Friday"/>
    <s v="EMP049"/>
    <s v="Employee 49"/>
    <x v="0"/>
    <s v="Support Executive"/>
    <s v="Hyderabad"/>
    <s v="Morning Shift"/>
    <d v="1899-12-30T09:00:00"/>
    <d v="1899-12-30T18:00:00"/>
    <n v="8"/>
    <n v="0"/>
    <x v="0"/>
    <m/>
    <n v="5"/>
    <s v="L3"/>
    <s v="V. Vinoth"/>
    <x v="1"/>
    <s v="Late Login"/>
    <n v="35"/>
    <x v="1"/>
    <n v="43146"/>
    <n v="24000000"/>
    <s v="90% Customer Satisfaction"/>
    <n v="520000"/>
    <s v="High"/>
    <s v="Customer Satisfaction"/>
    <n v="0.25"/>
    <n v="0.625"/>
    <n v="8"/>
    <s v="Working Day"/>
    <x v="0"/>
  </r>
  <r>
    <s v="ATD00261"/>
    <d v="2025-03-14T00:00:00"/>
    <x v="4"/>
    <s v="Q1"/>
    <s v="Friday"/>
    <s v="EMP002"/>
    <s v="Employee 2"/>
    <x v="4"/>
    <s v="HR Executive"/>
    <s v="Chennai"/>
    <s v="Afternoon Shift"/>
    <m/>
    <m/>
    <m/>
    <m/>
    <x v="1"/>
    <m/>
    <m/>
    <s v="L1"/>
    <s v="P. Priya"/>
    <x v="2"/>
    <s v="Late Login"/>
    <n v="24"/>
    <x v="0"/>
    <n v="43905"/>
    <n v="18000000"/>
    <s v="&lt;30 Days Hiring Cycle"/>
    <n v="560000"/>
    <s v="Medium"/>
    <s v="Hiring &amp; Retention"/>
    <n v="0.58333333333333337"/>
    <n v="0.95833333333333337"/>
    <n v="8"/>
    <s v="Working Day"/>
    <x v="0"/>
  </r>
  <r>
    <s v="ATD00262"/>
    <d v="2025-05-29T00:00:00"/>
    <x v="3"/>
    <s v="Q2"/>
    <s v="Thursday"/>
    <s v="EMP040"/>
    <s v="Employee 40"/>
    <x v="1"/>
    <s v="Operations Executive"/>
    <s v="Madurai"/>
    <s v="Night Shift"/>
    <d v="1899-12-30T22:00:00"/>
    <d v="1899-12-30T07:00:00"/>
    <n v="9.5"/>
    <n v="1.5"/>
    <x v="0"/>
    <m/>
    <n v="4"/>
    <s v="L4"/>
    <s v="D. Dinesh"/>
    <x v="2"/>
    <m/>
    <n v="26"/>
    <x v="1"/>
    <n v="45061"/>
    <n v="34000000"/>
    <s v="95% Process Efficiency"/>
    <n v="610000"/>
    <s v="High"/>
    <s v="Operational Efficiency"/>
    <n v="0.91666666666666663"/>
    <n v="0.29166666666666669"/>
    <n v="8"/>
    <s v="Working Day"/>
    <x v="0"/>
  </r>
  <r>
    <s v="ATD00263"/>
    <d v="2025-06-19T00:00:00"/>
    <x v="0"/>
    <s v="Q2"/>
    <s v="Thursday"/>
    <s v="EMP004"/>
    <s v="Employee 4"/>
    <x v="3"/>
    <s v="Accountant"/>
    <s v="Hyderabad"/>
    <s v="General Shift"/>
    <d v="1899-12-30T09:00:00"/>
    <d v="1899-12-30T18:00:00"/>
    <n v="8"/>
    <n v="0"/>
    <x v="0"/>
    <m/>
    <n v="4"/>
    <s v="L1"/>
    <s v="M. Mahesh"/>
    <x v="1"/>
    <s v="Late Login"/>
    <n v="26"/>
    <x v="0"/>
    <n v="44696"/>
    <n v="26000000"/>
    <s v="100% Payroll Accuracy"/>
    <n v="640000"/>
    <s v="High"/>
    <s v="Financial Compliance"/>
    <n v="0.375"/>
    <n v="0.75"/>
    <n v="8"/>
    <s v="Working Day"/>
    <x v="0"/>
  </r>
  <r>
    <s v="ATD00264"/>
    <d v="2025-03-13T00:00:00"/>
    <x v="4"/>
    <s v="Q1"/>
    <s v="Thursday"/>
    <s v="EMP005"/>
    <s v="Employee 5"/>
    <x v="1"/>
    <s v="Operations Executive"/>
    <s v="Madurai"/>
    <s v="Night Shift"/>
    <d v="1899-12-30T22:00:00"/>
    <d v="1899-12-30T07:00:00"/>
    <n v="8.5"/>
    <n v="0.5"/>
    <x v="0"/>
    <m/>
    <n v="4"/>
    <s v="L3"/>
    <s v="D. Dinesh"/>
    <x v="2"/>
    <s v="Client Visit"/>
    <n v="27"/>
    <x v="1"/>
    <n v="45092"/>
    <n v="34000000"/>
    <s v="95% Process Efficiency"/>
    <n v="610000"/>
    <s v="High"/>
    <s v="Operational Efficiency"/>
    <n v="0.91666666666666663"/>
    <n v="0.29166666666666669"/>
    <n v="8"/>
    <s v="Working Day"/>
    <x v="0"/>
  </r>
  <r>
    <s v="ATD00265"/>
    <d v="2025-02-08T00:00:00"/>
    <x v="5"/>
    <s v="Q1"/>
    <s v="Saturday"/>
    <s v="EMP009"/>
    <s v="Employee 9"/>
    <x v="4"/>
    <s v="HR Executive"/>
    <s v="Hyderabad"/>
    <s v="Flexible Shift"/>
    <d v="1899-12-30T09:00:00"/>
    <d v="1899-12-30T18:00:00"/>
    <n v="8"/>
    <n v="0"/>
    <x v="0"/>
    <m/>
    <n v="4"/>
    <s v="L2"/>
    <s v="P. Priya"/>
    <x v="0"/>
    <m/>
    <n v="31"/>
    <x v="1"/>
    <n v="44119"/>
    <n v="18000000"/>
    <s v="&lt;30 Days Hiring Cycle"/>
    <n v="560000"/>
    <s v="Medium"/>
    <s v="Hiring &amp; Retention"/>
    <n v="0.41666666666666669"/>
    <n v="0.79166666666666663"/>
    <n v="8"/>
    <s v="Working Day"/>
    <x v="0"/>
  </r>
  <r>
    <s v="ATD00266"/>
    <d v="2025-04-10T00:00:00"/>
    <x v="1"/>
    <s v="Q2"/>
    <s v="Thursday"/>
    <s v="EMP036"/>
    <s v="Employee 36"/>
    <x v="2"/>
    <s v="Software Engineer"/>
    <s v="Coimbatore"/>
    <s v="General Shift"/>
    <d v="1899-12-30T09:00:00"/>
    <d v="1899-12-30T18:00:00"/>
    <n v="9"/>
    <n v="1"/>
    <x v="0"/>
    <m/>
    <m/>
    <s v="L1"/>
    <s v="R. Karthikeyan"/>
    <x v="0"/>
    <s v="Work From Home"/>
    <n v="22"/>
    <x v="1"/>
    <n v="43480"/>
    <n v="85000000"/>
    <s v="99.5% System Uptime"/>
    <n v="720000"/>
    <s v="High"/>
    <s v="Project Delivery"/>
    <n v="0.375"/>
    <n v="0.75"/>
    <n v="8"/>
    <s v="Working Day"/>
    <x v="0"/>
  </r>
  <r>
    <s v="ATD00267"/>
    <d v="2025-04-22T00:00:00"/>
    <x v="1"/>
    <s v="Q2"/>
    <s v="Tuesday"/>
    <s v="EMP032"/>
    <s v="Employee 32"/>
    <x v="3"/>
    <s v="Accountant"/>
    <s v="Chennai"/>
    <s v="General Shift"/>
    <d v="1899-12-30T09:00:00"/>
    <d v="1899-12-30T18:00:00"/>
    <n v="8"/>
    <n v="0"/>
    <x v="0"/>
    <m/>
    <n v="4"/>
    <s v="L4"/>
    <s v="M. Mahesh"/>
    <x v="2"/>
    <s v="Late Login"/>
    <n v="36"/>
    <x v="0"/>
    <n v="44819"/>
    <n v="26000000"/>
    <s v="100% Payroll Accuracy"/>
    <n v="640000"/>
    <s v="High"/>
    <s v="Financial Compliance"/>
    <n v="0.375"/>
    <n v="0.75"/>
    <n v="8"/>
    <s v="Working Day"/>
    <x v="0"/>
  </r>
  <r>
    <s v="ATD00268"/>
    <d v="2025-03-05T00:00:00"/>
    <x v="4"/>
    <s v="Q1"/>
    <s v="Wednesday"/>
    <s v="EMP047"/>
    <s v="Employee 47"/>
    <x v="1"/>
    <s v="Operations Executive"/>
    <s v="Chennai"/>
    <s v="Afternoon Shift"/>
    <d v="1899-12-30T09:00:00"/>
    <d v="1899-12-30T18:00:00"/>
    <n v="8"/>
    <n v="0"/>
    <x v="0"/>
    <m/>
    <n v="5"/>
    <s v="L1"/>
    <s v="D. Dinesh"/>
    <x v="1"/>
    <s v="Work From Home"/>
    <n v="33"/>
    <x v="1"/>
    <n v="45275"/>
    <n v="34000000"/>
    <s v="95% Process Efficiency"/>
    <n v="610000"/>
    <s v="High"/>
    <s v="Operational Efficiency"/>
    <n v="0.58333333333333337"/>
    <n v="0.95833333333333337"/>
    <n v="8"/>
    <s v="Working Day"/>
    <x v="0"/>
  </r>
  <r>
    <s v="ATD00269"/>
    <d v="2025-06-03T00:00:00"/>
    <x v="0"/>
    <s v="Q2"/>
    <s v="Tuesday"/>
    <s v="EMP021"/>
    <s v="Employee 21"/>
    <x v="0"/>
    <s v="Support Executive"/>
    <s v="Coimbatore"/>
    <s v="Flexible Shift"/>
    <d v="1899-12-30T09:00:00"/>
    <d v="1899-12-30T18:00:00"/>
    <n v="8"/>
    <n v="0"/>
    <x v="0"/>
    <m/>
    <n v="5"/>
    <s v="L2"/>
    <s v="V. Vinoth"/>
    <x v="1"/>
    <s v="Work From Home"/>
    <n v="25"/>
    <x v="1"/>
    <n v="43388"/>
    <n v="24000000"/>
    <s v="90% Customer Satisfaction"/>
    <n v="520000"/>
    <s v="High"/>
    <s v="Customer Satisfaction"/>
    <n v="0.41666666666666669"/>
    <n v="0.79166666666666663"/>
    <n v="8"/>
    <s v="Working Day"/>
    <x v="0"/>
  </r>
  <r>
    <s v="ATD00270"/>
    <d v="2025-06-22T00:00:00"/>
    <x v="0"/>
    <s v="Q2"/>
    <s v="Sunday"/>
    <s v="EMP015"/>
    <s v="Employee 15"/>
    <x v="2"/>
    <s v="Software Engineer"/>
    <s v="Madurai"/>
    <s v="Flexible Shift"/>
    <m/>
    <m/>
    <m/>
    <m/>
    <x v="2"/>
    <m/>
    <m/>
    <s v="L3"/>
    <s v="R. Karthikeyan"/>
    <x v="3"/>
    <s v="Client Visit"/>
    <n v="37"/>
    <x v="1"/>
    <n v="43570"/>
    <n v="85000000"/>
    <s v="99.5% System Uptime"/>
    <n v="720000"/>
    <s v="High"/>
    <s v="Project Delivery"/>
    <n v="0.41666666666666669"/>
    <n v="0.79166666666666663"/>
    <n v="8"/>
    <s v="Working Day"/>
    <x v="0"/>
  </r>
  <r>
    <s v="ATD00271"/>
    <d v="2025-06-20T00:00:00"/>
    <x v="0"/>
    <s v="Q2"/>
    <s v="Friday"/>
    <s v="EMP006"/>
    <s v="Employee 6"/>
    <x v="5"/>
    <s v="Marketing Executive"/>
    <s v="Coimbatore"/>
    <s v="Night Shift"/>
    <d v="1899-12-30T22:00:00"/>
    <d v="1899-12-30T07:00:00"/>
    <n v="10"/>
    <n v="2"/>
    <x v="0"/>
    <m/>
    <n v="5"/>
    <s v="L2"/>
    <s v="S. Swetha"/>
    <x v="3"/>
    <s v="Late Login"/>
    <n v="28"/>
    <x v="0"/>
    <n v="45488"/>
    <n v="22000000"/>
    <s v="2500 Qualified Leads"/>
    <n v="590000"/>
    <s v="Medium"/>
    <s v="Lead Generation"/>
    <n v="0.91666666666666663"/>
    <n v="0.29166666666666669"/>
    <n v="8"/>
    <s v="Working Day"/>
    <x v="0"/>
  </r>
  <r>
    <s v="ATD00272"/>
    <d v="2025-02-18T00:00:00"/>
    <x v="5"/>
    <s v="Q1"/>
    <s v="Tuesday"/>
    <s v="EMP006"/>
    <s v="Employee 6"/>
    <x v="5"/>
    <s v="Marketing Executive"/>
    <s v="Coimbatore"/>
    <s v="Flexible Shift"/>
    <d v="1899-12-30T09:00:00"/>
    <d v="1899-12-30T18:00:00"/>
    <n v="8"/>
    <n v="0"/>
    <x v="0"/>
    <m/>
    <n v="4"/>
    <s v="L4"/>
    <s v="S. Swetha"/>
    <x v="0"/>
    <s v="Late Login"/>
    <n v="28"/>
    <x v="0"/>
    <n v="45488"/>
    <n v="22000000"/>
    <s v="2500 Qualified Leads"/>
    <n v="590000"/>
    <s v="Medium"/>
    <s v="Lead Generation"/>
    <n v="0.41666666666666669"/>
    <n v="0.79166666666666663"/>
    <n v="8"/>
    <s v="Working Day"/>
    <x v="0"/>
  </r>
  <r>
    <s v="ATD00273"/>
    <d v="2025-01-09T00:00:00"/>
    <x v="2"/>
    <s v="Q1"/>
    <s v="Thursday"/>
    <s v="EMP025"/>
    <s v="Employee 25"/>
    <x v="3"/>
    <s v="Accountant"/>
    <s v="Madurai"/>
    <s v="Afternoon Shift"/>
    <d v="1899-12-30T09:00:00"/>
    <d v="1899-12-30T18:00:00"/>
    <n v="8"/>
    <n v="0"/>
    <x v="0"/>
    <m/>
    <n v="3"/>
    <s v="L2"/>
    <s v="M. Mahesh"/>
    <x v="0"/>
    <s v="Work From Home"/>
    <n v="29"/>
    <x v="0"/>
    <n v="44607"/>
    <n v="26000000"/>
    <s v="100% Payroll Accuracy"/>
    <n v="640000"/>
    <s v="High"/>
    <s v="Financial Compliance"/>
    <n v="0.58333333333333337"/>
    <n v="0.95833333333333337"/>
    <n v="8"/>
    <s v="Working Day"/>
    <x v="0"/>
  </r>
  <r>
    <s v="ATD00274"/>
    <d v="2025-04-28T00:00:00"/>
    <x v="1"/>
    <s v="Q2"/>
    <s v="Monday"/>
    <s v="EMP036"/>
    <s v="Employee 36"/>
    <x v="2"/>
    <s v="Software Engineer"/>
    <s v="Coimbatore"/>
    <s v="Afternoon Shift"/>
    <d v="1899-12-30T09:00:00"/>
    <d v="1899-12-30T18:00:00"/>
    <n v="8.5"/>
    <n v="0.5"/>
    <x v="0"/>
    <m/>
    <n v="4"/>
    <s v="L4"/>
    <s v="R. Karthikeyan"/>
    <x v="3"/>
    <s v="Late Login"/>
    <n v="22"/>
    <x v="1"/>
    <n v="43480"/>
    <n v="85000000"/>
    <s v="99.5% System Uptime"/>
    <n v="720000"/>
    <s v="High"/>
    <s v="Project Delivery"/>
    <n v="0.58333333333333337"/>
    <n v="0.95833333333333337"/>
    <n v="8"/>
    <s v="Working Day"/>
    <x v="0"/>
  </r>
  <r>
    <s v="ATD00275"/>
    <d v="2025-04-04T00:00:00"/>
    <x v="1"/>
    <s v="Q2"/>
    <s v="Friday"/>
    <s v="EMP007"/>
    <s v="Employee 7"/>
    <x v="0"/>
    <s v="Support Executive"/>
    <s v="Chennai"/>
    <s v="Night Shift"/>
    <m/>
    <m/>
    <m/>
    <m/>
    <x v="2"/>
    <m/>
    <m/>
    <s v="L3"/>
    <s v="V. Vinoth"/>
    <x v="3"/>
    <s v="Client Visit"/>
    <n v="29"/>
    <x v="1"/>
    <n v="43327"/>
    <n v="24000000"/>
    <s v="90% Customer Satisfaction"/>
    <n v="520000"/>
    <s v="High"/>
    <s v="Customer Satisfaction"/>
    <n v="0.91666666666666663"/>
    <n v="0.29166666666666669"/>
    <n v="8"/>
    <s v="Working Day"/>
    <x v="0"/>
  </r>
  <r>
    <s v="ATD00276"/>
    <d v="2025-01-25T00:00:00"/>
    <x v="2"/>
    <s v="Q1"/>
    <s v="Saturday"/>
    <s v="EMP019"/>
    <s v="Employee 19"/>
    <x v="1"/>
    <s v="Operations Executive"/>
    <s v="Hyderabad"/>
    <s v="Afternoon Shift"/>
    <m/>
    <d v="1899-12-30T18:00:00"/>
    <n v="8"/>
    <n v="0"/>
    <x v="0"/>
    <m/>
    <m/>
    <s v="L3"/>
    <s v="D. Dinesh"/>
    <x v="0"/>
    <s v="Work From Home"/>
    <n v="23"/>
    <x v="0"/>
    <n v="45153"/>
    <n v="34000000"/>
    <s v="95% Process Efficiency"/>
    <n v="610000"/>
    <s v="High"/>
    <s v="Operational Efficiency"/>
    <n v="0.58333333333333337"/>
    <n v="0.95833333333333337"/>
    <n v="8"/>
    <s v="Working Day"/>
    <x v="0"/>
  </r>
  <r>
    <s v="ATD00277"/>
    <d v="2025-04-26T00:00:00"/>
    <x v="1"/>
    <s v="Q2"/>
    <s v="Saturday"/>
    <s v="EMP006"/>
    <s v="Employee 6"/>
    <x v="5"/>
    <s v="Marketing Executive"/>
    <s v="Coimbatore"/>
    <s v="Afternoon Shift"/>
    <d v="1899-12-30T09:00:00"/>
    <d v="1899-12-30T18:00:00"/>
    <n v="8"/>
    <n v="0"/>
    <x v="0"/>
    <m/>
    <n v="4"/>
    <s v="L4"/>
    <s v="S. Swetha"/>
    <x v="2"/>
    <s v="Work From Home"/>
    <n v="28"/>
    <x v="0"/>
    <n v="45488"/>
    <n v="22000000"/>
    <s v="2500 Qualified Leads"/>
    <n v="590000"/>
    <s v="Medium"/>
    <s v="Lead Generation"/>
    <n v="0.58333333333333337"/>
    <n v="0.95833333333333337"/>
    <n v="8"/>
    <s v="Working Day"/>
    <x v="0"/>
  </r>
  <r>
    <s v="ATD00278"/>
    <d v="2025-06-02T00:00:00"/>
    <x v="0"/>
    <s v="Q2"/>
    <s v="Monday"/>
    <s v="EMP030"/>
    <s v="Employee 30"/>
    <x v="4"/>
    <s v="HR Executive"/>
    <s v="Madurai"/>
    <s v="Afternoon Shift"/>
    <d v="1899-12-30T09:00:00"/>
    <d v="1899-12-30T18:00:00"/>
    <n v="8"/>
    <n v="0"/>
    <x v="0"/>
    <m/>
    <m/>
    <s v="L1"/>
    <s v="P. Priya"/>
    <x v="1"/>
    <s v="Late Login"/>
    <n v="34"/>
    <x v="0"/>
    <n v="44027"/>
    <n v="18000000"/>
    <s v="&lt;30 Days Hiring Cycle"/>
    <n v="560000"/>
    <s v="Medium"/>
    <s v="Hiring &amp; Retention"/>
    <n v="0.58333333333333337"/>
    <n v="0.95833333333333337"/>
    <n v="8"/>
    <s v="Working Day"/>
    <x v="0"/>
  </r>
  <r>
    <s v="ATD00279"/>
    <d v="2025-02-22T00:00:00"/>
    <x v="5"/>
    <s v="Q1"/>
    <s v="Saturday"/>
    <s v="EMP047"/>
    <s v="Employee 47"/>
    <x v="1"/>
    <s v="Operations Executive"/>
    <s v="Chennai"/>
    <s v="Morning Shift"/>
    <d v="1899-12-30T09:00:00"/>
    <d v="1899-12-30T18:00:00"/>
    <n v="8"/>
    <n v="0"/>
    <x v="0"/>
    <m/>
    <n v="5"/>
    <s v="L1"/>
    <s v="D. Dinesh"/>
    <x v="1"/>
    <s v="Late Login"/>
    <n v="33"/>
    <x v="1"/>
    <n v="45275"/>
    <n v="34000000"/>
    <s v="95% Process Efficiency"/>
    <n v="610000"/>
    <s v="High"/>
    <s v="Operational Efficiency"/>
    <n v="0.25"/>
    <n v="0.625"/>
    <n v="8"/>
    <s v="Working Day"/>
    <x v="0"/>
  </r>
  <r>
    <s v="ATD00280"/>
    <d v="2025-02-17T00:00:00"/>
    <x v="5"/>
    <s v="Q1"/>
    <s v="Monday"/>
    <s v="EMP007"/>
    <s v="Employee 7"/>
    <x v="0"/>
    <s v="Support Executive"/>
    <s v="Chennai"/>
    <s v="Night Shift"/>
    <d v="1899-12-30T22:00:00"/>
    <d v="1899-12-30T07:00:00"/>
    <n v="8.5"/>
    <n v="0.5"/>
    <x v="0"/>
    <m/>
    <m/>
    <s v="L2"/>
    <s v="V. Vinoth"/>
    <x v="3"/>
    <s v="Client Visit"/>
    <n v="29"/>
    <x v="1"/>
    <n v="43327"/>
    <n v="24000000"/>
    <s v="90% Customer Satisfaction"/>
    <n v="520000"/>
    <s v="High"/>
    <s v="Customer Satisfaction"/>
    <n v="0.91666666666666663"/>
    <n v="0.29166666666666669"/>
    <n v="8"/>
    <s v="Working Day"/>
    <x v="0"/>
  </r>
  <r>
    <s v="ATD00281"/>
    <d v="2025-03-02T00:00:00"/>
    <x v="4"/>
    <s v="Q1"/>
    <s v="Sunday"/>
    <s v="EMP025"/>
    <s v="Employee 25"/>
    <x v="3"/>
    <s v="Accountant"/>
    <s v="Madurai"/>
    <s v="General Shift"/>
    <d v="1899-12-30T09:00:00"/>
    <d v="1899-12-30T18:00:00"/>
    <n v="8"/>
    <n v="0"/>
    <x v="0"/>
    <m/>
    <n v="4"/>
    <s v="L2"/>
    <s v="M. Mahesh"/>
    <x v="0"/>
    <s v="Work From Home"/>
    <n v="29"/>
    <x v="0"/>
    <n v="44607"/>
    <n v="26000000"/>
    <s v="100% Payroll Accuracy"/>
    <n v="640000"/>
    <s v="High"/>
    <s v="Financial Compliance"/>
    <n v="0.375"/>
    <n v="0.75"/>
    <n v="8"/>
    <s v="Working Day"/>
    <x v="0"/>
  </r>
  <r>
    <s v="ATD00282"/>
    <d v="2025-05-14T00:00:00"/>
    <x v="3"/>
    <s v="Q2"/>
    <s v="Wednesday"/>
    <s v="EMP005"/>
    <s v="Employee 5"/>
    <x v="1"/>
    <s v="Operations Executive"/>
    <s v="Madurai"/>
    <s v="Flexible Shift"/>
    <d v="1899-12-30T09:00:00"/>
    <d v="1899-12-30T18:00:00"/>
    <n v="8"/>
    <n v="0"/>
    <x v="0"/>
    <m/>
    <n v="5"/>
    <s v="L4"/>
    <s v="D. Dinesh"/>
    <x v="2"/>
    <s v="Work From Home"/>
    <n v="27"/>
    <x v="1"/>
    <n v="45092"/>
    <n v="34000000"/>
    <s v="95% Process Efficiency"/>
    <n v="610000"/>
    <s v="High"/>
    <s v="Operational Efficiency"/>
    <n v="0.41666666666666669"/>
    <n v="0.79166666666666663"/>
    <n v="8"/>
    <s v="Working Day"/>
    <x v="0"/>
  </r>
  <r>
    <s v="ATD00283"/>
    <d v="2025-04-27T00:00:00"/>
    <x v="1"/>
    <s v="Q2"/>
    <s v="Sunday"/>
    <s v="EMP047"/>
    <s v="Employee 47"/>
    <x v="1"/>
    <s v="Operations Executive"/>
    <s v="Chennai"/>
    <s v="General Shift"/>
    <d v="1899-12-30T09:00:00"/>
    <d v="1899-12-30T18:00:00"/>
    <n v="8"/>
    <n v="0"/>
    <x v="0"/>
    <m/>
    <m/>
    <s v="L4"/>
    <s v="D. Dinesh"/>
    <x v="0"/>
    <s v="Client Visit"/>
    <n v="33"/>
    <x v="1"/>
    <n v="45275"/>
    <n v="34000000"/>
    <s v="95% Process Efficiency"/>
    <n v="610000"/>
    <s v="High"/>
    <s v="Operational Efficiency"/>
    <n v="0.375"/>
    <n v="0.75"/>
    <n v="8"/>
    <s v="Working Day"/>
    <x v="0"/>
  </r>
  <r>
    <s v="ATD00284"/>
    <d v="2025-06-12T00:00:00"/>
    <x v="0"/>
    <s v="Q2"/>
    <s v="Thursday"/>
    <s v="EMP028"/>
    <s v="Employee 28"/>
    <x v="0"/>
    <s v="Support Executive"/>
    <s v="Bengaluru"/>
    <s v="Flexible Shift"/>
    <d v="1899-12-30T09:00:00"/>
    <d v="1899-12-30T18:00:00"/>
    <n v="8"/>
    <n v="0"/>
    <x v="0"/>
    <m/>
    <n v="4"/>
    <s v="L1"/>
    <s v="V. Vinoth"/>
    <x v="0"/>
    <s v="Work From Home"/>
    <n v="32"/>
    <x v="0"/>
    <n v="43235"/>
    <n v="24000000"/>
    <s v="90% Customer Satisfaction"/>
    <n v="520000"/>
    <s v="High"/>
    <s v="Customer Satisfaction"/>
    <n v="0.41666666666666669"/>
    <n v="0.79166666666666663"/>
    <n v="8"/>
    <s v="Working Day"/>
    <x v="0"/>
  </r>
  <r>
    <s v="ATD00285"/>
    <d v="2025-01-11T00:00:00"/>
    <x v="2"/>
    <s v="Q1"/>
    <s v="Saturday"/>
    <s v="EMP010"/>
    <s v="Employee 10"/>
    <x v="6"/>
    <s v="Sales Executive"/>
    <s v="Madurai"/>
    <s v="Flexible Shift"/>
    <d v="1899-12-30T09:10:00"/>
    <d v="1899-12-30T18:00:00"/>
    <n v="8"/>
    <n v="0"/>
    <x v="0"/>
    <m/>
    <n v="4"/>
    <s v="L3"/>
    <s v="V. Vivek"/>
    <x v="2"/>
    <s v="Work From Home"/>
    <n v="32"/>
    <x v="0"/>
    <n v="44515"/>
    <n v="42000000"/>
    <s v="₹2.5 Cr Monthly Sales"/>
    <n v="680000"/>
    <s v="High"/>
    <s v="Revenue Achievement"/>
    <n v="0.41666666666666669"/>
    <n v="0.79166666666666663"/>
    <n v="8"/>
    <s v="Working Day"/>
    <x v="0"/>
  </r>
  <r>
    <s v="ATD00286"/>
    <d v="2025-03-27T00:00:00"/>
    <x v="4"/>
    <s v="Q1"/>
    <s v="Thursday"/>
    <s v="EMP006"/>
    <s v="Employee 6"/>
    <x v="5"/>
    <s v="Marketing Executive"/>
    <s v="Coimbatore"/>
    <s v="General Shift"/>
    <m/>
    <m/>
    <m/>
    <m/>
    <x v="2"/>
    <m/>
    <m/>
    <s v="L4"/>
    <s v="S. Swetha"/>
    <x v="1"/>
    <s v="Late Login"/>
    <n v="28"/>
    <x v="0"/>
    <n v="45488"/>
    <n v="22000000"/>
    <s v="2500 Qualified Leads"/>
    <n v="590000"/>
    <s v="Medium"/>
    <s v="Lead Generation"/>
    <n v="0.375"/>
    <n v="0.75"/>
    <n v="8"/>
    <s v="Working Day"/>
    <x v="0"/>
  </r>
  <r>
    <s v="ATD00287"/>
    <d v="2025-01-03T00:00:00"/>
    <x v="2"/>
    <s v="Q1"/>
    <s v="Friday"/>
    <s v="EMP024"/>
    <s v="Employee 24"/>
    <x v="6"/>
    <s v="Sales Executive"/>
    <s v="Hyderabad"/>
    <s v="Afternoon Shift"/>
    <d v="1899-12-30T09:10:00"/>
    <d v="1899-12-30T18:00:00"/>
    <n v="8"/>
    <n v="0"/>
    <x v="0"/>
    <m/>
    <n v="4"/>
    <s v="L2"/>
    <s v="V. Vivek"/>
    <x v="0"/>
    <s v="Client Visit"/>
    <n v="28"/>
    <x v="1"/>
    <n v="44211"/>
    <n v="42000000"/>
    <s v="₹2.5 Cr Monthly Sales"/>
    <n v="680000"/>
    <s v="High"/>
    <s v="Revenue Achievement"/>
    <n v="0.58333333333333337"/>
    <n v="0.95833333333333337"/>
    <n v="8"/>
    <s v="Working Day"/>
    <x v="0"/>
  </r>
  <r>
    <s v="ATD00288"/>
    <d v="2025-05-14T00:00:00"/>
    <x v="3"/>
    <s v="Q2"/>
    <s v="Wednesday"/>
    <s v="EMP002"/>
    <s v="Employee 2"/>
    <x v="4"/>
    <s v="HR Executive"/>
    <s v="Chennai"/>
    <s v="General Shift"/>
    <d v="1899-12-30T09:00:00"/>
    <d v="1899-12-30T18:00:00"/>
    <n v="8"/>
    <n v="0"/>
    <x v="0"/>
    <m/>
    <n v="5"/>
    <s v="L4"/>
    <s v="P. Priya"/>
    <x v="2"/>
    <s v="Late Login"/>
    <n v="24"/>
    <x v="0"/>
    <n v="43905"/>
    <n v="18000000"/>
    <s v="&lt;30 Days Hiring Cycle"/>
    <n v="560000"/>
    <s v="Medium"/>
    <s v="Hiring &amp; Retention"/>
    <n v="0.375"/>
    <n v="0.75"/>
    <n v="8"/>
    <s v="Working Day"/>
    <x v="0"/>
  </r>
  <r>
    <s v="ATD00289"/>
    <d v="2025-06-24T00:00:00"/>
    <x v="0"/>
    <s v="Q2"/>
    <s v="Tuesday"/>
    <s v="EMP021"/>
    <s v="Employee 21"/>
    <x v="0"/>
    <s v="Support Executive"/>
    <s v="Coimbatore"/>
    <s v="Morning Shift"/>
    <d v="1899-12-30T09:00:00"/>
    <d v="1899-12-30T18:00:00"/>
    <n v="8"/>
    <n v="0"/>
    <x v="0"/>
    <m/>
    <n v="4"/>
    <s v="L1"/>
    <s v="V. Vinoth"/>
    <x v="2"/>
    <m/>
    <n v="25"/>
    <x v="1"/>
    <n v="43388"/>
    <n v="24000000"/>
    <s v="90% Customer Satisfaction"/>
    <n v="520000"/>
    <s v="High"/>
    <s v="Customer Satisfaction"/>
    <n v="0.25"/>
    <n v="0.625"/>
    <n v="8"/>
    <s v="Working Day"/>
    <x v="0"/>
  </r>
  <r>
    <s v="ATD00290"/>
    <d v="2025-03-16T00:00:00"/>
    <x v="4"/>
    <s v="Q1"/>
    <s v="Sunday"/>
    <s v="EMP006"/>
    <s v="Employee 6"/>
    <x v="5"/>
    <s v="Marketing Executive"/>
    <s v="Coimbatore"/>
    <s v="Flexible Shift"/>
    <d v="1899-12-30T09:00:00"/>
    <d v="1899-12-30T18:00:00"/>
    <n v="8"/>
    <n v="0"/>
    <x v="0"/>
    <m/>
    <n v="4"/>
    <s v="L4"/>
    <s v="S. Swetha"/>
    <x v="2"/>
    <s v="Late Login"/>
    <n v="28"/>
    <x v="0"/>
    <n v="45488"/>
    <n v="22000000"/>
    <s v="2500 Qualified Leads"/>
    <n v="590000"/>
    <s v="Medium"/>
    <s v="Lead Generation"/>
    <n v="0.41666666666666669"/>
    <n v="0.79166666666666663"/>
    <n v="8"/>
    <s v="Working Day"/>
    <x v="0"/>
  </r>
  <r>
    <s v="ATD00291"/>
    <d v="2025-02-08T00:00:00"/>
    <x v="5"/>
    <s v="Q1"/>
    <s v="Saturday"/>
    <s v="EMP017"/>
    <s v="Employee 17"/>
    <x v="6"/>
    <s v="Sales Executive"/>
    <s v="Chennai"/>
    <s v="Afternoon Shift"/>
    <m/>
    <d v="1899-12-30T18:00:00"/>
    <n v="8"/>
    <n v="0"/>
    <x v="0"/>
    <m/>
    <n v="4"/>
    <s v="L2"/>
    <s v="V. Vivek"/>
    <x v="2"/>
    <s v="Work From Home"/>
    <n v="39"/>
    <x v="1"/>
    <n v="44362"/>
    <n v="42000000"/>
    <s v="₹2.5 Cr Monthly Sales"/>
    <n v="680000"/>
    <s v="High"/>
    <s v="Revenue Achievement"/>
    <n v="0.58333333333333337"/>
    <n v="0.95833333333333337"/>
    <n v="8"/>
    <s v="Working Day"/>
    <x v="0"/>
  </r>
  <r>
    <s v="ATD00292"/>
    <d v="2025-04-06T00:00:00"/>
    <x v="1"/>
    <s v="Q2"/>
    <s v="Sunday"/>
    <s v="EMP019"/>
    <s v="Employee 19"/>
    <x v="1"/>
    <s v="Operations Executive"/>
    <s v="Hyderabad"/>
    <s v="General Shift"/>
    <d v="1899-12-30T09:00:00"/>
    <d v="1899-12-30T18:00:00"/>
    <n v="8"/>
    <n v="0"/>
    <x v="0"/>
    <m/>
    <m/>
    <s v="L4"/>
    <s v="D. Dinesh"/>
    <x v="0"/>
    <s v="Client Visit"/>
    <n v="23"/>
    <x v="0"/>
    <n v="45153"/>
    <n v="34000000"/>
    <s v="95% Process Efficiency"/>
    <n v="610000"/>
    <s v="High"/>
    <s v="Operational Efficiency"/>
    <n v="0.375"/>
    <n v="0.75"/>
    <n v="8"/>
    <s v="Working Day"/>
    <x v="0"/>
  </r>
  <r>
    <s v="ATD00293"/>
    <d v="2025-05-25T00:00:00"/>
    <x v="3"/>
    <s v="Q2"/>
    <s v="Sunday"/>
    <s v="EMP001"/>
    <s v="Employee 1"/>
    <x v="2"/>
    <s v="Software Engineer"/>
    <s v="Coimbatore"/>
    <s v="General Shift"/>
    <d v="1899-12-30T09:00:00"/>
    <d v="1899-12-30T18:00:00"/>
    <n v="8"/>
    <n v="0"/>
    <x v="0"/>
    <m/>
    <n v="5"/>
    <s v="L2"/>
    <s v="R. Karthikeyan"/>
    <x v="3"/>
    <s v="Work From Home"/>
    <n v="23"/>
    <x v="1"/>
    <n v="43511"/>
    <n v="85000000"/>
    <s v="99.5% System Uptime"/>
    <n v="720000"/>
    <s v="High"/>
    <s v="Project Delivery"/>
    <n v="0.375"/>
    <n v="0.75"/>
    <n v="8"/>
    <s v="Working Day"/>
    <x v="0"/>
  </r>
  <r>
    <s v="ATD00294"/>
    <d v="2025-03-06T00:00:00"/>
    <x v="4"/>
    <s v="Q1"/>
    <s v="Thursday"/>
    <s v="EMP005"/>
    <s v="Employee 5"/>
    <x v="1"/>
    <s v="Operations Executive"/>
    <s v="Madurai"/>
    <s v="Morning Shift"/>
    <d v="1899-12-30T09:00:00"/>
    <d v="1899-12-30T18:00:00"/>
    <n v="8"/>
    <n v="0"/>
    <x v="0"/>
    <m/>
    <m/>
    <s v="L3"/>
    <s v="D. Dinesh"/>
    <x v="0"/>
    <m/>
    <n v="27"/>
    <x v="1"/>
    <n v="45092"/>
    <n v="34000000"/>
    <s v="95% Process Efficiency"/>
    <n v="610000"/>
    <s v="High"/>
    <s v="Operational Efficiency"/>
    <n v="0.25"/>
    <n v="0.625"/>
    <n v="8"/>
    <s v="Working Day"/>
    <x v="0"/>
  </r>
  <r>
    <s v="ATD00295"/>
    <d v="2025-01-01T00:00:00"/>
    <x v="2"/>
    <s v="Q1"/>
    <s v="Wednesday"/>
    <s v="EMP002"/>
    <s v="Employee 2"/>
    <x v="4"/>
    <s v="HR Executive"/>
    <s v="Chennai"/>
    <s v="Afternoon Shift"/>
    <d v="1899-12-30T09:00:00"/>
    <d v="1899-12-30T18:00:00"/>
    <n v="8"/>
    <n v="0"/>
    <x v="0"/>
    <m/>
    <n v="4"/>
    <s v="L4"/>
    <s v="P. Priya"/>
    <x v="2"/>
    <s v="Work From Home"/>
    <n v="24"/>
    <x v="0"/>
    <n v="43905"/>
    <n v="18000000"/>
    <s v="&lt;30 Days Hiring Cycle"/>
    <n v="560000"/>
    <s v="Medium"/>
    <s v="Hiring &amp; Retention"/>
    <n v="0.58333333333333337"/>
    <n v="0.95833333333333337"/>
    <n v="8"/>
    <s v="New Year's Day"/>
    <x v="1"/>
  </r>
  <r>
    <s v="ATD00296"/>
    <d v="2025-01-22T00:00:00"/>
    <x v="2"/>
    <s v="Q1"/>
    <s v="Wednesday"/>
    <s v="EMP047"/>
    <s v="Employee 47"/>
    <x v="1"/>
    <s v="Operations Executive"/>
    <s v="Chennai"/>
    <s v="General Shift"/>
    <d v="1899-12-30T09:00:00"/>
    <m/>
    <n v="8"/>
    <n v="0"/>
    <x v="0"/>
    <m/>
    <n v="3"/>
    <s v="L1"/>
    <s v="D. Dinesh"/>
    <x v="0"/>
    <m/>
    <n v="33"/>
    <x v="1"/>
    <n v="45275"/>
    <n v="34000000"/>
    <s v="95% Process Efficiency"/>
    <n v="610000"/>
    <s v="High"/>
    <s v="Operational Efficiency"/>
    <n v="0.375"/>
    <n v="0.75"/>
    <n v="8"/>
    <s v="Working Day"/>
    <x v="0"/>
  </r>
  <r>
    <s v="ATD00297"/>
    <d v="2025-06-13T00:00:00"/>
    <x v="0"/>
    <s v="Q2"/>
    <s v="Friday"/>
    <s v="EMP024"/>
    <s v="Employee 24"/>
    <x v="6"/>
    <s v="Sales Executive"/>
    <s v="Hyderabad"/>
    <s v="Morning Shift"/>
    <d v="1899-12-30T09:10:00"/>
    <d v="1899-12-30T18:00:00"/>
    <n v="8"/>
    <n v="0"/>
    <x v="0"/>
    <m/>
    <n v="3"/>
    <s v="L1"/>
    <s v="V. Vivek"/>
    <x v="0"/>
    <s v="Late Login"/>
    <n v="28"/>
    <x v="1"/>
    <n v="44211"/>
    <n v="42000000"/>
    <s v="₹2.5 Cr Monthly Sales"/>
    <n v="680000"/>
    <s v="High"/>
    <s v="Revenue Achievement"/>
    <n v="0.25"/>
    <n v="0.625"/>
    <n v="8"/>
    <s v="Working Day"/>
    <x v="0"/>
  </r>
  <r>
    <s v="ATD00298"/>
    <d v="2025-06-30T00:00:00"/>
    <x v="0"/>
    <s v="Q2"/>
    <s v="Monday"/>
    <s v="EMP011"/>
    <s v="Employee 11"/>
    <x v="3"/>
    <s v="Accountant"/>
    <s v="Coimbatore"/>
    <s v="General Shift"/>
    <d v="1899-12-30T09:00:00"/>
    <d v="1899-12-30T18:00:00"/>
    <n v="8"/>
    <n v="0"/>
    <x v="0"/>
    <m/>
    <n v="4"/>
    <s v="L1"/>
    <s v="M. Mahesh"/>
    <x v="0"/>
    <s v="Late Login"/>
    <n v="33"/>
    <x v="1"/>
    <n v="44910"/>
    <n v="26000000"/>
    <s v="100% Payroll Accuracy"/>
    <n v="640000"/>
    <s v="High"/>
    <s v="Financial Compliance"/>
    <n v="0.375"/>
    <n v="0.75"/>
    <n v="8"/>
    <s v="Working Day"/>
    <x v="0"/>
  </r>
  <r>
    <s v="ATD00299"/>
    <d v="2025-04-20T00:00:00"/>
    <x v="1"/>
    <s v="Q2"/>
    <s v="Sunday"/>
    <s v="EMP045"/>
    <s v="Employee 45"/>
    <x v="6"/>
    <s v="Sales Executive"/>
    <s v="Madurai"/>
    <s v="Afternoon Shift"/>
    <d v="1899-12-30T09:10:00"/>
    <d v="1899-12-30T18:00:00"/>
    <n v="8"/>
    <n v="0"/>
    <x v="0"/>
    <m/>
    <m/>
    <s v="L1"/>
    <s v="V. Vivek"/>
    <x v="3"/>
    <s v="Late Login"/>
    <n v="31"/>
    <x v="1"/>
    <n v="44484"/>
    <n v="42000000"/>
    <s v="₹2.5 Cr Monthly Sales"/>
    <n v="680000"/>
    <s v="High"/>
    <s v="Revenue Achievement"/>
    <n v="0.58333333333333337"/>
    <n v="0.95833333333333337"/>
    <n v="8"/>
    <s v="Working Day"/>
    <x v="0"/>
  </r>
  <r>
    <s v="ATD00300"/>
    <d v="2025-03-09T00:00:00"/>
    <x v="4"/>
    <s v="Q1"/>
    <s v="Sunday"/>
    <s v="EMP020"/>
    <s v="Employee 20"/>
    <x v="5"/>
    <s v="Marketing Executive"/>
    <s v="Madurai"/>
    <s v="Flexible Shift"/>
    <d v="1899-12-30T09:00:00"/>
    <d v="1899-12-30T18:00:00"/>
    <n v="8"/>
    <n v="0"/>
    <x v="0"/>
    <m/>
    <n v="4"/>
    <s v="L4"/>
    <s v="S. Swetha"/>
    <x v="2"/>
    <s v="Client Visit"/>
    <n v="24"/>
    <x v="1"/>
    <n v="45550"/>
    <n v="22000000"/>
    <s v="2500 Qualified Leads"/>
    <n v="590000"/>
    <s v="Medium"/>
    <s v="Lead Generation"/>
    <n v="0.41666666666666669"/>
    <n v="0.79166666666666663"/>
    <n v="8"/>
    <s v="Working Day"/>
    <x v="0"/>
  </r>
  <r>
    <s v="ATD00301"/>
    <d v="2025-03-07T00:00:00"/>
    <x v="4"/>
    <s v="Q1"/>
    <s v="Friday"/>
    <s v="EMP040"/>
    <s v="Employee 40"/>
    <x v="1"/>
    <s v="Operations Executive"/>
    <s v="Madurai"/>
    <s v="Morning Shift"/>
    <d v="1899-12-30T09:00:00"/>
    <d v="1899-12-30T18:00:00"/>
    <n v="8"/>
    <n v="0"/>
    <x v="0"/>
    <m/>
    <n v="4"/>
    <s v="L2"/>
    <s v="D. Dinesh"/>
    <x v="1"/>
    <m/>
    <n v="26"/>
    <x v="1"/>
    <n v="45061"/>
    <n v="34000000"/>
    <s v="95% Process Efficiency"/>
    <n v="610000"/>
    <s v="High"/>
    <s v="Operational Efficiency"/>
    <n v="0.25"/>
    <n v="0.625"/>
    <n v="8"/>
    <s v="Working Day"/>
    <x v="0"/>
  </r>
  <r>
    <s v="ATD00302"/>
    <d v="2025-03-10T00:00:00"/>
    <x v="4"/>
    <s v="Q1"/>
    <s v="Monday"/>
    <s v="EMP039"/>
    <s v="Employee 39"/>
    <x v="3"/>
    <s v="Accountant"/>
    <s v="Hyderabad"/>
    <s v="Night Shift"/>
    <d v="1899-12-30T22:00:00"/>
    <d v="1899-12-30T07:00:00"/>
    <n v="8.5"/>
    <n v="0.5"/>
    <x v="0"/>
    <m/>
    <n v="4"/>
    <s v="L3"/>
    <s v="M. Mahesh"/>
    <x v="0"/>
    <m/>
    <n v="25"/>
    <x v="0"/>
    <n v="44666"/>
    <n v="26000000"/>
    <s v="100% Payroll Accuracy"/>
    <n v="640000"/>
    <s v="High"/>
    <s v="Financial Compliance"/>
    <n v="0.91666666666666663"/>
    <n v="0.29166666666666669"/>
    <n v="8"/>
    <s v="Working Day"/>
    <x v="0"/>
  </r>
  <r>
    <s v="ATD00303"/>
    <d v="2025-04-13T00:00:00"/>
    <x v="1"/>
    <s v="Q2"/>
    <s v="Sunday"/>
    <s v="EMP050"/>
    <s v="Employee 50"/>
    <x v="2"/>
    <s v="Software Engineer"/>
    <s v="Madurai"/>
    <s v="Night Shift"/>
    <d v="1899-12-30T22:00:00"/>
    <d v="1899-12-30T07:00:00"/>
    <n v="9.5"/>
    <n v="1.5"/>
    <x v="0"/>
    <m/>
    <m/>
    <s v="L2"/>
    <s v="R. Karthikeyan"/>
    <x v="3"/>
    <s v="Late Login"/>
    <n v="36"/>
    <x v="0"/>
    <n v="43539"/>
    <n v="85000000"/>
    <s v="99.5% System Uptime"/>
    <n v="720000"/>
    <s v="High"/>
    <s v="Project Delivery"/>
    <n v="0.91666666666666663"/>
    <n v="0.29166666666666669"/>
    <n v="8"/>
    <s v="Working Day"/>
    <x v="0"/>
  </r>
  <r>
    <s v="ATD00304"/>
    <d v="2025-05-29T00:00:00"/>
    <x v="3"/>
    <s v="Q2"/>
    <s v="Thursday"/>
    <s v="EMP005"/>
    <s v="Employee 5"/>
    <x v="1"/>
    <s v="Operations Executive"/>
    <s v="Madurai"/>
    <s v="Night Shift"/>
    <m/>
    <m/>
    <m/>
    <m/>
    <x v="1"/>
    <s v="Earned Leave"/>
    <m/>
    <s v="L1"/>
    <s v="D. Dinesh"/>
    <x v="1"/>
    <s v="Work From Home"/>
    <n v="27"/>
    <x v="1"/>
    <n v="45092"/>
    <n v="34000000"/>
    <s v="95% Process Efficiency"/>
    <n v="610000"/>
    <s v="High"/>
    <s v="Operational Efficiency"/>
    <n v="0.91666666666666663"/>
    <n v="0.29166666666666669"/>
    <n v="8"/>
    <s v="Working Day"/>
    <x v="0"/>
  </r>
  <r>
    <s v="ATD00305"/>
    <d v="2025-02-04T00:00:00"/>
    <x v="5"/>
    <s v="Q1"/>
    <s v="Tuesday"/>
    <s v="EMP041"/>
    <s v="Employee 41"/>
    <x v="5"/>
    <s v="Marketing Executive"/>
    <s v="Coimbatore"/>
    <s v="Night Shift"/>
    <d v="1899-12-30T22:00:00"/>
    <d v="1899-12-30T07:00:00"/>
    <n v="9"/>
    <n v="1"/>
    <x v="0"/>
    <m/>
    <m/>
    <s v="L2"/>
    <s v="S. Swetha"/>
    <x v="0"/>
    <s v="Client Visit"/>
    <n v="27"/>
    <x v="1"/>
    <n v="45458"/>
    <n v="22000000"/>
    <s v="2500 Qualified Leads"/>
    <n v="590000"/>
    <s v="Medium"/>
    <s v="Lead Generation"/>
    <n v="0.91666666666666663"/>
    <n v="0.29166666666666669"/>
    <n v="8"/>
    <s v="Working Day"/>
    <x v="0"/>
  </r>
  <r>
    <s v="ATD00306"/>
    <d v="2025-01-31T00:00:00"/>
    <x v="2"/>
    <s v="Q1"/>
    <s v="Friday"/>
    <s v="EMP014"/>
    <s v="Employee 14"/>
    <x v="0"/>
    <s v="Support Executive"/>
    <s v="Hyderabad"/>
    <s v="General Shift"/>
    <m/>
    <m/>
    <m/>
    <m/>
    <x v="1"/>
    <s v="Sick Leave"/>
    <m/>
    <s v="L1"/>
    <s v="V. Vinoth"/>
    <x v="1"/>
    <s v="Work From Home"/>
    <n v="36"/>
    <x v="0"/>
    <n v="43174"/>
    <n v="24000000"/>
    <s v="90% Customer Satisfaction"/>
    <n v="520000"/>
    <s v="High"/>
    <s v="Customer Satisfaction"/>
    <n v="0.375"/>
    <n v="0.75"/>
    <n v="8"/>
    <s v="Working Day"/>
    <x v="0"/>
  </r>
  <r>
    <s v="ATD00307"/>
    <d v="2025-05-12T00:00:00"/>
    <x v="3"/>
    <s v="Q2"/>
    <s v="Monday"/>
    <s v="EMP011"/>
    <s v="Employee 11"/>
    <x v="3"/>
    <s v="Accountant"/>
    <s v="Coimbatore"/>
    <s v="Afternoon Shift"/>
    <d v="1899-12-30T09:00:00"/>
    <d v="1899-12-30T18:00:00"/>
    <n v="8"/>
    <n v="0"/>
    <x v="0"/>
    <m/>
    <n v="3"/>
    <s v="L3"/>
    <s v="M. Mahesh"/>
    <x v="1"/>
    <m/>
    <n v="33"/>
    <x v="1"/>
    <n v="44910"/>
    <n v="26000000"/>
    <s v="100% Payroll Accuracy"/>
    <n v="640000"/>
    <s v="High"/>
    <s v="Financial Compliance"/>
    <n v="0.58333333333333337"/>
    <n v="0.95833333333333337"/>
    <n v="8"/>
    <s v="Working Day"/>
    <x v="0"/>
  </r>
  <r>
    <s v="ATD00308"/>
    <d v="2025-03-18T00:00:00"/>
    <x v="4"/>
    <s v="Q1"/>
    <s v="Tuesday"/>
    <s v="EMP032"/>
    <s v="Employee 32"/>
    <x v="3"/>
    <s v="Accountant"/>
    <s v="Chennai"/>
    <s v="Morning Shift"/>
    <d v="1899-12-30T09:00:00"/>
    <d v="1899-12-30T18:00:00"/>
    <n v="8"/>
    <n v="0"/>
    <x v="0"/>
    <m/>
    <n v="4"/>
    <s v="L2"/>
    <s v="M. Mahesh"/>
    <x v="0"/>
    <s v="Client Visit"/>
    <n v="36"/>
    <x v="0"/>
    <n v="44819"/>
    <n v="26000000"/>
    <s v="100% Payroll Accuracy"/>
    <n v="640000"/>
    <s v="High"/>
    <s v="Financial Compliance"/>
    <n v="0.25"/>
    <n v="0.625"/>
    <n v="8"/>
    <s v="Working Day"/>
    <x v="0"/>
  </r>
  <r>
    <s v="ATD00309"/>
    <d v="2025-01-26T00:00:00"/>
    <x v="2"/>
    <s v="Q1"/>
    <s v="Sunday"/>
    <s v="EMP017"/>
    <s v="Employee 17"/>
    <x v="6"/>
    <s v="Sales Executive"/>
    <s v="Chennai"/>
    <s v="Flexible Shift"/>
    <d v="1899-12-30T09:10:00"/>
    <d v="1899-12-30T18:00:00"/>
    <n v="8"/>
    <n v="0"/>
    <x v="0"/>
    <m/>
    <m/>
    <s v="L2"/>
    <s v="V. Vivek"/>
    <x v="3"/>
    <m/>
    <n v="39"/>
    <x v="1"/>
    <n v="44362"/>
    <n v="42000000"/>
    <s v="₹2.5 Cr Monthly Sales"/>
    <n v="680000"/>
    <s v="High"/>
    <s v="Revenue Achievement"/>
    <n v="0.41666666666666669"/>
    <n v="0.79166666666666663"/>
    <n v="8"/>
    <s v="Republic Day"/>
    <x v="1"/>
  </r>
  <r>
    <s v="ATD00310"/>
    <d v="2025-06-13T00:00:00"/>
    <x v="0"/>
    <s v="Q2"/>
    <s v="Friday"/>
    <s v="EMP004"/>
    <s v="Employee 4"/>
    <x v="3"/>
    <s v="Accountant"/>
    <s v="Hyderabad"/>
    <s v="Night Shift"/>
    <d v="1899-12-30T22:00:00"/>
    <d v="1899-12-30T07:00:00"/>
    <n v="9.5"/>
    <n v="1.5"/>
    <x v="0"/>
    <m/>
    <n v="3"/>
    <s v="L1"/>
    <s v="M. Mahesh"/>
    <x v="2"/>
    <s v="Work From Home"/>
    <n v="26"/>
    <x v="0"/>
    <n v="44696"/>
    <n v="26000000"/>
    <s v="100% Payroll Accuracy"/>
    <n v="640000"/>
    <s v="High"/>
    <s v="Financial Compliance"/>
    <n v="0.91666666666666663"/>
    <n v="0.29166666666666669"/>
    <n v="8"/>
    <s v="Working Day"/>
    <x v="0"/>
  </r>
  <r>
    <s v="ATD00311"/>
    <d v="2025-02-26T00:00:00"/>
    <x v="5"/>
    <s v="Q1"/>
    <s v="Wednesday"/>
    <s v="EMP004"/>
    <s v="Employee 4"/>
    <x v="3"/>
    <s v="Accountant"/>
    <s v="Hyderabad"/>
    <s v="Flexible Shift"/>
    <d v="1899-12-30T09:00:00"/>
    <d v="1899-12-30T18:00:00"/>
    <n v="8"/>
    <n v="0"/>
    <x v="0"/>
    <m/>
    <n v="3"/>
    <s v="L4"/>
    <s v="M. Mahesh"/>
    <x v="1"/>
    <s v="Client Visit"/>
    <n v="26"/>
    <x v="0"/>
    <n v="44696"/>
    <n v="26000000"/>
    <s v="100% Payroll Accuracy"/>
    <n v="640000"/>
    <s v="High"/>
    <s v="Financial Compliance"/>
    <n v="0.41666666666666669"/>
    <n v="0.79166666666666663"/>
    <n v="8"/>
    <s v="Mahashivratri"/>
    <x v="3"/>
  </r>
  <r>
    <s v="ATD00312"/>
    <d v="2025-05-17T00:00:00"/>
    <x v="3"/>
    <s v="Q2"/>
    <s v="Saturday"/>
    <s v="EMP050"/>
    <s v="Employee 50"/>
    <x v="2"/>
    <s v="Software Engineer"/>
    <s v="Madurai"/>
    <s v="General Shift"/>
    <d v="1899-12-30T09:00:00"/>
    <d v="1899-12-30T18:00:00"/>
    <n v="8"/>
    <n v="0"/>
    <x v="0"/>
    <m/>
    <m/>
    <s v="L2"/>
    <s v="R. Karthikeyan"/>
    <x v="0"/>
    <s v="Late Login"/>
    <n v="36"/>
    <x v="0"/>
    <n v="43539"/>
    <n v="85000000"/>
    <s v="99.5% System Uptime"/>
    <n v="720000"/>
    <s v="High"/>
    <s v="Project Delivery"/>
    <n v="0.375"/>
    <n v="0.75"/>
    <n v="8"/>
    <s v="Working Day"/>
    <x v="0"/>
  </r>
  <r>
    <s v="ATD00313"/>
    <d v="2025-03-23T00:00:00"/>
    <x v="4"/>
    <s v="Q1"/>
    <s v="Sunday"/>
    <s v="EMP026"/>
    <s v="Employee 26"/>
    <x v="1"/>
    <s v="Operations Executive"/>
    <s v="Coimbatore"/>
    <s v="Afternoon Shift"/>
    <d v="1899-12-30T09:00:00"/>
    <d v="1899-12-30T18:00:00"/>
    <n v="8"/>
    <n v="0"/>
    <x v="0"/>
    <m/>
    <n v="4"/>
    <s v="L1"/>
    <s v="D. Dinesh"/>
    <x v="3"/>
    <s v="Client Visit"/>
    <n v="30"/>
    <x v="0"/>
    <n v="45000"/>
    <n v="34000000"/>
    <s v="95% Process Efficiency"/>
    <n v="610000"/>
    <s v="High"/>
    <s v="Operational Efficiency"/>
    <n v="0.58333333333333337"/>
    <n v="0.95833333333333337"/>
    <n v="8"/>
    <s v="Working Day"/>
    <x v="0"/>
  </r>
  <r>
    <s v="ATD00314"/>
    <d v="2025-06-30T00:00:00"/>
    <x v="0"/>
    <s v="Q2"/>
    <s v="Monday"/>
    <s v="EMP003"/>
    <s v="Employee 3"/>
    <x v="6"/>
    <s v="Sales Executive"/>
    <s v="Bengaluru"/>
    <s v="Flexible Shift"/>
    <d v="1899-12-30T09:00:00"/>
    <d v="1899-12-30T18:00:00"/>
    <n v="8"/>
    <n v="0"/>
    <x v="0"/>
    <m/>
    <n v="4"/>
    <s v="L2"/>
    <s v="V. Vivek"/>
    <x v="2"/>
    <s v="Late Login"/>
    <n v="25"/>
    <x v="1"/>
    <n v="44301"/>
    <n v="42000000"/>
    <s v="₹2.5 Cr Monthly Sales"/>
    <n v="680000"/>
    <s v="High"/>
    <s v="Revenue Achievement"/>
    <n v="0.41666666666666669"/>
    <n v="0.79166666666666663"/>
    <n v="8"/>
    <s v="Working Day"/>
    <x v="0"/>
  </r>
  <r>
    <s v="ATD00315"/>
    <d v="2025-02-12T00:00:00"/>
    <x v="5"/>
    <s v="Q1"/>
    <s v="Wednesday"/>
    <s v="EMP016"/>
    <s v="Employee 16"/>
    <x v="4"/>
    <s v="HR Executive"/>
    <s v="Coimbatore"/>
    <s v="Flexible Shift"/>
    <m/>
    <m/>
    <m/>
    <m/>
    <x v="1"/>
    <s v="Sick Leave"/>
    <m/>
    <s v="L2"/>
    <s v="P. Priya"/>
    <x v="2"/>
    <s v="Late Login"/>
    <n v="38"/>
    <x v="0"/>
    <n v="43966"/>
    <n v="18000000"/>
    <s v="&lt;30 Days Hiring Cycle"/>
    <n v="560000"/>
    <s v="Medium"/>
    <s v="Hiring &amp; Retention"/>
    <n v="0.41666666666666669"/>
    <n v="0.79166666666666663"/>
    <n v="8"/>
    <s v="Working Day"/>
    <x v="0"/>
  </r>
  <r>
    <s v="ATD00316"/>
    <d v="2025-03-31T00:00:00"/>
    <x v="4"/>
    <s v="Q1"/>
    <s v="Monday"/>
    <s v="EMP013"/>
    <s v="Employee 13"/>
    <x v="5"/>
    <s v="Marketing Executive"/>
    <s v="Bengaluru"/>
    <s v="Afternoon Shift"/>
    <d v="1899-12-30T09:00:00"/>
    <d v="1899-12-30T18:00:00"/>
    <n v="8"/>
    <n v="0"/>
    <x v="0"/>
    <m/>
    <n v="5"/>
    <s v="L3"/>
    <s v="S. Swetha"/>
    <x v="2"/>
    <s v="Late Login"/>
    <n v="35"/>
    <x v="1"/>
    <n v="45337"/>
    <n v="22000000"/>
    <s v="2500 Qualified Leads"/>
    <n v="590000"/>
    <s v="Medium"/>
    <s v="Lead Generation"/>
    <n v="0.58333333333333337"/>
    <n v="0.95833333333333337"/>
    <n v="8"/>
    <s v="Working Day"/>
    <x v="0"/>
  </r>
  <r>
    <s v="ATD00317"/>
    <d v="2025-03-19T00:00:00"/>
    <x v="4"/>
    <s v="Q1"/>
    <s v="Wednesday"/>
    <s v="EMP002"/>
    <s v="Employee 2"/>
    <x v="4"/>
    <s v="HR Executive"/>
    <s v="Chennai"/>
    <s v="Flexible Shift"/>
    <d v="1899-12-30T09:00:00"/>
    <d v="1899-12-30T18:00:00"/>
    <n v="8"/>
    <n v="0"/>
    <x v="0"/>
    <m/>
    <m/>
    <s v="L4"/>
    <s v="P. Priya"/>
    <x v="0"/>
    <s v="Work From Home"/>
    <n v="24"/>
    <x v="0"/>
    <n v="43905"/>
    <n v="18000000"/>
    <s v="&lt;30 Days Hiring Cycle"/>
    <n v="560000"/>
    <s v="Medium"/>
    <s v="Hiring &amp; Retention"/>
    <n v="0.41666666666666669"/>
    <n v="0.79166666666666663"/>
    <n v="8"/>
    <s v="Working Day"/>
    <x v="0"/>
  </r>
  <r>
    <s v="ATD00318"/>
    <d v="2025-03-12T00:00:00"/>
    <x v="4"/>
    <s v="Q1"/>
    <s v="Wednesday"/>
    <s v="EMP030"/>
    <s v="Employee 30"/>
    <x v="4"/>
    <s v="HR Executive"/>
    <s v="Madurai"/>
    <s v="Morning Shift"/>
    <d v="1899-12-30T09:00:00"/>
    <d v="1899-12-30T18:00:00"/>
    <n v="8"/>
    <n v="0"/>
    <x v="0"/>
    <m/>
    <n v="4"/>
    <s v="L1"/>
    <s v="P. Priya"/>
    <x v="0"/>
    <s v="Late Login"/>
    <n v="34"/>
    <x v="0"/>
    <n v="44027"/>
    <n v="18000000"/>
    <s v="&lt;30 Days Hiring Cycle"/>
    <n v="560000"/>
    <s v="Medium"/>
    <s v="Hiring &amp; Retention"/>
    <n v="0.25"/>
    <n v="0.625"/>
    <n v="8"/>
    <s v="Working Day"/>
    <x v="0"/>
  </r>
  <r>
    <s v="ATD00319"/>
    <d v="2025-02-18T00:00:00"/>
    <x v="5"/>
    <s v="Q1"/>
    <s v="Tuesday"/>
    <s v="EMP001"/>
    <s v="Employee 1"/>
    <x v="2"/>
    <s v="Software Engineer"/>
    <s v="Coimbatore"/>
    <s v="Flexible Shift"/>
    <d v="1899-12-30T09:00:00"/>
    <d v="1899-12-30T18:00:00"/>
    <n v="8"/>
    <n v="0"/>
    <x v="0"/>
    <m/>
    <n v="4"/>
    <s v="L3"/>
    <s v="R. Karthikeyan"/>
    <x v="3"/>
    <m/>
    <n v="23"/>
    <x v="1"/>
    <n v="43511"/>
    <n v="85000000"/>
    <s v="99.5% System Uptime"/>
    <n v="720000"/>
    <s v="High"/>
    <s v="Project Delivery"/>
    <n v="0.41666666666666669"/>
    <n v="0.79166666666666663"/>
    <n v="8"/>
    <s v="Working Day"/>
    <x v="0"/>
  </r>
  <r>
    <s v="ATD00320"/>
    <d v="2025-01-19T00:00:00"/>
    <x v="2"/>
    <s v="Q1"/>
    <s v="Sunday"/>
    <s v="EMP043"/>
    <s v="Employee 43"/>
    <x v="2"/>
    <s v="Software Engineer"/>
    <s v="Bengaluru"/>
    <s v="Night Shift"/>
    <m/>
    <d v="1899-12-30T07:00:00"/>
    <n v="9.5"/>
    <n v="1.5"/>
    <x v="0"/>
    <m/>
    <n v="4"/>
    <s v="L2"/>
    <s v="R. Karthikeyan"/>
    <x v="0"/>
    <s v="Work From Home"/>
    <n v="29"/>
    <x v="1"/>
    <n v="43692"/>
    <n v="85000000"/>
    <s v="99.5% System Uptime"/>
    <n v="720000"/>
    <s v="High"/>
    <s v="Project Delivery"/>
    <n v="0.91666666666666663"/>
    <n v="0.29166666666666669"/>
    <n v="8"/>
    <s v="Working Day"/>
    <x v="0"/>
  </r>
  <r>
    <s v="ATD00321"/>
    <d v="2025-03-13T00:00:00"/>
    <x v="4"/>
    <s v="Q1"/>
    <s v="Thursday"/>
    <s v="EMP002"/>
    <s v="Employee 2"/>
    <x v="4"/>
    <s v="HR Executive"/>
    <s v="Chennai"/>
    <s v="Morning Shift"/>
    <d v="1899-12-30T09:00:00"/>
    <d v="1899-12-30T18:00:00"/>
    <n v="8"/>
    <n v="0"/>
    <x v="0"/>
    <m/>
    <n v="3"/>
    <s v="L4"/>
    <s v="P. Priya"/>
    <x v="1"/>
    <m/>
    <n v="24"/>
    <x v="0"/>
    <n v="43905"/>
    <n v="18000000"/>
    <s v="&lt;30 Days Hiring Cycle"/>
    <n v="560000"/>
    <s v="Medium"/>
    <s v="Hiring &amp; Retention"/>
    <n v="0.25"/>
    <n v="0.625"/>
    <n v="8"/>
    <s v="Working Day"/>
    <x v="0"/>
  </r>
  <r>
    <s v="ATD00322"/>
    <d v="2025-06-02T00:00:00"/>
    <x v="0"/>
    <s v="Q2"/>
    <s v="Monday"/>
    <s v="EMP025"/>
    <s v="Employee 25"/>
    <x v="3"/>
    <s v="Accountant"/>
    <s v="Madurai"/>
    <s v="Flexible Shift"/>
    <d v="1899-12-30T09:00:00"/>
    <d v="1899-12-30T18:00:00"/>
    <n v="8"/>
    <n v="0"/>
    <x v="0"/>
    <m/>
    <n v="5"/>
    <s v="L3"/>
    <s v="M. Mahesh"/>
    <x v="1"/>
    <s v="Client Visit"/>
    <n v="29"/>
    <x v="0"/>
    <n v="44607"/>
    <n v="26000000"/>
    <s v="100% Payroll Accuracy"/>
    <n v="640000"/>
    <s v="High"/>
    <s v="Financial Compliance"/>
    <n v="0.41666666666666669"/>
    <n v="0.79166666666666663"/>
    <n v="8"/>
    <s v="Working Day"/>
    <x v="0"/>
  </r>
  <r>
    <s v="ATD00323"/>
    <d v="2025-03-07T00:00:00"/>
    <x v="4"/>
    <s v="Q1"/>
    <s v="Friday"/>
    <s v="EMP020"/>
    <s v="Employee 20"/>
    <x v="5"/>
    <s v="Marketing Executive"/>
    <s v="Madurai"/>
    <s v="General Shift"/>
    <m/>
    <m/>
    <m/>
    <m/>
    <x v="2"/>
    <m/>
    <m/>
    <s v="L3"/>
    <s v="S. Swetha"/>
    <x v="3"/>
    <m/>
    <n v="24"/>
    <x v="1"/>
    <n v="45550"/>
    <n v="22000000"/>
    <s v="2500 Qualified Leads"/>
    <n v="590000"/>
    <s v="Medium"/>
    <s v="Lead Generation"/>
    <n v="0.375"/>
    <n v="0.75"/>
    <n v="8"/>
    <s v="Working Day"/>
    <x v="0"/>
  </r>
  <r>
    <s v="ATD00324"/>
    <d v="2025-01-19T00:00:00"/>
    <x v="2"/>
    <s v="Q1"/>
    <s v="Sunday"/>
    <s v="EMP004"/>
    <s v="Employee 4"/>
    <x v="3"/>
    <s v="Accountant"/>
    <s v="Hyderabad"/>
    <s v="Afternoon Shift"/>
    <d v="1899-12-30T09:00:00"/>
    <d v="1899-12-30T18:00:00"/>
    <n v="8"/>
    <n v="0"/>
    <x v="0"/>
    <m/>
    <n v="5"/>
    <s v="L2"/>
    <s v="M. Mahesh"/>
    <x v="2"/>
    <s v="Late Login"/>
    <n v="26"/>
    <x v="0"/>
    <n v="44696"/>
    <n v="26000000"/>
    <s v="100% Payroll Accuracy"/>
    <n v="640000"/>
    <s v="High"/>
    <s v="Financial Compliance"/>
    <n v="0.58333333333333337"/>
    <n v="0.95833333333333337"/>
    <n v="8"/>
    <s v="Working Day"/>
    <x v="0"/>
  </r>
  <r>
    <s v="ATD00325"/>
    <d v="2025-06-11T00:00:00"/>
    <x v="0"/>
    <s v="Q2"/>
    <s v="Wednesday"/>
    <s v="EMP039"/>
    <s v="Employee 39"/>
    <x v="3"/>
    <s v="Accountant"/>
    <s v="Hyderabad"/>
    <s v="General Shift"/>
    <m/>
    <m/>
    <m/>
    <m/>
    <x v="2"/>
    <m/>
    <m/>
    <s v="L1"/>
    <s v="M. Mahesh"/>
    <x v="0"/>
    <s v="Client Visit"/>
    <n v="25"/>
    <x v="0"/>
    <n v="44666"/>
    <n v="26000000"/>
    <s v="100% Payroll Accuracy"/>
    <n v="640000"/>
    <s v="High"/>
    <s v="Financial Compliance"/>
    <n v="0.375"/>
    <n v="0.75"/>
    <n v="8"/>
    <s v="Working Day"/>
    <x v="0"/>
  </r>
  <r>
    <s v="ATD00326"/>
    <d v="2025-02-02T00:00:00"/>
    <x v="5"/>
    <s v="Q1"/>
    <s v="Sunday"/>
    <s v="EMP041"/>
    <s v="Employee 41"/>
    <x v="5"/>
    <s v="Marketing Executive"/>
    <s v="Coimbatore"/>
    <s v="Flexible Shift"/>
    <m/>
    <d v="1899-12-30T18:00:00"/>
    <n v="8"/>
    <n v="0"/>
    <x v="0"/>
    <m/>
    <n v="3"/>
    <s v="L2"/>
    <s v="S. Swetha"/>
    <x v="2"/>
    <m/>
    <n v="27"/>
    <x v="1"/>
    <n v="45458"/>
    <n v="22000000"/>
    <s v="2500 Qualified Leads"/>
    <n v="590000"/>
    <s v="Medium"/>
    <s v="Lead Generation"/>
    <n v="0.41666666666666669"/>
    <n v="0.79166666666666663"/>
    <n v="8"/>
    <s v="Working Day"/>
    <x v="0"/>
  </r>
  <r>
    <s v="ATD00327"/>
    <d v="2025-03-29T00:00:00"/>
    <x v="4"/>
    <s v="Q1"/>
    <s v="Saturday"/>
    <s v="EMP021"/>
    <s v="Employee 21"/>
    <x v="0"/>
    <s v="Support Executive"/>
    <s v="Coimbatore"/>
    <s v="General Shift"/>
    <d v="1899-12-30T09:00:00"/>
    <d v="1899-12-30T18:00:00"/>
    <n v="8"/>
    <n v="0"/>
    <x v="0"/>
    <m/>
    <n v="4"/>
    <s v="L4"/>
    <s v="V. Vinoth"/>
    <x v="2"/>
    <s v="Client Visit"/>
    <n v="25"/>
    <x v="1"/>
    <n v="43388"/>
    <n v="24000000"/>
    <s v="90% Customer Satisfaction"/>
    <n v="520000"/>
    <s v="High"/>
    <s v="Customer Satisfaction"/>
    <n v="0.375"/>
    <n v="0.75"/>
    <n v="8"/>
    <s v="Working Day"/>
    <x v="0"/>
  </r>
  <r>
    <s v="ATD00328"/>
    <d v="2025-04-10T00:00:00"/>
    <x v="1"/>
    <s v="Q2"/>
    <s v="Thursday"/>
    <s v="EMP006"/>
    <s v="Employee 6"/>
    <x v="5"/>
    <s v="Marketing Executive"/>
    <s v="Coimbatore"/>
    <s v="Morning Shift"/>
    <d v="1899-12-30T09:00:00"/>
    <d v="1899-12-30T18:00:00"/>
    <n v="8"/>
    <n v="0"/>
    <x v="0"/>
    <m/>
    <n v="4"/>
    <s v="L1"/>
    <s v="S. Swetha"/>
    <x v="2"/>
    <s v="Client Visit"/>
    <n v="28"/>
    <x v="0"/>
    <n v="45488"/>
    <n v="22000000"/>
    <s v="2500 Qualified Leads"/>
    <n v="590000"/>
    <s v="Medium"/>
    <s v="Lead Generation"/>
    <n v="0.25"/>
    <n v="0.625"/>
    <n v="8"/>
    <s v="Working Day"/>
    <x v="0"/>
  </r>
  <r>
    <s v="ATD00329"/>
    <d v="2025-03-28T00:00:00"/>
    <x v="4"/>
    <s v="Q1"/>
    <s v="Friday"/>
    <s v="EMP003"/>
    <s v="Employee 3"/>
    <x v="6"/>
    <s v="Sales Executive"/>
    <s v="Bengaluru"/>
    <s v="General Shift"/>
    <d v="1899-12-30T09:35:00"/>
    <d v="1899-12-30T18:00:00"/>
    <n v="8"/>
    <n v="0"/>
    <x v="0"/>
    <m/>
    <m/>
    <s v="L4"/>
    <s v="V. Vivek"/>
    <x v="1"/>
    <s v="Client Visit"/>
    <n v="25"/>
    <x v="1"/>
    <n v="44301"/>
    <n v="42000000"/>
    <s v="₹2.5 Cr Monthly Sales"/>
    <n v="680000"/>
    <s v="High"/>
    <s v="Revenue Achievement"/>
    <n v="0.375"/>
    <n v="0.75"/>
    <n v="8"/>
    <s v="Working Day"/>
    <x v="0"/>
  </r>
  <r>
    <s v="ATD00330"/>
    <d v="2025-01-05T00:00:00"/>
    <x v="2"/>
    <s v="Q1"/>
    <s v="Sunday"/>
    <s v="EMP043"/>
    <s v="Employee 43"/>
    <x v="2"/>
    <s v="Software Engineer"/>
    <s v="Bengaluru"/>
    <s v="General Shift"/>
    <d v="1899-12-30T09:00:00"/>
    <d v="1899-12-30T18:00:00"/>
    <n v="10"/>
    <n v="2"/>
    <x v="0"/>
    <m/>
    <n v="4"/>
    <s v="L3"/>
    <s v="R. Karthikeyan"/>
    <x v="3"/>
    <s v="Client Visit"/>
    <n v="29"/>
    <x v="1"/>
    <n v="43692"/>
    <n v="85000000"/>
    <s v="99.5% System Uptime"/>
    <n v="720000"/>
    <s v="High"/>
    <s v="Project Delivery"/>
    <n v="0.375"/>
    <n v="0.75"/>
    <n v="8"/>
    <s v="Working Day"/>
    <x v="0"/>
  </r>
  <r>
    <s v="ATD00331"/>
    <d v="2025-02-04T00:00:00"/>
    <x v="5"/>
    <s v="Q1"/>
    <s v="Tuesday"/>
    <s v="EMP046"/>
    <s v="Employee 46"/>
    <x v="3"/>
    <s v="Accountant"/>
    <s v="Coimbatore"/>
    <s v="Flexible Shift"/>
    <m/>
    <m/>
    <m/>
    <m/>
    <x v="1"/>
    <s v="Sick Leave"/>
    <m/>
    <s v="L2"/>
    <s v="M. Mahesh"/>
    <x v="2"/>
    <s v="Client Visit"/>
    <n v="32"/>
    <x v="0"/>
    <n v="44880"/>
    <n v="26000000"/>
    <s v="100% Payroll Accuracy"/>
    <n v="640000"/>
    <s v="High"/>
    <s v="Financial Compliance"/>
    <n v="0.41666666666666669"/>
    <n v="0.79166666666666663"/>
    <n v="8"/>
    <s v="Working Day"/>
    <x v="0"/>
  </r>
  <r>
    <s v="ATD00332"/>
    <d v="2025-01-21T00:00:00"/>
    <x v="2"/>
    <s v="Q1"/>
    <s v="Tuesday"/>
    <s v="EMP045"/>
    <s v="Employee 45"/>
    <x v="6"/>
    <s v="Sales Executive"/>
    <s v="Madurai"/>
    <s v="Flexible Shift"/>
    <d v="1899-12-30T09:20:00"/>
    <d v="1899-12-30T18:00:00"/>
    <n v="8"/>
    <n v="0"/>
    <x v="0"/>
    <m/>
    <m/>
    <s v="L1"/>
    <s v="V. Vivek"/>
    <x v="0"/>
    <s v="Late Login"/>
    <n v="31"/>
    <x v="1"/>
    <n v="44484"/>
    <n v="42000000"/>
    <s v="₹2.5 Cr Monthly Sales"/>
    <n v="680000"/>
    <s v="High"/>
    <s v="Revenue Achievement"/>
    <n v="0.41666666666666669"/>
    <n v="0.79166666666666663"/>
    <n v="8"/>
    <s v="Working Day"/>
    <x v="0"/>
  </r>
  <r>
    <s v="ATD00333"/>
    <d v="2025-05-20T00:00:00"/>
    <x v="3"/>
    <s v="Q2"/>
    <s v="Tuesday"/>
    <s v="EMP021"/>
    <s v="Employee 21"/>
    <x v="0"/>
    <s v="Support Executive"/>
    <s v="Coimbatore"/>
    <s v="General Shift"/>
    <d v="1899-12-30T09:00:00"/>
    <d v="1899-12-30T18:00:00"/>
    <n v="8"/>
    <n v="0"/>
    <x v="0"/>
    <m/>
    <n v="4"/>
    <s v="L3"/>
    <s v="V. Vinoth"/>
    <x v="3"/>
    <s v="Work From Home"/>
    <n v="25"/>
    <x v="1"/>
    <n v="43388"/>
    <n v="24000000"/>
    <s v="90% Customer Satisfaction"/>
    <n v="520000"/>
    <s v="High"/>
    <s v="Customer Satisfaction"/>
    <n v="0.375"/>
    <n v="0.75"/>
    <n v="8"/>
    <s v="Working Day"/>
    <x v="0"/>
  </r>
  <r>
    <s v="ATD00334"/>
    <d v="2025-03-06T00:00:00"/>
    <x v="4"/>
    <s v="Q1"/>
    <s v="Thursday"/>
    <s v="EMP040"/>
    <s v="Employee 40"/>
    <x v="1"/>
    <s v="Operations Executive"/>
    <s v="Madurai"/>
    <s v="Night Shift"/>
    <d v="1899-12-30T22:00:00"/>
    <d v="1899-12-30T07:00:00"/>
    <n v="8.5"/>
    <n v="0.5"/>
    <x v="0"/>
    <m/>
    <n v="5"/>
    <s v="L2"/>
    <s v="D. Dinesh"/>
    <x v="0"/>
    <s v="Client Visit"/>
    <n v="26"/>
    <x v="1"/>
    <n v="45061"/>
    <n v="34000000"/>
    <s v="95% Process Efficiency"/>
    <n v="610000"/>
    <s v="High"/>
    <s v="Operational Efficiency"/>
    <n v="0.91666666666666663"/>
    <n v="0.29166666666666669"/>
    <n v="8"/>
    <s v="Working Day"/>
    <x v="0"/>
  </r>
  <r>
    <s v="ATD00335"/>
    <d v="2025-05-17T00:00:00"/>
    <x v="3"/>
    <s v="Q2"/>
    <s v="Saturday"/>
    <s v="EMP024"/>
    <s v="Employee 24"/>
    <x v="6"/>
    <s v="Sales Executive"/>
    <s v="Hyderabad"/>
    <s v="General Shift"/>
    <d v="1899-12-30T09:00:00"/>
    <d v="1899-12-30T18:00:00"/>
    <n v="8"/>
    <n v="0"/>
    <x v="0"/>
    <m/>
    <m/>
    <s v="L2"/>
    <s v="V. Vivek"/>
    <x v="1"/>
    <s v="Late Login"/>
    <n v="28"/>
    <x v="1"/>
    <n v="44211"/>
    <n v="42000000"/>
    <s v="₹2.5 Cr Monthly Sales"/>
    <n v="680000"/>
    <s v="High"/>
    <s v="Revenue Achievement"/>
    <n v="0.375"/>
    <n v="0.75"/>
    <n v="8"/>
    <s v="Working Day"/>
    <x v="0"/>
  </r>
  <r>
    <s v="ATD00336"/>
    <d v="2025-04-27T00:00:00"/>
    <x v="1"/>
    <s v="Q2"/>
    <s v="Sunday"/>
    <s v="EMP027"/>
    <s v="Employee 27"/>
    <x v="5"/>
    <s v="Marketing Executive"/>
    <s v="Chennai"/>
    <s v="Afternoon Shift"/>
    <d v="1899-12-30T09:00:00"/>
    <d v="1899-12-30T18:00:00"/>
    <n v="8"/>
    <n v="0"/>
    <x v="0"/>
    <m/>
    <n v="4"/>
    <s v="L1"/>
    <s v="S. Swetha"/>
    <x v="2"/>
    <m/>
    <n v="31"/>
    <x v="1"/>
    <n v="45397"/>
    <n v="22000000"/>
    <s v="2500 Qualified Leads"/>
    <n v="590000"/>
    <s v="Medium"/>
    <s v="Lead Generation"/>
    <n v="0.58333333333333337"/>
    <n v="0.95833333333333337"/>
    <n v="8"/>
    <s v="Working Day"/>
    <x v="0"/>
  </r>
  <r>
    <s v="ATD00337"/>
    <d v="2025-01-16T00:00:00"/>
    <x v="2"/>
    <s v="Q1"/>
    <s v="Thursday"/>
    <s v="EMP026"/>
    <s v="Employee 26"/>
    <x v="1"/>
    <s v="Operations Executive"/>
    <s v="Coimbatore"/>
    <s v="General Shift"/>
    <d v="1899-12-30T09:00:00"/>
    <d v="1899-12-30T18:00:00"/>
    <n v="8"/>
    <n v="0"/>
    <x v="0"/>
    <m/>
    <m/>
    <s v="L1"/>
    <s v="D. Dinesh"/>
    <x v="1"/>
    <s v="Work From Home"/>
    <n v="30"/>
    <x v="0"/>
    <n v="45000"/>
    <n v="34000000"/>
    <s v="95% Process Efficiency"/>
    <n v="610000"/>
    <s v="High"/>
    <s v="Operational Efficiency"/>
    <n v="0.375"/>
    <n v="0.75"/>
    <n v="8"/>
    <s v="Working Day"/>
    <x v="0"/>
  </r>
  <r>
    <s v="ATD00338"/>
    <d v="2025-03-16T00:00:00"/>
    <x v="4"/>
    <s v="Q1"/>
    <s v="Sunday"/>
    <s v="EMP042"/>
    <s v="Employee 42"/>
    <x v="0"/>
    <s v="Support Executive"/>
    <s v="Chennai"/>
    <s v="Afternoon Shift"/>
    <d v="1899-12-30T09:00:00"/>
    <d v="1899-12-30T18:00:00"/>
    <n v="8"/>
    <n v="0"/>
    <x v="0"/>
    <m/>
    <n v="4"/>
    <s v="L3"/>
    <s v="V. Vinoth"/>
    <x v="2"/>
    <s v="Client Visit"/>
    <n v="28"/>
    <x v="0"/>
    <n v="43296"/>
    <n v="24000000"/>
    <s v="90% Customer Satisfaction"/>
    <n v="520000"/>
    <s v="High"/>
    <s v="Customer Satisfaction"/>
    <n v="0.58333333333333337"/>
    <n v="0.95833333333333337"/>
    <n v="8"/>
    <s v="Working Day"/>
    <x v="0"/>
  </r>
  <r>
    <s v="ATD00339"/>
    <d v="2025-01-15T00:00:00"/>
    <x v="2"/>
    <s v="Q1"/>
    <s v="Wednesday"/>
    <s v="EMP023"/>
    <s v="Employee 23"/>
    <x v="4"/>
    <s v="HR Executive"/>
    <s v="Bengaluru"/>
    <s v="Afternoon Shift"/>
    <d v="1899-12-30T09:00:00"/>
    <d v="1899-12-30T18:00:00"/>
    <n v="8"/>
    <n v="0"/>
    <x v="0"/>
    <m/>
    <n v="4"/>
    <s v="L2"/>
    <s v="P. Priya"/>
    <x v="1"/>
    <s v="Late Login"/>
    <n v="27"/>
    <x v="1"/>
    <n v="44180"/>
    <n v="18000000"/>
    <s v="&lt;30 Days Hiring Cycle"/>
    <n v="560000"/>
    <s v="Medium"/>
    <s v="Hiring &amp; Retention"/>
    <n v="0.58333333333333337"/>
    <n v="0.95833333333333337"/>
    <n v="8"/>
    <s v="Working Day"/>
    <x v="0"/>
  </r>
  <r>
    <s v="ATD00340"/>
    <d v="2025-01-31T00:00:00"/>
    <x v="2"/>
    <s v="Q1"/>
    <s v="Friday"/>
    <s v="EMP012"/>
    <s v="Employee 12"/>
    <x v="1"/>
    <s v="Operations Executive"/>
    <s v="Chennai"/>
    <s v="Morning Shift"/>
    <m/>
    <m/>
    <m/>
    <m/>
    <x v="2"/>
    <m/>
    <m/>
    <s v="L4"/>
    <s v="D. Dinesh"/>
    <x v="2"/>
    <m/>
    <n v="34"/>
    <x v="0"/>
    <n v="44941"/>
    <n v="34000000"/>
    <s v="95% Process Efficiency"/>
    <n v="610000"/>
    <s v="High"/>
    <s v="Operational Efficiency"/>
    <n v="0.25"/>
    <n v="0.625"/>
    <n v="8"/>
    <s v="Working Day"/>
    <x v="0"/>
  </r>
  <r>
    <s v="ATD00341"/>
    <d v="2025-04-04T00:00:00"/>
    <x v="1"/>
    <s v="Q2"/>
    <s v="Friday"/>
    <s v="EMP048"/>
    <s v="Employee 48"/>
    <x v="5"/>
    <s v="Marketing Executive"/>
    <s v="Bengaluru"/>
    <s v="Flexible Shift"/>
    <d v="1899-12-30T09:00:00"/>
    <d v="1899-12-30T18:00:00"/>
    <n v="8"/>
    <n v="0"/>
    <x v="0"/>
    <m/>
    <n v="4"/>
    <s v="L4"/>
    <s v="S. Swetha"/>
    <x v="2"/>
    <s v="Work From Home"/>
    <n v="34"/>
    <x v="0"/>
    <n v="45306"/>
    <n v="22000000"/>
    <s v="2500 Qualified Leads"/>
    <n v="590000"/>
    <s v="Medium"/>
    <s v="Lead Generation"/>
    <n v="0.41666666666666669"/>
    <n v="0.79166666666666663"/>
    <n v="8"/>
    <s v="Working Day"/>
    <x v="0"/>
  </r>
  <r>
    <s v="ATD00342"/>
    <d v="2025-01-26T00:00:00"/>
    <x v="2"/>
    <s v="Q1"/>
    <s v="Sunday"/>
    <s v="EMP044"/>
    <s v="Employee 44"/>
    <x v="4"/>
    <s v="HR Executive"/>
    <s v="Hyderabad"/>
    <s v="Morning Shift"/>
    <d v="1899-12-30T09:00:00"/>
    <d v="1899-12-30T18:00:00"/>
    <n v="8"/>
    <n v="0"/>
    <x v="0"/>
    <m/>
    <n v="5"/>
    <s v="L3"/>
    <s v="P. Priya"/>
    <x v="3"/>
    <s v="Late Login"/>
    <n v="30"/>
    <x v="0"/>
    <n v="44089"/>
    <n v="18000000"/>
    <s v="&lt;30 Days Hiring Cycle"/>
    <n v="560000"/>
    <s v="Medium"/>
    <s v="Hiring &amp; Retention"/>
    <n v="0.25"/>
    <n v="0.625"/>
    <n v="8"/>
    <s v="Republic Day"/>
    <x v="1"/>
  </r>
  <r>
    <s v="ATD00343"/>
    <d v="2025-02-01T00:00:00"/>
    <x v="5"/>
    <s v="Q1"/>
    <s v="Saturday"/>
    <s v="EMP039"/>
    <s v="Employee 39"/>
    <x v="3"/>
    <s v="Accountant"/>
    <s v="Hyderabad"/>
    <s v="Night Shift"/>
    <d v="1899-12-30T22:00:00"/>
    <d v="1899-12-30T07:00:00"/>
    <n v="9"/>
    <n v="1"/>
    <x v="0"/>
    <m/>
    <m/>
    <s v="L1"/>
    <s v="M. Mahesh"/>
    <x v="2"/>
    <s v="Work From Home"/>
    <n v="25"/>
    <x v="0"/>
    <n v="44666"/>
    <n v="26000000"/>
    <s v="100% Payroll Accuracy"/>
    <n v="640000"/>
    <s v="High"/>
    <s v="Financial Compliance"/>
    <n v="0.91666666666666663"/>
    <n v="0.29166666666666669"/>
    <n v="8"/>
    <s v="Working Day"/>
    <x v="0"/>
  </r>
  <r>
    <s v="ATD00344"/>
    <d v="2025-04-27T00:00:00"/>
    <x v="1"/>
    <s v="Q2"/>
    <s v="Sunday"/>
    <s v="EMP034"/>
    <s v="Employee 34"/>
    <x v="5"/>
    <s v="Marketing Executive"/>
    <s v="Hyderabad"/>
    <s v="Afternoon Shift"/>
    <m/>
    <m/>
    <m/>
    <m/>
    <x v="1"/>
    <s v="Casual Leave"/>
    <m/>
    <s v="L1"/>
    <s v="S. Swetha"/>
    <x v="3"/>
    <m/>
    <n v="38"/>
    <x v="0"/>
    <n v="45611"/>
    <n v="22000000"/>
    <s v="2500 Qualified Leads"/>
    <n v="590000"/>
    <s v="Medium"/>
    <s v="Lead Generation"/>
    <n v="0.58333333333333337"/>
    <n v="0.95833333333333337"/>
    <n v="8"/>
    <s v="Working Day"/>
    <x v="0"/>
  </r>
  <r>
    <s v="ATD00345"/>
    <d v="2025-01-04T00:00:00"/>
    <x v="2"/>
    <s v="Q1"/>
    <s v="Saturday"/>
    <s v="EMP029"/>
    <s v="Employee 29"/>
    <x v="2"/>
    <s v="Software Engineer"/>
    <s v="Hyderabad"/>
    <s v="Night Shift"/>
    <d v="1899-12-30T22:00:00"/>
    <d v="1899-12-30T07:00:00"/>
    <n v="9.5"/>
    <n v="1.5"/>
    <x v="0"/>
    <m/>
    <n v="4"/>
    <s v="L3"/>
    <s v="R. Karthikeyan"/>
    <x v="1"/>
    <s v="Client Visit"/>
    <n v="33"/>
    <x v="1"/>
    <n v="43631"/>
    <n v="85000000"/>
    <s v="99.5% System Uptime"/>
    <n v="720000"/>
    <s v="High"/>
    <s v="Project Delivery"/>
    <n v="0.91666666666666663"/>
    <n v="0.29166666666666669"/>
    <n v="8"/>
    <s v="Working Day"/>
    <x v="0"/>
  </r>
  <r>
    <s v="ATD00346"/>
    <d v="2025-02-06T00:00:00"/>
    <x v="5"/>
    <s v="Q1"/>
    <s v="Thursday"/>
    <s v="EMP009"/>
    <s v="Employee 9"/>
    <x v="4"/>
    <s v="HR Executive"/>
    <s v="Hyderabad"/>
    <s v="General Shift"/>
    <d v="1899-12-30T09:00:00"/>
    <d v="1899-12-30T18:00:00"/>
    <n v="8"/>
    <n v="0"/>
    <x v="0"/>
    <m/>
    <n v="3"/>
    <s v="L2"/>
    <s v="P. Priya"/>
    <x v="2"/>
    <s v="Work From Home"/>
    <n v="31"/>
    <x v="1"/>
    <n v="44119"/>
    <n v="18000000"/>
    <s v="&lt;30 Days Hiring Cycle"/>
    <n v="560000"/>
    <s v="Medium"/>
    <s v="Hiring &amp; Retention"/>
    <n v="0.375"/>
    <n v="0.75"/>
    <n v="8"/>
    <s v="Working Day"/>
    <x v="0"/>
  </r>
  <r>
    <s v="ATD00347"/>
    <d v="2025-02-28T00:00:00"/>
    <x v="5"/>
    <s v="Q1"/>
    <s v="Friday"/>
    <s v="EMP038"/>
    <s v="Employee 38"/>
    <x v="6"/>
    <s v="Sales Executive"/>
    <s v="Bengaluru"/>
    <s v="Night Shift"/>
    <m/>
    <d v="1899-12-30T07:00:00"/>
    <n v="9.5"/>
    <n v="1.5"/>
    <x v="0"/>
    <m/>
    <n v="3"/>
    <s v="L2"/>
    <s v="V. Vivek"/>
    <x v="3"/>
    <s v="Client Visit"/>
    <n v="24"/>
    <x v="1"/>
    <n v="44270"/>
    <n v="42000000"/>
    <s v="₹2.5 Cr Monthly Sales"/>
    <n v="680000"/>
    <s v="High"/>
    <s v="Revenue Achievement"/>
    <n v="0.91666666666666663"/>
    <n v="0.29166666666666669"/>
    <n v="8"/>
    <s v="Working Day"/>
    <x v="0"/>
  </r>
  <r>
    <s v="ATD00348"/>
    <d v="2025-03-21T00:00:00"/>
    <x v="4"/>
    <s v="Q1"/>
    <s v="Friday"/>
    <s v="EMP007"/>
    <s v="Employee 7"/>
    <x v="0"/>
    <s v="Support Executive"/>
    <s v="Chennai"/>
    <s v="Flexible Shift"/>
    <d v="1899-12-30T09:00:00"/>
    <d v="1899-12-30T18:00:00"/>
    <n v="8"/>
    <n v="0"/>
    <x v="0"/>
    <m/>
    <n v="3"/>
    <s v="L1"/>
    <s v="V. Vinoth"/>
    <x v="1"/>
    <s v="Work From Home"/>
    <n v="29"/>
    <x v="1"/>
    <n v="43327"/>
    <n v="24000000"/>
    <s v="90% Customer Satisfaction"/>
    <n v="520000"/>
    <s v="High"/>
    <s v="Customer Satisfaction"/>
    <n v="0.41666666666666669"/>
    <n v="0.79166666666666663"/>
    <n v="8"/>
    <s v="Working Day"/>
    <x v="0"/>
  </r>
  <r>
    <s v="ATD00349"/>
    <d v="2025-02-25T00:00:00"/>
    <x v="5"/>
    <s v="Q1"/>
    <s v="Tuesday"/>
    <s v="EMP011"/>
    <s v="Employee 11"/>
    <x v="3"/>
    <s v="Accountant"/>
    <s v="Coimbatore"/>
    <s v="Morning Shift"/>
    <d v="1899-12-30T09:00:00"/>
    <d v="1899-12-30T18:00:00"/>
    <n v="8"/>
    <n v="0"/>
    <x v="0"/>
    <m/>
    <n v="4"/>
    <s v="L1"/>
    <s v="M. Mahesh"/>
    <x v="0"/>
    <m/>
    <n v="33"/>
    <x v="1"/>
    <n v="44910"/>
    <n v="26000000"/>
    <s v="100% Payroll Accuracy"/>
    <n v="640000"/>
    <s v="High"/>
    <s v="Financial Compliance"/>
    <n v="0.25"/>
    <n v="0.625"/>
    <n v="8"/>
    <s v="Working Day"/>
    <x v="0"/>
  </r>
  <r>
    <s v="ATD00350"/>
    <d v="2025-06-25T00:00:00"/>
    <x v="0"/>
    <s v="Q2"/>
    <s v="Wednesday"/>
    <s v="EMP018"/>
    <s v="Employee 18"/>
    <x v="3"/>
    <s v="Accountant"/>
    <s v="Bengaluru"/>
    <s v="Night Shift"/>
    <d v="1899-12-30T22:00:00"/>
    <d v="1899-12-30T07:00:00"/>
    <n v="9"/>
    <n v="1"/>
    <x v="0"/>
    <m/>
    <n v="5"/>
    <s v="L3"/>
    <s v="M. Mahesh"/>
    <x v="2"/>
    <s v="Client Visit"/>
    <n v="22"/>
    <x v="1"/>
    <n v="44757"/>
    <n v="26000000"/>
    <s v="100% Payroll Accuracy"/>
    <n v="640000"/>
    <s v="High"/>
    <s v="Financial Compliance"/>
    <n v="0.91666666666666663"/>
    <n v="0.29166666666666669"/>
    <n v="8"/>
    <s v="Working Day"/>
    <x v="0"/>
  </r>
  <r>
    <s v="ATD00351"/>
    <d v="2025-05-07T00:00:00"/>
    <x v="3"/>
    <s v="Q2"/>
    <s v="Wednesday"/>
    <s v="EMP030"/>
    <s v="Employee 30"/>
    <x v="4"/>
    <s v="HR Executive"/>
    <s v="Madurai"/>
    <s v="Afternoon Shift"/>
    <d v="1899-12-30T09:00:00"/>
    <d v="1899-12-30T18:00:00"/>
    <n v="8"/>
    <n v="0"/>
    <x v="0"/>
    <m/>
    <n v="5"/>
    <s v="L2"/>
    <s v="P. Priya"/>
    <x v="2"/>
    <m/>
    <n v="34"/>
    <x v="0"/>
    <n v="44027"/>
    <n v="18000000"/>
    <s v="&lt;30 Days Hiring Cycle"/>
    <n v="560000"/>
    <s v="Medium"/>
    <s v="Hiring &amp; Retention"/>
    <n v="0.58333333333333337"/>
    <n v="0.95833333333333337"/>
    <n v="8"/>
    <s v="Working Day"/>
    <x v="0"/>
  </r>
  <r>
    <s v="ATD00352"/>
    <d v="2025-02-27T00:00:00"/>
    <x v="5"/>
    <s v="Q1"/>
    <s v="Thursday"/>
    <s v="EMP024"/>
    <s v="Employee 24"/>
    <x v="6"/>
    <s v="Sales Executive"/>
    <s v="Hyderabad"/>
    <s v="Night Shift"/>
    <d v="1899-12-30T09:00:00"/>
    <d v="1899-12-30T07:00:00"/>
    <n v="9.5"/>
    <n v="1.5"/>
    <x v="0"/>
    <m/>
    <n v="3"/>
    <s v="L1"/>
    <s v="V. Vivek"/>
    <x v="2"/>
    <m/>
    <n v="28"/>
    <x v="1"/>
    <n v="44211"/>
    <n v="42000000"/>
    <s v="₹2.5 Cr Monthly Sales"/>
    <n v="680000"/>
    <s v="High"/>
    <s v="Revenue Achievement"/>
    <n v="0.91666666666666663"/>
    <n v="0.29166666666666669"/>
    <n v="8"/>
    <s v="Working Day"/>
    <x v="0"/>
  </r>
  <r>
    <s v="ATD00353"/>
    <d v="2025-02-18T00:00:00"/>
    <x v="5"/>
    <s v="Q1"/>
    <s v="Tuesday"/>
    <s v="EMP003"/>
    <s v="Employee 3"/>
    <x v="6"/>
    <s v="Sales Executive"/>
    <s v="Bengaluru"/>
    <s v="Morning Shift"/>
    <d v="1899-12-30T09:35:00"/>
    <d v="1899-12-30T18:00:00"/>
    <n v="8"/>
    <n v="0"/>
    <x v="0"/>
    <m/>
    <n v="4"/>
    <s v="L1"/>
    <s v="V. Vivek"/>
    <x v="2"/>
    <s v="Late Login"/>
    <n v="25"/>
    <x v="1"/>
    <n v="44301"/>
    <n v="42000000"/>
    <s v="₹2.5 Cr Monthly Sales"/>
    <n v="680000"/>
    <s v="High"/>
    <s v="Revenue Achievement"/>
    <n v="0.25"/>
    <n v="0.625"/>
    <n v="8"/>
    <s v="Working Day"/>
    <x v="0"/>
  </r>
  <r>
    <s v="ATD00354"/>
    <d v="2025-01-03T00:00:00"/>
    <x v="2"/>
    <s v="Q1"/>
    <s v="Friday"/>
    <s v="EMP032"/>
    <s v="Employee 32"/>
    <x v="3"/>
    <s v="Accountant"/>
    <s v="Chennai"/>
    <s v="General Shift"/>
    <d v="1899-12-30T09:00:00"/>
    <d v="1899-12-30T18:00:00"/>
    <n v="8"/>
    <n v="0"/>
    <x v="0"/>
    <m/>
    <n v="4"/>
    <s v="L3"/>
    <s v="M. Mahesh"/>
    <x v="1"/>
    <s v="Late Login"/>
    <n v="36"/>
    <x v="0"/>
    <n v="44819"/>
    <n v="26000000"/>
    <s v="100% Payroll Accuracy"/>
    <n v="640000"/>
    <s v="High"/>
    <s v="Financial Compliance"/>
    <n v="0.375"/>
    <n v="0.75"/>
    <n v="8"/>
    <s v="Working Day"/>
    <x v="0"/>
  </r>
  <r>
    <s v="ATD00355"/>
    <d v="2025-01-02T00:00:00"/>
    <x v="2"/>
    <s v="Q1"/>
    <s v="Thursday"/>
    <s v="EMP024"/>
    <s v="Employee 24"/>
    <x v="6"/>
    <s v="Sales Executive"/>
    <s v="Hyderabad"/>
    <s v="Flexible Shift"/>
    <m/>
    <m/>
    <m/>
    <m/>
    <x v="1"/>
    <s v="Sick Leave"/>
    <m/>
    <s v="L3"/>
    <s v="V. Vivek"/>
    <x v="2"/>
    <s v="Late Login"/>
    <n v="28"/>
    <x v="1"/>
    <n v="44211"/>
    <n v="42000000"/>
    <s v="₹2.5 Cr Monthly Sales"/>
    <n v="680000"/>
    <s v="High"/>
    <s v="Revenue Achievement"/>
    <n v="0.41666666666666669"/>
    <n v="0.79166666666666663"/>
    <n v="8"/>
    <s v="Working Day"/>
    <x v="0"/>
  </r>
  <r>
    <s v="ATD00356"/>
    <d v="2025-02-21T00:00:00"/>
    <x v="5"/>
    <s v="Q1"/>
    <s v="Friday"/>
    <s v="EMP028"/>
    <s v="Employee 28"/>
    <x v="0"/>
    <s v="Support Executive"/>
    <s v="Bengaluru"/>
    <s v="Flexible Shift"/>
    <d v="1899-12-30T09:00:00"/>
    <d v="1899-12-30T18:00:00"/>
    <n v="8"/>
    <n v="0"/>
    <x v="0"/>
    <m/>
    <n v="5"/>
    <s v="L1"/>
    <s v="V. Vinoth"/>
    <x v="2"/>
    <s v="Work From Home"/>
    <n v="32"/>
    <x v="0"/>
    <n v="43235"/>
    <n v="24000000"/>
    <s v="90% Customer Satisfaction"/>
    <n v="520000"/>
    <s v="High"/>
    <s v="Customer Satisfaction"/>
    <n v="0.41666666666666669"/>
    <n v="0.79166666666666663"/>
    <n v="8"/>
    <s v="Working Day"/>
    <x v="0"/>
  </r>
  <r>
    <s v="ATD00357"/>
    <d v="2025-05-21T00:00:00"/>
    <x v="3"/>
    <s v="Q2"/>
    <s v="Wednesday"/>
    <s v="EMP025"/>
    <s v="Employee 25"/>
    <x v="3"/>
    <s v="Accountant"/>
    <s v="Madurai"/>
    <s v="Flexible Shift"/>
    <d v="1899-12-30T09:00:00"/>
    <m/>
    <n v="8"/>
    <n v="0"/>
    <x v="0"/>
    <m/>
    <n v="5"/>
    <s v="L4"/>
    <s v="M. Mahesh"/>
    <x v="2"/>
    <m/>
    <n v="29"/>
    <x v="0"/>
    <n v="44607"/>
    <n v="26000000"/>
    <s v="100% Payroll Accuracy"/>
    <n v="640000"/>
    <s v="High"/>
    <s v="Financial Compliance"/>
    <n v="0.41666666666666669"/>
    <n v="0.79166666666666663"/>
    <n v="8"/>
    <s v="Working Day"/>
    <x v="0"/>
  </r>
  <r>
    <s v="ATD00358"/>
    <d v="2025-02-14T00:00:00"/>
    <x v="5"/>
    <s v="Q1"/>
    <s v="Friday"/>
    <s v="EMP023"/>
    <s v="Employee 23"/>
    <x v="4"/>
    <s v="HR Executive"/>
    <s v="Bengaluru"/>
    <s v="Flexible Shift"/>
    <d v="1899-12-30T09:00:00"/>
    <d v="1899-12-30T18:00:00"/>
    <n v="8"/>
    <n v="0"/>
    <x v="0"/>
    <m/>
    <n v="5"/>
    <s v="L4"/>
    <s v="P. Priya"/>
    <x v="1"/>
    <s v="Late Login"/>
    <n v="27"/>
    <x v="1"/>
    <n v="44180"/>
    <n v="18000000"/>
    <s v="&lt;30 Days Hiring Cycle"/>
    <n v="560000"/>
    <s v="Medium"/>
    <s v="Hiring &amp; Retention"/>
    <n v="0.41666666666666669"/>
    <n v="0.79166666666666663"/>
    <n v="8"/>
    <s v="Working Day"/>
    <x v="0"/>
  </r>
  <r>
    <s v="ATD00359"/>
    <d v="2025-02-13T00:00:00"/>
    <x v="5"/>
    <s v="Q1"/>
    <s v="Thursday"/>
    <s v="EMP009"/>
    <s v="Employee 9"/>
    <x v="4"/>
    <s v="HR Executive"/>
    <s v="Hyderabad"/>
    <s v="Morning Shift"/>
    <d v="1899-12-30T09:00:00"/>
    <d v="1899-12-30T18:00:00"/>
    <n v="8"/>
    <n v="0"/>
    <x v="0"/>
    <m/>
    <n v="4"/>
    <s v="L2"/>
    <s v="P. Priya"/>
    <x v="1"/>
    <s v="Work From Home"/>
    <n v="31"/>
    <x v="1"/>
    <n v="44119"/>
    <n v="18000000"/>
    <s v="&lt;30 Days Hiring Cycle"/>
    <n v="560000"/>
    <s v="Medium"/>
    <s v="Hiring &amp; Retention"/>
    <n v="0.25"/>
    <n v="0.625"/>
    <n v="8"/>
    <s v="Working Day"/>
    <x v="0"/>
  </r>
  <r>
    <s v="ATD00360"/>
    <d v="2025-02-12T00:00:00"/>
    <x v="5"/>
    <s v="Q1"/>
    <s v="Wednesday"/>
    <s v="EMP008"/>
    <s v="Employee 8"/>
    <x v="2"/>
    <s v="Software Engineer"/>
    <s v="Bengaluru"/>
    <s v="Afternoon Shift"/>
    <d v="1899-12-30T09:00:00"/>
    <d v="1899-12-30T18:00:00"/>
    <n v="9.5"/>
    <n v="1.5"/>
    <x v="0"/>
    <m/>
    <n v="4"/>
    <s v="L1"/>
    <s v="R. Karthikeyan"/>
    <x v="2"/>
    <s v="Client Visit"/>
    <n v="30"/>
    <x v="0"/>
    <n v="43723"/>
    <n v="85000000"/>
    <s v="99.5% System Uptime"/>
    <n v="720000"/>
    <s v="High"/>
    <s v="Project Delivery"/>
    <n v="0.58333333333333337"/>
    <n v="0.95833333333333337"/>
    <n v="8"/>
    <s v="Working Day"/>
    <x v="0"/>
  </r>
  <r>
    <s v="ATD00361"/>
    <d v="2025-03-28T00:00:00"/>
    <x v="4"/>
    <s v="Q1"/>
    <s v="Friday"/>
    <s v="EMP013"/>
    <s v="Employee 13"/>
    <x v="5"/>
    <s v="Marketing Executive"/>
    <s v="Bengaluru"/>
    <s v="Morning Shift"/>
    <d v="1899-12-30T09:00:00"/>
    <d v="1899-12-30T18:00:00"/>
    <n v="8"/>
    <n v="0"/>
    <x v="0"/>
    <m/>
    <n v="5"/>
    <s v="L1"/>
    <s v="S. Swetha"/>
    <x v="1"/>
    <s v="Client Visit"/>
    <n v="35"/>
    <x v="1"/>
    <n v="45337"/>
    <n v="22000000"/>
    <s v="2500 Qualified Leads"/>
    <n v="590000"/>
    <s v="Medium"/>
    <s v="Lead Generation"/>
    <n v="0.25"/>
    <n v="0.625"/>
    <n v="8"/>
    <s v="Working Day"/>
    <x v="0"/>
  </r>
  <r>
    <s v="ATD00362"/>
    <d v="2025-04-13T00:00:00"/>
    <x v="1"/>
    <s v="Q2"/>
    <s v="Sunday"/>
    <s v="EMP011"/>
    <s v="Employee 11"/>
    <x v="3"/>
    <s v="Accountant"/>
    <s v="Coimbatore"/>
    <s v="Flexible Shift"/>
    <d v="1899-12-30T09:00:00"/>
    <d v="1899-12-30T18:00:00"/>
    <n v="8"/>
    <n v="0"/>
    <x v="0"/>
    <m/>
    <m/>
    <s v="L4"/>
    <s v="M. Mahesh"/>
    <x v="0"/>
    <s v="Client Visit"/>
    <n v="33"/>
    <x v="1"/>
    <n v="44910"/>
    <n v="26000000"/>
    <s v="100% Payroll Accuracy"/>
    <n v="640000"/>
    <s v="High"/>
    <s v="Financial Compliance"/>
    <n v="0.41666666666666669"/>
    <n v="0.79166666666666663"/>
    <n v="8"/>
    <s v="Working Day"/>
    <x v="0"/>
  </r>
  <r>
    <s v="ATD00363"/>
    <d v="2025-01-28T00:00:00"/>
    <x v="2"/>
    <s v="Q1"/>
    <s v="Tuesday"/>
    <s v="EMP012"/>
    <s v="Employee 12"/>
    <x v="1"/>
    <s v="Operations Executive"/>
    <s v="Chennai"/>
    <s v="Flexible Shift"/>
    <d v="1899-12-30T09:00:00"/>
    <d v="1899-12-30T18:00:00"/>
    <n v="8"/>
    <n v="0"/>
    <x v="0"/>
    <m/>
    <n v="3"/>
    <s v="L2"/>
    <s v="D. Dinesh"/>
    <x v="2"/>
    <s v="Late Login"/>
    <n v="34"/>
    <x v="0"/>
    <n v="44941"/>
    <n v="34000000"/>
    <s v="95% Process Efficiency"/>
    <n v="610000"/>
    <s v="High"/>
    <s v="Operational Efficiency"/>
    <n v="0.41666666666666669"/>
    <n v="0.79166666666666663"/>
    <n v="8"/>
    <s v="Working Day"/>
    <x v="0"/>
  </r>
  <r>
    <s v="ATD00364"/>
    <d v="2025-03-06T00:00:00"/>
    <x v="4"/>
    <s v="Q1"/>
    <s v="Thursday"/>
    <s v="EMP033"/>
    <s v="Employee 33"/>
    <x v="1"/>
    <s v="Operations Executive"/>
    <s v="Bengaluru"/>
    <s v="General Shift"/>
    <d v="1899-12-30T09:00:00"/>
    <d v="1899-12-30T18:00:00"/>
    <n v="8"/>
    <n v="0"/>
    <x v="0"/>
    <m/>
    <m/>
    <s v="L1"/>
    <s v="D. Dinesh"/>
    <x v="0"/>
    <m/>
    <n v="37"/>
    <x v="1"/>
    <n v="45214"/>
    <n v="34000000"/>
    <s v="95% Process Efficiency"/>
    <n v="610000"/>
    <s v="High"/>
    <s v="Operational Efficiency"/>
    <n v="0.375"/>
    <n v="0.75"/>
    <n v="8"/>
    <s v="Working Day"/>
    <x v="0"/>
  </r>
  <r>
    <s v="ATD00365"/>
    <d v="2025-03-20T00:00:00"/>
    <x v="4"/>
    <s v="Q1"/>
    <s v="Thursday"/>
    <s v="EMP038"/>
    <s v="Employee 38"/>
    <x v="6"/>
    <s v="Sales Executive"/>
    <s v="Bengaluru"/>
    <s v="Flexible Shift"/>
    <d v="1899-12-30T09:10:00"/>
    <d v="1899-12-30T18:00:00"/>
    <n v="8"/>
    <n v="0"/>
    <x v="0"/>
    <m/>
    <n v="3"/>
    <s v="L3"/>
    <s v="V. Vivek"/>
    <x v="3"/>
    <s v="Late Login"/>
    <n v="24"/>
    <x v="1"/>
    <n v="44270"/>
    <n v="42000000"/>
    <s v="₹2.5 Cr Monthly Sales"/>
    <n v="680000"/>
    <s v="High"/>
    <s v="Revenue Achievement"/>
    <n v="0.41666666666666669"/>
    <n v="0.79166666666666663"/>
    <n v="8"/>
    <s v="Working Day"/>
    <x v="0"/>
  </r>
  <r>
    <s v="ATD00366"/>
    <d v="2025-01-31T00:00:00"/>
    <x v="2"/>
    <s v="Q1"/>
    <s v="Friday"/>
    <s v="EMP046"/>
    <s v="Employee 46"/>
    <x v="3"/>
    <s v="Accountant"/>
    <s v="Coimbatore"/>
    <s v="Afternoon Shift"/>
    <d v="1899-12-30T09:00:00"/>
    <d v="1899-12-30T18:00:00"/>
    <n v="8"/>
    <n v="0"/>
    <x v="0"/>
    <m/>
    <n v="5"/>
    <s v="L2"/>
    <s v="M. Mahesh"/>
    <x v="3"/>
    <m/>
    <n v="32"/>
    <x v="0"/>
    <n v="44880"/>
    <n v="26000000"/>
    <s v="100% Payroll Accuracy"/>
    <n v="640000"/>
    <s v="High"/>
    <s v="Financial Compliance"/>
    <n v="0.58333333333333337"/>
    <n v="0.95833333333333337"/>
    <n v="8"/>
    <s v="Working Day"/>
    <x v="0"/>
  </r>
  <r>
    <s v="ATD00367"/>
    <d v="2025-05-24T00:00:00"/>
    <x v="3"/>
    <s v="Q2"/>
    <s v="Saturday"/>
    <s v="EMP009"/>
    <s v="Employee 9"/>
    <x v="4"/>
    <s v="HR Executive"/>
    <s v="Hyderabad"/>
    <s v="Flexible Shift"/>
    <d v="1899-12-30T09:00:00"/>
    <d v="1899-12-30T18:00:00"/>
    <n v="8"/>
    <n v="0"/>
    <x v="0"/>
    <m/>
    <n v="5"/>
    <s v="L4"/>
    <s v="P. Priya"/>
    <x v="1"/>
    <s v="Late Login"/>
    <n v="31"/>
    <x v="1"/>
    <n v="44119"/>
    <n v="18000000"/>
    <s v="&lt;30 Days Hiring Cycle"/>
    <n v="560000"/>
    <s v="Medium"/>
    <s v="Hiring &amp; Retention"/>
    <n v="0.41666666666666669"/>
    <n v="0.79166666666666663"/>
    <n v="8"/>
    <s v="Working Day"/>
    <x v="0"/>
  </r>
  <r>
    <s v="ATD00368"/>
    <d v="2025-03-14T00:00:00"/>
    <x v="4"/>
    <s v="Q1"/>
    <s v="Friday"/>
    <s v="EMP007"/>
    <s v="Employee 7"/>
    <x v="0"/>
    <s v="Support Executive"/>
    <s v="Chennai"/>
    <s v="Afternoon Shift"/>
    <d v="1899-12-30T09:00:00"/>
    <d v="1899-12-30T18:00:00"/>
    <n v="8"/>
    <n v="0"/>
    <x v="0"/>
    <m/>
    <n v="4"/>
    <s v="L3"/>
    <s v="V. Vinoth"/>
    <x v="0"/>
    <s v="Client Visit"/>
    <n v="29"/>
    <x v="1"/>
    <n v="43327"/>
    <n v="24000000"/>
    <s v="90% Customer Satisfaction"/>
    <n v="520000"/>
    <s v="High"/>
    <s v="Customer Satisfaction"/>
    <n v="0.58333333333333337"/>
    <n v="0.95833333333333337"/>
    <n v="8"/>
    <s v="Working Day"/>
    <x v="0"/>
  </r>
  <r>
    <s v="ATD00369"/>
    <d v="2025-01-13T00:00:00"/>
    <x v="2"/>
    <s v="Q1"/>
    <s v="Monday"/>
    <s v="EMP047"/>
    <s v="Employee 47"/>
    <x v="1"/>
    <s v="Operations Executive"/>
    <s v="Chennai"/>
    <s v="Morning Shift"/>
    <d v="1899-12-30T09:00:00"/>
    <d v="1899-12-30T18:00:00"/>
    <n v="8"/>
    <n v="0"/>
    <x v="0"/>
    <m/>
    <n v="5"/>
    <s v="L1"/>
    <s v="D. Dinesh"/>
    <x v="3"/>
    <s v="Work From Home"/>
    <n v="33"/>
    <x v="1"/>
    <n v="45275"/>
    <n v="34000000"/>
    <s v="95% Process Efficiency"/>
    <n v="610000"/>
    <s v="High"/>
    <s v="Operational Efficiency"/>
    <n v="0.25"/>
    <n v="0.625"/>
    <n v="8"/>
    <s v="Working Day"/>
    <x v="0"/>
  </r>
  <r>
    <s v="ATD00370"/>
    <d v="2025-05-23T00:00:00"/>
    <x v="3"/>
    <s v="Q2"/>
    <s v="Friday"/>
    <s v="EMP049"/>
    <s v="Employee 49"/>
    <x v="0"/>
    <s v="Support Executive"/>
    <s v="Hyderabad"/>
    <s v="Flexible Shift"/>
    <d v="1899-12-30T09:00:00"/>
    <d v="1899-12-30T18:00:00"/>
    <n v="8"/>
    <n v="0"/>
    <x v="0"/>
    <m/>
    <n v="5"/>
    <s v="L1"/>
    <s v="V. Vinoth"/>
    <x v="3"/>
    <s v="Work From Home"/>
    <n v="35"/>
    <x v="1"/>
    <n v="43146"/>
    <n v="24000000"/>
    <s v="90% Customer Satisfaction"/>
    <n v="520000"/>
    <s v="High"/>
    <s v="Customer Satisfaction"/>
    <n v="0.41666666666666669"/>
    <n v="0.79166666666666663"/>
    <n v="8"/>
    <s v="Working Day"/>
    <x v="0"/>
  </r>
  <r>
    <s v="ATD00371"/>
    <d v="2025-03-25T00:00:00"/>
    <x v="4"/>
    <s v="Q1"/>
    <s v="Tuesday"/>
    <s v="EMP033"/>
    <s v="Employee 33"/>
    <x v="1"/>
    <s v="Operations Executive"/>
    <s v="Bengaluru"/>
    <s v="Morning Shift"/>
    <d v="1899-12-30T09:00:00"/>
    <d v="1899-12-30T18:00:00"/>
    <n v="8"/>
    <n v="0"/>
    <x v="0"/>
    <m/>
    <n v="3"/>
    <s v="L4"/>
    <s v="D. Dinesh"/>
    <x v="0"/>
    <s v="Late Login"/>
    <n v="37"/>
    <x v="1"/>
    <n v="45214"/>
    <n v="34000000"/>
    <s v="95% Process Efficiency"/>
    <n v="610000"/>
    <s v="High"/>
    <s v="Operational Efficiency"/>
    <n v="0.25"/>
    <n v="0.625"/>
    <n v="8"/>
    <s v="Working Day"/>
    <x v="0"/>
  </r>
  <r>
    <s v="ATD00372"/>
    <d v="2025-06-15T00:00:00"/>
    <x v="0"/>
    <s v="Q2"/>
    <s v="Sunday"/>
    <s v="EMP008"/>
    <s v="Employee 8"/>
    <x v="2"/>
    <s v="Software Engineer"/>
    <s v="Bengaluru"/>
    <s v="Flexible Shift"/>
    <d v="1899-12-30T09:00:00"/>
    <d v="1899-12-30T18:00:00"/>
    <n v="9"/>
    <n v="1"/>
    <x v="0"/>
    <m/>
    <n v="4"/>
    <s v="L3"/>
    <s v="R. Karthikeyan"/>
    <x v="2"/>
    <s v="Late Login"/>
    <n v="30"/>
    <x v="0"/>
    <n v="43723"/>
    <n v="85000000"/>
    <s v="99.5% System Uptime"/>
    <n v="720000"/>
    <s v="High"/>
    <s v="Project Delivery"/>
    <n v="0.41666666666666669"/>
    <n v="0.79166666666666663"/>
    <n v="8"/>
    <s v="Working Day"/>
    <x v="0"/>
  </r>
  <r>
    <s v="ATD00373"/>
    <d v="2025-01-21T00:00:00"/>
    <x v="2"/>
    <s v="Q1"/>
    <s v="Tuesday"/>
    <s v="EMP003"/>
    <s v="Employee 3"/>
    <x v="6"/>
    <s v="Sales Executive"/>
    <s v="Bengaluru"/>
    <s v="Afternoon Shift"/>
    <d v="1899-12-30T09:00:00"/>
    <d v="1899-12-30T18:00:00"/>
    <n v="8"/>
    <n v="0"/>
    <x v="0"/>
    <m/>
    <n v="5"/>
    <s v="L4"/>
    <s v="V. Vivek"/>
    <x v="0"/>
    <s v="Late Login"/>
    <n v="25"/>
    <x v="1"/>
    <n v="44301"/>
    <n v="42000000"/>
    <s v="₹2.5 Cr Monthly Sales"/>
    <n v="680000"/>
    <s v="High"/>
    <s v="Revenue Achievement"/>
    <n v="0.58333333333333337"/>
    <n v="0.95833333333333337"/>
    <n v="8"/>
    <s v="Working Day"/>
    <x v="0"/>
  </r>
  <r>
    <s v="ATD00374"/>
    <d v="2025-02-02T00:00:00"/>
    <x v="5"/>
    <s v="Q1"/>
    <s v="Sunday"/>
    <s v="EMP046"/>
    <s v="Employee 46"/>
    <x v="3"/>
    <s v="Accountant"/>
    <s v="Coimbatore"/>
    <s v="Flexible Shift"/>
    <d v="1899-12-30T09:00:00"/>
    <d v="1899-12-30T18:00:00"/>
    <n v="8"/>
    <n v="0"/>
    <x v="0"/>
    <m/>
    <n v="4"/>
    <s v="L3"/>
    <s v="M. Mahesh"/>
    <x v="1"/>
    <s v="Work From Home"/>
    <n v="32"/>
    <x v="0"/>
    <n v="44880"/>
    <n v="26000000"/>
    <s v="100% Payroll Accuracy"/>
    <n v="640000"/>
    <s v="High"/>
    <s v="Financial Compliance"/>
    <n v="0.41666666666666669"/>
    <n v="0.79166666666666663"/>
    <n v="8"/>
    <s v="Working Day"/>
    <x v="0"/>
  </r>
  <r>
    <s v="ATD00375"/>
    <d v="2025-01-13T00:00:00"/>
    <x v="2"/>
    <s v="Q1"/>
    <s v="Monday"/>
    <s v="EMP030"/>
    <s v="Employee 30"/>
    <x v="4"/>
    <s v="HR Executive"/>
    <s v="Madurai"/>
    <s v="Flexible Shift"/>
    <d v="1899-12-30T09:00:00"/>
    <d v="1899-12-30T18:00:00"/>
    <n v="8"/>
    <n v="0"/>
    <x v="0"/>
    <m/>
    <n v="4"/>
    <s v="L3"/>
    <s v="P. Priya"/>
    <x v="1"/>
    <m/>
    <n v="34"/>
    <x v="0"/>
    <n v="44027"/>
    <n v="18000000"/>
    <s v="&lt;30 Days Hiring Cycle"/>
    <n v="560000"/>
    <s v="Medium"/>
    <s v="Hiring &amp; Retention"/>
    <n v="0.41666666666666669"/>
    <n v="0.79166666666666663"/>
    <n v="8"/>
    <s v="Working Day"/>
    <x v="0"/>
  </r>
  <r>
    <s v="ATD00376"/>
    <d v="2025-03-23T00:00:00"/>
    <x v="4"/>
    <s v="Q1"/>
    <s v="Sunday"/>
    <s v="EMP015"/>
    <s v="Employee 15"/>
    <x v="2"/>
    <s v="Software Engineer"/>
    <s v="Madurai"/>
    <s v="Night Shift"/>
    <d v="1899-12-30T22:00:00"/>
    <d v="1899-12-30T07:00:00"/>
    <n v="10"/>
    <n v="2"/>
    <x v="0"/>
    <m/>
    <n v="3"/>
    <s v="L2"/>
    <s v="R. Karthikeyan"/>
    <x v="0"/>
    <s v="Client Visit"/>
    <n v="37"/>
    <x v="1"/>
    <n v="43570"/>
    <n v="85000000"/>
    <s v="99.5% System Uptime"/>
    <n v="720000"/>
    <s v="High"/>
    <s v="Project Delivery"/>
    <n v="0.91666666666666663"/>
    <n v="0.29166666666666669"/>
    <n v="8"/>
    <s v="Working Day"/>
    <x v="0"/>
  </r>
  <r>
    <s v="ATD00377"/>
    <d v="2025-06-19T00:00:00"/>
    <x v="0"/>
    <s v="Q2"/>
    <s v="Thursday"/>
    <s v="EMP011"/>
    <s v="Employee 11"/>
    <x v="3"/>
    <s v="Accountant"/>
    <s v="Coimbatore"/>
    <s v="Night Shift"/>
    <d v="1899-12-30T22:00:00"/>
    <d v="1899-12-30T07:00:00"/>
    <n v="9"/>
    <n v="1"/>
    <x v="0"/>
    <m/>
    <n v="5"/>
    <s v="L1"/>
    <s v="M. Mahesh"/>
    <x v="0"/>
    <s v="Client Visit"/>
    <n v="33"/>
    <x v="1"/>
    <n v="44910"/>
    <n v="26000000"/>
    <s v="100% Payroll Accuracy"/>
    <n v="640000"/>
    <s v="High"/>
    <s v="Financial Compliance"/>
    <n v="0.91666666666666663"/>
    <n v="0.29166666666666669"/>
    <n v="8"/>
    <s v="Working Day"/>
    <x v="0"/>
  </r>
  <r>
    <s v="ATD00378"/>
    <d v="2025-01-15T00:00:00"/>
    <x v="2"/>
    <s v="Q1"/>
    <s v="Wednesday"/>
    <s v="EMP029"/>
    <s v="Employee 29"/>
    <x v="2"/>
    <s v="Software Engineer"/>
    <s v="Hyderabad"/>
    <s v="Morning Shift"/>
    <m/>
    <m/>
    <m/>
    <m/>
    <x v="2"/>
    <m/>
    <m/>
    <s v="L1"/>
    <s v="R. Karthikeyan"/>
    <x v="1"/>
    <s v="Late Login"/>
    <n v="33"/>
    <x v="1"/>
    <n v="43631"/>
    <n v="85000000"/>
    <s v="99.5% System Uptime"/>
    <n v="720000"/>
    <s v="High"/>
    <s v="Project Delivery"/>
    <n v="0.25"/>
    <n v="0.625"/>
    <n v="8"/>
    <s v="Working Day"/>
    <x v="0"/>
  </r>
  <r>
    <s v="ATD00379"/>
    <d v="2025-03-03T00:00:00"/>
    <x v="4"/>
    <s v="Q1"/>
    <s v="Monday"/>
    <s v="EMP016"/>
    <s v="Employee 16"/>
    <x v="4"/>
    <s v="HR Executive"/>
    <s v="Coimbatore"/>
    <s v="Night Shift"/>
    <d v="1899-12-30T22:00:00"/>
    <d v="1899-12-30T07:00:00"/>
    <n v="8.5"/>
    <n v="0.5"/>
    <x v="0"/>
    <m/>
    <n v="5"/>
    <s v="L2"/>
    <s v="P. Priya"/>
    <x v="2"/>
    <s v="Client Visit"/>
    <n v="38"/>
    <x v="0"/>
    <n v="43966"/>
    <n v="18000000"/>
    <s v="&lt;30 Days Hiring Cycle"/>
    <n v="560000"/>
    <s v="Medium"/>
    <s v="Hiring &amp; Retention"/>
    <n v="0.91666666666666663"/>
    <n v="0.29166666666666669"/>
    <n v="8"/>
    <s v="Working Day"/>
    <x v="0"/>
  </r>
  <r>
    <s v="ATD00380"/>
    <d v="2025-05-30T00:00:00"/>
    <x v="3"/>
    <s v="Q2"/>
    <s v="Friday"/>
    <s v="EMP014"/>
    <s v="Employee 14"/>
    <x v="0"/>
    <s v="Support Executive"/>
    <s v="Hyderabad"/>
    <s v="General Shift"/>
    <d v="1899-12-30T09:00:00"/>
    <d v="1899-12-30T18:00:00"/>
    <n v="8"/>
    <n v="0"/>
    <x v="0"/>
    <m/>
    <m/>
    <s v="L2"/>
    <s v="V. Vinoth"/>
    <x v="2"/>
    <s v="Client Visit"/>
    <n v="36"/>
    <x v="0"/>
    <n v="43174"/>
    <n v="24000000"/>
    <s v="90% Customer Satisfaction"/>
    <n v="520000"/>
    <s v="High"/>
    <s v="Customer Satisfaction"/>
    <n v="0.375"/>
    <n v="0.75"/>
    <n v="8"/>
    <s v="Working Day"/>
    <x v="0"/>
  </r>
  <r>
    <s v="ATD00381"/>
    <d v="2025-05-06T00:00:00"/>
    <x v="3"/>
    <s v="Q2"/>
    <s v="Tuesday"/>
    <s v="EMP042"/>
    <s v="Employee 42"/>
    <x v="0"/>
    <s v="Support Executive"/>
    <s v="Chennai"/>
    <s v="Morning Shift"/>
    <d v="1899-12-30T09:00:00"/>
    <d v="1899-12-30T18:00:00"/>
    <n v="8"/>
    <n v="0"/>
    <x v="0"/>
    <m/>
    <m/>
    <s v="L4"/>
    <s v="V. Vinoth"/>
    <x v="3"/>
    <s v="Work From Home"/>
    <n v="28"/>
    <x v="0"/>
    <n v="43296"/>
    <n v="24000000"/>
    <s v="90% Customer Satisfaction"/>
    <n v="520000"/>
    <s v="High"/>
    <s v="Customer Satisfaction"/>
    <n v="0.25"/>
    <n v="0.625"/>
    <n v="8"/>
    <s v="Working Day"/>
    <x v="0"/>
  </r>
  <r>
    <s v="ATD00382"/>
    <d v="2025-01-23T00:00:00"/>
    <x v="2"/>
    <s v="Q1"/>
    <s v="Thursday"/>
    <s v="EMP009"/>
    <s v="Employee 9"/>
    <x v="4"/>
    <s v="HR Executive"/>
    <s v="Hyderabad"/>
    <s v="General Shift"/>
    <d v="1899-12-30T09:00:00"/>
    <d v="1899-12-30T18:00:00"/>
    <n v="8"/>
    <n v="0"/>
    <x v="0"/>
    <m/>
    <n v="3"/>
    <s v="L4"/>
    <s v="P. Priya"/>
    <x v="2"/>
    <m/>
    <n v="31"/>
    <x v="1"/>
    <n v="44119"/>
    <n v="18000000"/>
    <s v="&lt;30 Days Hiring Cycle"/>
    <n v="560000"/>
    <s v="Medium"/>
    <s v="Hiring &amp; Retention"/>
    <n v="0.375"/>
    <n v="0.75"/>
    <n v="8"/>
    <s v="Working Day"/>
    <x v="0"/>
  </r>
  <r>
    <s v="ATD00383"/>
    <d v="2025-03-26T00:00:00"/>
    <x v="4"/>
    <s v="Q1"/>
    <s v="Wednesday"/>
    <s v="EMP013"/>
    <s v="Employee 13"/>
    <x v="5"/>
    <s v="Marketing Executive"/>
    <s v="Bengaluru"/>
    <s v="Afternoon Shift"/>
    <d v="1899-12-30T09:00:00"/>
    <d v="1899-12-30T18:00:00"/>
    <n v="8"/>
    <n v="0"/>
    <x v="0"/>
    <m/>
    <n v="4"/>
    <s v="L2"/>
    <s v="S. Swetha"/>
    <x v="3"/>
    <s v="Work From Home"/>
    <n v="35"/>
    <x v="1"/>
    <n v="45337"/>
    <n v="22000000"/>
    <s v="2500 Qualified Leads"/>
    <n v="590000"/>
    <s v="Medium"/>
    <s v="Lead Generation"/>
    <n v="0.58333333333333337"/>
    <n v="0.95833333333333337"/>
    <n v="8"/>
    <s v="Working Day"/>
    <x v="0"/>
  </r>
  <r>
    <s v="ATD00384"/>
    <d v="2025-02-01T00:00:00"/>
    <x v="5"/>
    <s v="Q1"/>
    <s v="Saturday"/>
    <s v="EMP005"/>
    <s v="Employee 5"/>
    <x v="1"/>
    <s v="Operations Executive"/>
    <s v="Madurai"/>
    <s v="Night Shift"/>
    <d v="1899-12-30T22:00:00"/>
    <d v="1899-12-30T07:00:00"/>
    <n v="10"/>
    <n v="2"/>
    <x v="0"/>
    <m/>
    <n v="4"/>
    <s v="L1"/>
    <s v="D. Dinesh"/>
    <x v="1"/>
    <s v="Client Visit"/>
    <n v="27"/>
    <x v="1"/>
    <n v="45092"/>
    <n v="34000000"/>
    <s v="95% Process Efficiency"/>
    <n v="610000"/>
    <s v="High"/>
    <s v="Operational Efficiency"/>
    <n v="0.91666666666666663"/>
    <n v="0.29166666666666669"/>
    <n v="8"/>
    <s v="Working Day"/>
    <x v="0"/>
  </r>
  <r>
    <s v="ATD00385"/>
    <d v="2025-06-20T00:00:00"/>
    <x v="0"/>
    <s v="Q2"/>
    <s v="Friday"/>
    <s v="EMP038"/>
    <s v="Employee 38"/>
    <x v="6"/>
    <s v="Sales Executive"/>
    <s v="Bengaluru"/>
    <s v="General Shift"/>
    <d v="1899-12-30T09:20:00"/>
    <d v="1899-12-30T18:00:00"/>
    <n v="8"/>
    <n v="0"/>
    <x v="0"/>
    <m/>
    <n v="3"/>
    <s v="L1"/>
    <s v="V. Vivek"/>
    <x v="0"/>
    <m/>
    <n v="24"/>
    <x v="1"/>
    <n v="44270"/>
    <n v="42000000"/>
    <s v="₹2.5 Cr Monthly Sales"/>
    <n v="680000"/>
    <s v="High"/>
    <s v="Revenue Achievement"/>
    <n v="0.375"/>
    <n v="0.75"/>
    <n v="8"/>
    <s v="Working Day"/>
    <x v="0"/>
  </r>
  <r>
    <s v="ATD00386"/>
    <d v="2025-02-06T00:00:00"/>
    <x v="5"/>
    <s v="Q1"/>
    <s v="Thursday"/>
    <s v="EMP045"/>
    <s v="Employee 45"/>
    <x v="6"/>
    <s v="Sales Executive"/>
    <s v="Madurai"/>
    <s v="Night Shift"/>
    <d v="1899-12-30T09:10:00"/>
    <d v="1899-12-30T07:00:00"/>
    <n v="8.5"/>
    <n v="0.5"/>
    <x v="0"/>
    <m/>
    <n v="3"/>
    <s v="L3"/>
    <s v="V. Vivek"/>
    <x v="3"/>
    <s v="Work From Home"/>
    <n v="31"/>
    <x v="1"/>
    <n v="44484"/>
    <n v="42000000"/>
    <s v="₹2.5 Cr Monthly Sales"/>
    <n v="680000"/>
    <s v="High"/>
    <s v="Revenue Achievement"/>
    <n v="0.91666666666666663"/>
    <n v="0.29166666666666669"/>
    <n v="8"/>
    <s v="Working Day"/>
    <x v="0"/>
  </r>
  <r>
    <s v="ATD00387"/>
    <d v="2025-04-26T00:00:00"/>
    <x v="1"/>
    <s v="Q2"/>
    <s v="Saturday"/>
    <s v="EMP017"/>
    <s v="Employee 17"/>
    <x v="6"/>
    <s v="Sales Executive"/>
    <s v="Chennai"/>
    <s v="General Shift"/>
    <d v="1899-12-30T09:00:00"/>
    <d v="1899-12-30T18:00:00"/>
    <n v="8"/>
    <n v="0"/>
    <x v="0"/>
    <m/>
    <n v="4"/>
    <s v="L2"/>
    <s v="V. Vivek"/>
    <x v="0"/>
    <s v="Work From Home"/>
    <n v="39"/>
    <x v="1"/>
    <n v="44362"/>
    <n v="42000000"/>
    <s v="₹2.5 Cr Monthly Sales"/>
    <n v="680000"/>
    <s v="High"/>
    <s v="Revenue Achievement"/>
    <n v="0.375"/>
    <n v="0.75"/>
    <n v="8"/>
    <s v="Working Day"/>
    <x v="0"/>
  </r>
  <r>
    <s v="ATD00388"/>
    <d v="2025-04-19T00:00:00"/>
    <x v="1"/>
    <s v="Q2"/>
    <s v="Saturday"/>
    <s v="EMP013"/>
    <s v="Employee 13"/>
    <x v="5"/>
    <s v="Marketing Executive"/>
    <s v="Bengaluru"/>
    <s v="Flexible Shift"/>
    <d v="1899-12-30T09:00:00"/>
    <d v="1899-12-30T18:00:00"/>
    <n v="8"/>
    <n v="0"/>
    <x v="0"/>
    <m/>
    <n v="3"/>
    <s v="L2"/>
    <s v="S. Swetha"/>
    <x v="2"/>
    <m/>
    <n v="35"/>
    <x v="1"/>
    <n v="45337"/>
    <n v="22000000"/>
    <s v="2500 Qualified Leads"/>
    <n v="590000"/>
    <s v="Medium"/>
    <s v="Lead Generation"/>
    <n v="0.41666666666666669"/>
    <n v="0.79166666666666663"/>
    <n v="8"/>
    <s v="Working Day"/>
    <x v="0"/>
  </r>
  <r>
    <s v="ATD00389"/>
    <d v="2025-05-04T00:00:00"/>
    <x v="3"/>
    <s v="Q2"/>
    <s v="Sunday"/>
    <s v="EMP049"/>
    <s v="Employee 49"/>
    <x v="0"/>
    <s v="Support Executive"/>
    <s v="Hyderabad"/>
    <s v="Afternoon Shift"/>
    <d v="1899-12-30T09:00:00"/>
    <d v="1899-12-30T18:00:00"/>
    <n v="8"/>
    <n v="0"/>
    <x v="0"/>
    <m/>
    <n v="4"/>
    <s v="L3"/>
    <s v="V. Vinoth"/>
    <x v="0"/>
    <m/>
    <n v="35"/>
    <x v="1"/>
    <n v="43146"/>
    <n v="24000000"/>
    <s v="90% Customer Satisfaction"/>
    <n v="520000"/>
    <s v="High"/>
    <s v="Customer Satisfaction"/>
    <n v="0.58333333333333337"/>
    <n v="0.95833333333333337"/>
    <n v="8"/>
    <s v="Working Day"/>
    <x v="0"/>
  </r>
  <r>
    <s v="ATD00390"/>
    <d v="2025-03-15T00:00:00"/>
    <x v="4"/>
    <s v="Q1"/>
    <s v="Saturday"/>
    <s v="EMP025"/>
    <s v="Employee 25"/>
    <x v="3"/>
    <s v="Accountant"/>
    <s v="Madurai"/>
    <s v="Flexible Shift"/>
    <d v="1899-12-30T09:00:00"/>
    <d v="1899-12-30T18:00:00"/>
    <n v="8"/>
    <n v="0"/>
    <x v="0"/>
    <m/>
    <m/>
    <s v="L3"/>
    <s v="M. Mahesh"/>
    <x v="3"/>
    <s v="Client Visit"/>
    <n v="29"/>
    <x v="0"/>
    <n v="44607"/>
    <n v="26000000"/>
    <s v="100% Payroll Accuracy"/>
    <n v="640000"/>
    <s v="High"/>
    <s v="Financial Compliance"/>
    <n v="0.41666666666666669"/>
    <n v="0.79166666666666663"/>
    <n v="8"/>
    <s v="Working Day"/>
    <x v="0"/>
  </r>
  <r>
    <s v="ATD00391"/>
    <d v="2025-05-22T00:00:00"/>
    <x v="3"/>
    <s v="Q2"/>
    <s v="Thursday"/>
    <s v="EMP020"/>
    <s v="Employee 20"/>
    <x v="5"/>
    <s v="Marketing Executive"/>
    <s v="Madurai"/>
    <s v="General Shift"/>
    <d v="1899-12-30T09:00:00"/>
    <d v="1899-12-30T18:00:00"/>
    <n v="8"/>
    <n v="0"/>
    <x v="0"/>
    <m/>
    <n v="4"/>
    <s v="L3"/>
    <s v="S. Swetha"/>
    <x v="2"/>
    <s v="Client Visit"/>
    <n v="24"/>
    <x v="1"/>
    <n v="45550"/>
    <n v="22000000"/>
    <s v="2500 Qualified Leads"/>
    <n v="590000"/>
    <s v="Medium"/>
    <s v="Lead Generation"/>
    <n v="0.375"/>
    <n v="0.75"/>
    <n v="8"/>
    <s v="Working Day"/>
    <x v="0"/>
  </r>
  <r>
    <s v="ATD00392"/>
    <d v="2025-05-02T00:00:00"/>
    <x v="3"/>
    <s v="Q2"/>
    <s v="Friday"/>
    <s v="EMP050"/>
    <s v="Employee 50"/>
    <x v="2"/>
    <s v="Software Engineer"/>
    <s v="Madurai"/>
    <s v="Night Shift"/>
    <d v="1899-12-30T22:00:00"/>
    <d v="1899-12-30T07:00:00"/>
    <n v="10"/>
    <n v="2"/>
    <x v="0"/>
    <m/>
    <n v="5"/>
    <s v="L3"/>
    <s v="R. Karthikeyan"/>
    <x v="0"/>
    <s v="Client Visit"/>
    <n v="36"/>
    <x v="0"/>
    <n v="43539"/>
    <n v="85000000"/>
    <s v="99.5% System Uptime"/>
    <n v="720000"/>
    <s v="High"/>
    <s v="Project Delivery"/>
    <n v="0.91666666666666663"/>
    <n v="0.29166666666666669"/>
    <n v="8"/>
    <s v="Working Day"/>
    <x v="0"/>
  </r>
  <r>
    <s v="ATD00393"/>
    <d v="2025-01-07T00:00:00"/>
    <x v="2"/>
    <s v="Q1"/>
    <s v="Tuesday"/>
    <s v="EMP004"/>
    <s v="Employee 4"/>
    <x v="3"/>
    <s v="Accountant"/>
    <s v="Hyderabad"/>
    <s v="Flexible Shift"/>
    <d v="1899-12-30T09:00:00"/>
    <d v="1899-12-30T18:00:00"/>
    <n v="8"/>
    <n v="0"/>
    <x v="0"/>
    <m/>
    <n v="5"/>
    <s v="L1"/>
    <s v="M. Mahesh"/>
    <x v="2"/>
    <m/>
    <n v="26"/>
    <x v="0"/>
    <n v="44696"/>
    <n v="26000000"/>
    <s v="100% Payroll Accuracy"/>
    <n v="640000"/>
    <s v="High"/>
    <s v="Financial Compliance"/>
    <n v="0.41666666666666669"/>
    <n v="0.79166666666666663"/>
    <n v="8"/>
    <s v="Working Day"/>
    <x v="0"/>
  </r>
  <r>
    <s v="ATD00394"/>
    <d v="2025-03-05T00:00:00"/>
    <x v="4"/>
    <s v="Q1"/>
    <s v="Wednesday"/>
    <s v="EMP034"/>
    <s v="Employee 34"/>
    <x v="5"/>
    <s v="Marketing Executive"/>
    <s v="Hyderabad"/>
    <s v="Morning Shift"/>
    <m/>
    <m/>
    <m/>
    <m/>
    <x v="2"/>
    <m/>
    <m/>
    <s v="L3"/>
    <s v="S. Swetha"/>
    <x v="3"/>
    <m/>
    <n v="38"/>
    <x v="0"/>
    <n v="45611"/>
    <n v="22000000"/>
    <s v="2500 Qualified Leads"/>
    <n v="590000"/>
    <s v="Medium"/>
    <s v="Lead Generation"/>
    <n v="0.25"/>
    <n v="0.625"/>
    <n v="8"/>
    <s v="Working Day"/>
    <x v="0"/>
  </r>
  <r>
    <s v="ATD00395"/>
    <d v="2025-05-02T00:00:00"/>
    <x v="3"/>
    <s v="Q2"/>
    <s v="Friday"/>
    <s v="EMP048"/>
    <s v="Employee 48"/>
    <x v="5"/>
    <s v="Marketing Executive"/>
    <s v="Bengaluru"/>
    <s v="General Shift"/>
    <d v="1899-12-30T09:00:00"/>
    <d v="1899-12-30T18:00:00"/>
    <n v="8"/>
    <n v="0"/>
    <x v="0"/>
    <m/>
    <n v="4"/>
    <s v="L4"/>
    <s v="S. Swetha"/>
    <x v="2"/>
    <s v="Client Visit"/>
    <n v="34"/>
    <x v="0"/>
    <n v="45306"/>
    <n v="22000000"/>
    <s v="2500 Qualified Leads"/>
    <n v="590000"/>
    <s v="Medium"/>
    <s v="Lead Generation"/>
    <n v="0.375"/>
    <n v="0.75"/>
    <n v="8"/>
    <s v="Working Day"/>
    <x v="0"/>
  </r>
  <r>
    <s v="ATD00396"/>
    <d v="2025-02-16T00:00:00"/>
    <x v="5"/>
    <s v="Q1"/>
    <s v="Sunday"/>
    <s v="EMP025"/>
    <s v="Employee 25"/>
    <x v="3"/>
    <s v="Accountant"/>
    <s v="Madurai"/>
    <s v="General Shift"/>
    <d v="1899-12-30T09:00:00"/>
    <d v="1899-12-30T18:00:00"/>
    <n v="8"/>
    <n v="0"/>
    <x v="0"/>
    <m/>
    <n v="5"/>
    <s v="L3"/>
    <s v="M. Mahesh"/>
    <x v="1"/>
    <s v="Client Visit"/>
    <n v="29"/>
    <x v="0"/>
    <n v="44607"/>
    <n v="26000000"/>
    <s v="100% Payroll Accuracy"/>
    <n v="640000"/>
    <s v="High"/>
    <s v="Financial Compliance"/>
    <n v="0.375"/>
    <n v="0.75"/>
    <n v="8"/>
    <s v="Working Day"/>
    <x v="0"/>
  </r>
  <r>
    <s v="ATD00397"/>
    <d v="2025-06-26T00:00:00"/>
    <x v="0"/>
    <s v="Q2"/>
    <s v="Thursday"/>
    <s v="EMP042"/>
    <s v="Employee 42"/>
    <x v="0"/>
    <s v="Support Executive"/>
    <s v="Chennai"/>
    <s v="Night Shift"/>
    <m/>
    <m/>
    <m/>
    <m/>
    <x v="1"/>
    <m/>
    <m/>
    <s v="L2"/>
    <s v="V. Vinoth"/>
    <x v="3"/>
    <s v="Client Visit"/>
    <n v="28"/>
    <x v="0"/>
    <n v="43296"/>
    <n v="24000000"/>
    <s v="90% Customer Satisfaction"/>
    <n v="520000"/>
    <s v="High"/>
    <s v="Customer Satisfaction"/>
    <n v="0.91666666666666663"/>
    <n v="0.29166666666666669"/>
    <n v="8"/>
    <s v="Working Day"/>
    <x v="0"/>
  </r>
  <r>
    <s v="ATD00398"/>
    <d v="2025-02-26T00:00:00"/>
    <x v="5"/>
    <s v="Q1"/>
    <s v="Wednesday"/>
    <s v="EMP016"/>
    <s v="Employee 16"/>
    <x v="4"/>
    <s v="HR Executive"/>
    <s v="Coimbatore"/>
    <s v="Night Shift"/>
    <d v="1899-12-30T22:00:00"/>
    <d v="1899-12-30T07:00:00"/>
    <n v="10"/>
    <n v="2"/>
    <x v="0"/>
    <m/>
    <n v="3"/>
    <s v="L2"/>
    <s v="P. Priya"/>
    <x v="0"/>
    <s v="Work From Home"/>
    <n v="38"/>
    <x v="0"/>
    <n v="43966"/>
    <n v="18000000"/>
    <s v="&lt;30 Days Hiring Cycle"/>
    <n v="560000"/>
    <s v="Medium"/>
    <s v="Hiring &amp; Retention"/>
    <n v="0.91666666666666663"/>
    <n v="0.29166666666666669"/>
    <n v="8"/>
    <s v="Mahashivratri"/>
    <x v="3"/>
  </r>
  <r>
    <s v="ATD00399"/>
    <d v="2025-06-21T00:00:00"/>
    <x v="0"/>
    <s v="Q2"/>
    <s v="Saturday"/>
    <s v="EMP024"/>
    <s v="Employee 24"/>
    <x v="6"/>
    <s v="Sales Executive"/>
    <s v="Hyderabad"/>
    <s v="General Shift"/>
    <d v="1899-12-30T09:35:00"/>
    <d v="1899-12-30T18:00:00"/>
    <n v="8"/>
    <n v="0"/>
    <x v="0"/>
    <m/>
    <n v="4"/>
    <s v="L4"/>
    <s v="V. Vivek"/>
    <x v="2"/>
    <m/>
    <n v="28"/>
    <x v="1"/>
    <n v="44211"/>
    <n v="42000000"/>
    <s v="₹2.5 Cr Monthly Sales"/>
    <n v="680000"/>
    <s v="High"/>
    <s v="Revenue Achievement"/>
    <n v="0.375"/>
    <n v="0.75"/>
    <n v="8"/>
    <s v="Working Day"/>
    <x v="0"/>
  </r>
  <r>
    <s v="ATD00400"/>
    <d v="2025-05-17T00:00:00"/>
    <x v="3"/>
    <s v="Q2"/>
    <s v="Saturday"/>
    <s v="EMP023"/>
    <s v="Employee 23"/>
    <x v="4"/>
    <s v="HR Executive"/>
    <s v="Bengaluru"/>
    <s v="Night Shift"/>
    <d v="1899-12-30T22:00:00"/>
    <d v="1899-12-30T07:00:00"/>
    <n v="9.5"/>
    <n v="1.5"/>
    <x v="0"/>
    <m/>
    <n v="3"/>
    <s v="L2"/>
    <s v="P. Priya"/>
    <x v="3"/>
    <m/>
    <n v="27"/>
    <x v="1"/>
    <n v="44180"/>
    <n v="18000000"/>
    <s v="&lt;30 Days Hiring Cycle"/>
    <n v="560000"/>
    <s v="Medium"/>
    <s v="Hiring &amp; Retention"/>
    <n v="0.91666666666666663"/>
    <n v="0.29166666666666669"/>
    <n v="8"/>
    <s v="Working Day"/>
    <x v="0"/>
  </r>
  <r>
    <s v="ATD00401"/>
    <d v="2025-03-12T00:00:00"/>
    <x v="4"/>
    <s v="Q1"/>
    <s v="Wednesday"/>
    <s v="EMP001"/>
    <s v="Employee 1"/>
    <x v="2"/>
    <s v="Software Engineer"/>
    <s v="Coimbatore"/>
    <s v="Flexible Shift"/>
    <d v="1899-12-30T09:00:00"/>
    <d v="1899-12-30T18:00:00"/>
    <n v="8.5"/>
    <n v="0.5"/>
    <x v="0"/>
    <m/>
    <n v="3"/>
    <s v="L4"/>
    <s v="R. Karthikeyan"/>
    <x v="3"/>
    <s v="Work From Home"/>
    <n v="23"/>
    <x v="1"/>
    <n v="43511"/>
    <n v="85000000"/>
    <s v="99.5% System Uptime"/>
    <n v="720000"/>
    <s v="High"/>
    <s v="Project Delivery"/>
    <n v="0.41666666666666669"/>
    <n v="0.79166666666666663"/>
    <n v="8"/>
    <s v="Working Day"/>
    <x v="0"/>
  </r>
  <r>
    <s v="ATD00402"/>
    <d v="2025-02-07T00:00:00"/>
    <x v="5"/>
    <s v="Q1"/>
    <s v="Friday"/>
    <s v="EMP012"/>
    <s v="Employee 12"/>
    <x v="1"/>
    <s v="Operations Executive"/>
    <s v="Chennai"/>
    <s v="Afternoon Shift"/>
    <d v="1899-12-30T09:00:00"/>
    <d v="1899-12-30T18:00:00"/>
    <n v="8"/>
    <n v="0"/>
    <x v="0"/>
    <m/>
    <n v="4"/>
    <s v="L1"/>
    <s v="D. Dinesh"/>
    <x v="1"/>
    <s v="Client Visit"/>
    <n v="34"/>
    <x v="0"/>
    <n v="44941"/>
    <n v="34000000"/>
    <s v="95% Process Efficiency"/>
    <n v="610000"/>
    <s v="High"/>
    <s v="Operational Efficiency"/>
    <n v="0.58333333333333337"/>
    <n v="0.95833333333333337"/>
    <n v="8"/>
    <s v="Working Day"/>
    <x v="0"/>
  </r>
  <r>
    <s v="ATD00403"/>
    <d v="2025-05-11T00:00:00"/>
    <x v="3"/>
    <s v="Q2"/>
    <s v="Sunday"/>
    <s v="EMP040"/>
    <s v="Employee 40"/>
    <x v="1"/>
    <s v="Operations Executive"/>
    <s v="Madurai"/>
    <s v="Afternoon Shift"/>
    <d v="1899-12-30T09:00:00"/>
    <d v="1899-12-30T18:00:00"/>
    <n v="8"/>
    <n v="0"/>
    <x v="0"/>
    <m/>
    <m/>
    <s v="L4"/>
    <s v="D. Dinesh"/>
    <x v="0"/>
    <m/>
    <n v="26"/>
    <x v="1"/>
    <n v="45061"/>
    <n v="34000000"/>
    <s v="95% Process Efficiency"/>
    <n v="610000"/>
    <s v="High"/>
    <s v="Operational Efficiency"/>
    <n v="0.58333333333333337"/>
    <n v="0.95833333333333337"/>
    <n v="8"/>
    <s v="Working Day"/>
    <x v="0"/>
  </r>
  <r>
    <s v="ATD00404"/>
    <d v="2025-02-03T00:00:00"/>
    <x v="5"/>
    <s v="Q1"/>
    <s v="Monday"/>
    <s v="EMP039"/>
    <s v="Employee 39"/>
    <x v="3"/>
    <s v="Accountant"/>
    <s v="Hyderabad"/>
    <s v="Flexible Shift"/>
    <d v="1899-12-30T09:00:00"/>
    <d v="1899-12-30T18:00:00"/>
    <n v="8"/>
    <n v="0"/>
    <x v="0"/>
    <m/>
    <n v="5"/>
    <s v="L3"/>
    <s v="M. Mahesh"/>
    <x v="0"/>
    <s v="Work From Home"/>
    <n v="25"/>
    <x v="0"/>
    <n v="44666"/>
    <n v="26000000"/>
    <s v="100% Payroll Accuracy"/>
    <n v="640000"/>
    <s v="High"/>
    <s v="Financial Compliance"/>
    <n v="0.41666666666666669"/>
    <n v="0.79166666666666663"/>
    <n v="8"/>
    <s v="Working Day"/>
    <x v="0"/>
  </r>
  <r>
    <s v="ATD00405"/>
    <d v="2025-02-14T00:00:00"/>
    <x v="5"/>
    <s v="Q1"/>
    <s v="Friday"/>
    <s v="EMP042"/>
    <s v="Employee 42"/>
    <x v="0"/>
    <s v="Support Executive"/>
    <s v="Chennai"/>
    <s v="Afternoon Shift"/>
    <m/>
    <d v="1899-12-30T18:00:00"/>
    <n v="8"/>
    <n v="0"/>
    <x v="0"/>
    <m/>
    <n v="4"/>
    <s v="L2"/>
    <s v="V. Vinoth"/>
    <x v="0"/>
    <s v="Work From Home"/>
    <n v="28"/>
    <x v="0"/>
    <n v="43296"/>
    <n v="24000000"/>
    <s v="90% Customer Satisfaction"/>
    <n v="520000"/>
    <s v="High"/>
    <s v="Customer Satisfaction"/>
    <n v="0.58333333333333337"/>
    <n v="0.95833333333333337"/>
    <n v="8"/>
    <s v="Working Day"/>
    <x v="0"/>
  </r>
  <r>
    <s v="ATD00406"/>
    <d v="2025-05-22T00:00:00"/>
    <x v="3"/>
    <s v="Q2"/>
    <s v="Thursday"/>
    <s v="EMP003"/>
    <s v="Employee 3"/>
    <x v="6"/>
    <s v="Sales Executive"/>
    <s v="Bengaluru"/>
    <s v="Morning Shift"/>
    <m/>
    <m/>
    <m/>
    <m/>
    <x v="2"/>
    <m/>
    <m/>
    <s v="L2"/>
    <s v="V. Vivek"/>
    <x v="2"/>
    <m/>
    <n v="25"/>
    <x v="1"/>
    <n v="44301"/>
    <n v="42000000"/>
    <s v="₹2.5 Cr Monthly Sales"/>
    <n v="680000"/>
    <s v="High"/>
    <s v="Revenue Achievement"/>
    <n v="0.25"/>
    <n v="0.625"/>
    <n v="8"/>
    <s v="Working Day"/>
    <x v="0"/>
  </r>
  <r>
    <s v="ATD00407"/>
    <d v="2025-02-08T00:00:00"/>
    <x v="5"/>
    <s v="Q1"/>
    <s v="Saturday"/>
    <s v="EMP029"/>
    <s v="Employee 29"/>
    <x v="2"/>
    <s v="Software Engineer"/>
    <s v="Hyderabad"/>
    <s v="Afternoon Shift"/>
    <d v="1899-12-30T09:00:00"/>
    <d v="1899-12-30T18:00:00"/>
    <n v="8.5"/>
    <n v="0.5"/>
    <x v="0"/>
    <m/>
    <n v="4"/>
    <s v="L2"/>
    <s v="R. Karthikeyan"/>
    <x v="0"/>
    <s v="Client Visit"/>
    <n v="33"/>
    <x v="1"/>
    <n v="43631"/>
    <n v="85000000"/>
    <s v="99.5% System Uptime"/>
    <n v="720000"/>
    <s v="High"/>
    <s v="Project Delivery"/>
    <n v="0.58333333333333337"/>
    <n v="0.95833333333333337"/>
    <n v="8"/>
    <s v="Working Day"/>
    <x v="0"/>
  </r>
  <r>
    <s v="ATD00408"/>
    <d v="2025-03-23T00:00:00"/>
    <x v="4"/>
    <s v="Q1"/>
    <s v="Sunday"/>
    <s v="EMP041"/>
    <s v="Employee 41"/>
    <x v="5"/>
    <s v="Marketing Executive"/>
    <s v="Coimbatore"/>
    <s v="Flexible Shift"/>
    <d v="1899-12-30T09:00:00"/>
    <d v="1899-12-30T18:00:00"/>
    <n v="8"/>
    <n v="0"/>
    <x v="0"/>
    <m/>
    <m/>
    <s v="L1"/>
    <s v="S. Swetha"/>
    <x v="2"/>
    <s v="Work From Home"/>
    <n v="27"/>
    <x v="1"/>
    <n v="45458"/>
    <n v="22000000"/>
    <s v="2500 Qualified Leads"/>
    <n v="590000"/>
    <s v="Medium"/>
    <s v="Lead Generation"/>
    <n v="0.41666666666666669"/>
    <n v="0.79166666666666663"/>
    <n v="8"/>
    <s v="Working Day"/>
    <x v="0"/>
  </r>
  <r>
    <s v="ATD00409"/>
    <d v="2025-06-20T00:00:00"/>
    <x v="0"/>
    <s v="Q2"/>
    <s v="Friday"/>
    <s v="EMP020"/>
    <s v="Employee 20"/>
    <x v="5"/>
    <s v="Marketing Executive"/>
    <s v="Madurai"/>
    <s v="Night Shift"/>
    <d v="1899-12-30T22:00:00"/>
    <d v="1899-12-30T07:00:00"/>
    <n v="9.5"/>
    <n v="1.5"/>
    <x v="0"/>
    <m/>
    <n v="3"/>
    <s v="L1"/>
    <s v="S. Swetha"/>
    <x v="2"/>
    <s v="Client Visit"/>
    <n v="24"/>
    <x v="1"/>
    <n v="45550"/>
    <n v="22000000"/>
    <s v="2500 Qualified Leads"/>
    <n v="590000"/>
    <s v="Medium"/>
    <s v="Lead Generation"/>
    <n v="0.91666666666666663"/>
    <n v="0.29166666666666669"/>
    <n v="8"/>
    <s v="Working Day"/>
    <x v="0"/>
  </r>
  <r>
    <s v="ATD00410"/>
    <d v="2025-04-27T00:00:00"/>
    <x v="1"/>
    <s v="Q2"/>
    <s v="Sunday"/>
    <s v="EMP024"/>
    <s v="Employee 24"/>
    <x v="6"/>
    <s v="Sales Executive"/>
    <s v="Hyderabad"/>
    <s v="Night Shift"/>
    <d v="1899-12-30T09:35:00"/>
    <d v="1899-12-30T07:00:00"/>
    <n v="9.5"/>
    <n v="1.5"/>
    <x v="0"/>
    <m/>
    <n v="4"/>
    <s v="L2"/>
    <s v="V. Vivek"/>
    <x v="0"/>
    <m/>
    <n v="28"/>
    <x v="1"/>
    <n v="44211"/>
    <n v="42000000"/>
    <s v="₹2.5 Cr Monthly Sales"/>
    <n v="680000"/>
    <s v="High"/>
    <s v="Revenue Achievement"/>
    <n v="0.91666666666666663"/>
    <n v="0.29166666666666669"/>
    <n v="8"/>
    <s v="Working Day"/>
    <x v="0"/>
  </r>
  <r>
    <s v="ATD00411"/>
    <d v="2025-04-22T00:00:00"/>
    <x v="1"/>
    <s v="Q2"/>
    <s v="Tuesday"/>
    <s v="EMP040"/>
    <s v="Employee 40"/>
    <x v="1"/>
    <s v="Operations Executive"/>
    <s v="Madurai"/>
    <s v="Flexible Shift"/>
    <d v="1899-12-30T09:00:00"/>
    <d v="1899-12-30T18:00:00"/>
    <n v="8"/>
    <n v="0"/>
    <x v="0"/>
    <m/>
    <n v="4"/>
    <s v="L2"/>
    <s v="D. Dinesh"/>
    <x v="1"/>
    <s v="Client Visit"/>
    <n v="26"/>
    <x v="1"/>
    <n v="45061"/>
    <n v="34000000"/>
    <s v="95% Process Efficiency"/>
    <n v="610000"/>
    <s v="High"/>
    <s v="Operational Efficiency"/>
    <n v="0.41666666666666669"/>
    <n v="0.79166666666666663"/>
    <n v="8"/>
    <s v="Working Day"/>
    <x v="0"/>
  </r>
  <r>
    <s v="ATD00412"/>
    <d v="2025-01-09T00:00:00"/>
    <x v="2"/>
    <s v="Q1"/>
    <s v="Thursday"/>
    <s v="EMP002"/>
    <s v="Employee 2"/>
    <x v="4"/>
    <s v="HR Executive"/>
    <s v="Chennai"/>
    <s v="Night Shift"/>
    <d v="1899-12-30T22:00:00"/>
    <d v="1899-12-30T07:00:00"/>
    <n v="8.5"/>
    <n v="0.5"/>
    <x v="0"/>
    <m/>
    <n v="5"/>
    <s v="L1"/>
    <s v="P. Priya"/>
    <x v="0"/>
    <s v="Late Login"/>
    <n v="24"/>
    <x v="0"/>
    <n v="43905"/>
    <n v="18000000"/>
    <s v="&lt;30 Days Hiring Cycle"/>
    <n v="560000"/>
    <s v="Medium"/>
    <s v="Hiring &amp; Retention"/>
    <n v="0.91666666666666663"/>
    <n v="0.29166666666666669"/>
    <n v="8"/>
    <s v="Working Day"/>
    <x v="0"/>
  </r>
  <r>
    <s v="ATD00413"/>
    <d v="2025-01-30T00:00:00"/>
    <x v="2"/>
    <s v="Q1"/>
    <s v="Thursday"/>
    <s v="EMP035"/>
    <s v="Employee 35"/>
    <x v="0"/>
    <s v="Support Executive"/>
    <s v="Madurai"/>
    <s v="Flexible Shift"/>
    <d v="1899-12-30T09:00:00"/>
    <d v="1899-12-30T18:00:00"/>
    <n v="8"/>
    <n v="0"/>
    <x v="0"/>
    <m/>
    <n v="5"/>
    <s v="L2"/>
    <s v="V. Vinoth"/>
    <x v="3"/>
    <s v="Late Login"/>
    <n v="39"/>
    <x v="1"/>
    <n v="43449"/>
    <n v="24000000"/>
    <s v="90% Customer Satisfaction"/>
    <n v="520000"/>
    <s v="High"/>
    <s v="Customer Satisfaction"/>
    <n v="0.41666666666666669"/>
    <n v="0.79166666666666663"/>
    <n v="8"/>
    <s v="Working Day"/>
    <x v="0"/>
  </r>
  <r>
    <s v="ATD00414"/>
    <d v="2025-01-23T00:00:00"/>
    <x v="2"/>
    <s v="Q1"/>
    <s v="Thursday"/>
    <s v="EMP003"/>
    <s v="Employee 3"/>
    <x v="6"/>
    <s v="Sales Executive"/>
    <s v="Bengaluru"/>
    <s v="Morning Shift"/>
    <d v="1899-12-30T09:35:00"/>
    <d v="1899-12-30T18:00:00"/>
    <n v="8"/>
    <n v="0"/>
    <x v="0"/>
    <m/>
    <n v="3"/>
    <s v="L2"/>
    <s v="V. Vivek"/>
    <x v="2"/>
    <m/>
    <n v="25"/>
    <x v="1"/>
    <n v="44301"/>
    <n v="42000000"/>
    <s v="₹2.5 Cr Monthly Sales"/>
    <n v="680000"/>
    <s v="High"/>
    <s v="Revenue Achievement"/>
    <n v="0.25"/>
    <n v="0.625"/>
    <n v="8"/>
    <s v="Working Day"/>
    <x v="0"/>
  </r>
  <r>
    <s v="ATD00415"/>
    <d v="2025-04-07T00:00:00"/>
    <x v="1"/>
    <s v="Q2"/>
    <s v="Monday"/>
    <s v="EMP048"/>
    <s v="Employee 48"/>
    <x v="5"/>
    <s v="Marketing Executive"/>
    <s v="Bengaluru"/>
    <s v="Morning Shift"/>
    <d v="1899-12-30T09:00:00"/>
    <d v="1899-12-30T18:00:00"/>
    <n v="8"/>
    <n v="0"/>
    <x v="0"/>
    <m/>
    <n v="3"/>
    <s v="L4"/>
    <s v="S. Swetha"/>
    <x v="1"/>
    <s v="Late Login"/>
    <n v="34"/>
    <x v="0"/>
    <n v="45306"/>
    <n v="22000000"/>
    <s v="2500 Qualified Leads"/>
    <n v="590000"/>
    <s v="Medium"/>
    <s v="Lead Generation"/>
    <n v="0.25"/>
    <n v="0.625"/>
    <n v="8"/>
    <s v="Working Day"/>
    <x v="0"/>
  </r>
  <r>
    <s v="ATD00416"/>
    <d v="2025-05-14T00:00:00"/>
    <x v="3"/>
    <s v="Q2"/>
    <s v="Wednesday"/>
    <s v="EMP017"/>
    <s v="Employee 17"/>
    <x v="6"/>
    <s v="Sales Executive"/>
    <s v="Chennai"/>
    <s v="Night Shift"/>
    <d v="1899-12-30T09:20:00"/>
    <d v="1899-12-30T07:00:00"/>
    <n v="9.5"/>
    <n v="1.5"/>
    <x v="0"/>
    <m/>
    <n v="4"/>
    <s v="L1"/>
    <s v="V. Vivek"/>
    <x v="1"/>
    <m/>
    <n v="39"/>
    <x v="1"/>
    <n v="44362"/>
    <n v="42000000"/>
    <s v="₹2.5 Cr Monthly Sales"/>
    <n v="680000"/>
    <s v="High"/>
    <s v="Revenue Achievement"/>
    <n v="0.91666666666666663"/>
    <n v="0.29166666666666669"/>
    <n v="8"/>
    <s v="Working Day"/>
    <x v="0"/>
  </r>
  <r>
    <s v="ATD00417"/>
    <d v="2025-01-17T00:00:00"/>
    <x v="2"/>
    <s v="Q1"/>
    <s v="Friday"/>
    <s v="EMP035"/>
    <s v="Employee 35"/>
    <x v="0"/>
    <s v="Support Executive"/>
    <s v="Madurai"/>
    <s v="General Shift"/>
    <d v="1899-12-30T09:00:00"/>
    <d v="1899-12-30T18:00:00"/>
    <n v="8"/>
    <n v="0"/>
    <x v="0"/>
    <m/>
    <n v="3"/>
    <s v="L4"/>
    <s v="V. Vinoth"/>
    <x v="3"/>
    <s v="Late Login"/>
    <n v="39"/>
    <x v="1"/>
    <n v="43449"/>
    <n v="24000000"/>
    <s v="90% Customer Satisfaction"/>
    <n v="520000"/>
    <s v="High"/>
    <s v="Customer Satisfaction"/>
    <n v="0.375"/>
    <n v="0.75"/>
    <n v="8"/>
    <s v="Working Day"/>
    <x v="0"/>
  </r>
  <r>
    <s v="ATD00418"/>
    <d v="2025-03-02T00:00:00"/>
    <x v="4"/>
    <s v="Q1"/>
    <s v="Sunday"/>
    <s v="EMP022"/>
    <s v="Employee 22"/>
    <x v="2"/>
    <s v="Software Engineer"/>
    <s v="Chennai"/>
    <s v="Afternoon Shift"/>
    <d v="1899-12-30T09:00:00"/>
    <d v="1899-12-30T18:00:00"/>
    <n v="10"/>
    <n v="2"/>
    <x v="0"/>
    <m/>
    <n v="5"/>
    <s v="L1"/>
    <s v="R. Karthikeyan"/>
    <x v="3"/>
    <s v="Late Login"/>
    <n v="26"/>
    <x v="0"/>
    <n v="43784"/>
    <n v="85000000"/>
    <s v="99.5% System Uptime"/>
    <n v="720000"/>
    <s v="High"/>
    <s v="Project Delivery"/>
    <n v="0.58333333333333337"/>
    <n v="0.95833333333333337"/>
    <n v="8"/>
    <s v="Working Day"/>
    <x v="0"/>
  </r>
  <r>
    <s v="ATD00419"/>
    <d v="2025-05-03T00:00:00"/>
    <x v="3"/>
    <s v="Q2"/>
    <s v="Saturday"/>
    <s v="EMP036"/>
    <s v="Employee 36"/>
    <x v="2"/>
    <s v="Software Engineer"/>
    <s v="Coimbatore"/>
    <s v="General Shift"/>
    <d v="1899-12-30T09:00:00"/>
    <d v="1899-12-30T18:00:00"/>
    <n v="9.5"/>
    <n v="1.5"/>
    <x v="0"/>
    <m/>
    <m/>
    <s v="L4"/>
    <s v="R. Karthikeyan"/>
    <x v="3"/>
    <s v="Client Visit"/>
    <n v="22"/>
    <x v="1"/>
    <n v="43480"/>
    <n v="85000000"/>
    <s v="99.5% System Uptime"/>
    <n v="720000"/>
    <s v="High"/>
    <s v="Project Delivery"/>
    <n v="0.375"/>
    <n v="0.75"/>
    <n v="8"/>
    <s v="Working Day"/>
    <x v="0"/>
  </r>
  <r>
    <s v="ATD00420"/>
    <d v="2025-05-19T00:00:00"/>
    <x v="3"/>
    <s v="Q2"/>
    <s v="Monday"/>
    <s v="EMP034"/>
    <s v="Employee 34"/>
    <x v="5"/>
    <s v="Marketing Executive"/>
    <s v="Hyderabad"/>
    <s v="Morning Shift"/>
    <d v="1899-12-30T09:00:00"/>
    <d v="1899-12-30T18:00:00"/>
    <n v="8"/>
    <n v="0"/>
    <x v="0"/>
    <m/>
    <n v="5"/>
    <s v="L2"/>
    <s v="S. Swetha"/>
    <x v="3"/>
    <s v="Late Login"/>
    <n v="38"/>
    <x v="0"/>
    <n v="45611"/>
    <n v="22000000"/>
    <s v="2500 Qualified Leads"/>
    <n v="590000"/>
    <s v="Medium"/>
    <s v="Lead Generation"/>
    <n v="0.25"/>
    <n v="0.625"/>
    <n v="8"/>
    <s v="Working Day"/>
    <x v="0"/>
  </r>
  <r>
    <s v="ATD00421"/>
    <d v="2025-05-01T00:00:00"/>
    <x v="3"/>
    <s v="Q2"/>
    <s v="Thursday"/>
    <s v="EMP032"/>
    <s v="Employee 32"/>
    <x v="3"/>
    <s v="Accountant"/>
    <s v="Chennai"/>
    <s v="General Shift"/>
    <d v="1899-12-30T09:00:00"/>
    <d v="1899-12-30T18:00:00"/>
    <n v="8"/>
    <n v="0"/>
    <x v="0"/>
    <m/>
    <m/>
    <s v="L1"/>
    <s v="M. Mahesh"/>
    <x v="2"/>
    <s v="Client Visit"/>
    <n v="36"/>
    <x v="0"/>
    <n v="44819"/>
    <n v="26000000"/>
    <s v="100% Payroll Accuracy"/>
    <n v="640000"/>
    <s v="High"/>
    <s v="Financial Compliance"/>
    <n v="0.375"/>
    <n v="0.75"/>
    <n v="8"/>
    <s v="Labour Day"/>
    <x v="1"/>
  </r>
  <r>
    <s v="ATD00422"/>
    <d v="2025-04-05T00:00:00"/>
    <x v="1"/>
    <s v="Q2"/>
    <s v="Saturday"/>
    <s v="EMP049"/>
    <s v="Employee 49"/>
    <x v="0"/>
    <s v="Support Executive"/>
    <s v="Hyderabad"/>
    <s v="Night Shift"/>
    <d v="1899-12-30T22:00:00"/>
    <d v="1899-12-30T07:00:00"/>
    <n v="9"/>
    <n v="1"/>
    <x v="0"/>
    <m/>
    <n v="3"/>
    <s v="L4"/>
    <s v="V. Vinoth"/>
    <x v="1"/>
    <s v="Late Login"/>
    <n v="35"/>
    <x v="1"/>
    <n v="43146"/>
    <n v="24000000"/>
    <s v="90% Customer Satisfaction"/>
    <n v="520000"/>
    <s v="High"/>
    <s v="Customer Satisfaction"/>
    <n v="0.91666666666666663"/>
    <n v="0.29166666666666669"/>
    <n v="8"/>
    <s v="Working Day"/>
    <x v="0"/>
  </r>
  <r>
    <s v="ATD00423"/>
    <d v="2025-06-09T00:00:00"/>
    <x v="0"/>
    <s v="Q2"/>
    <s v="Monday"/>
    <s v="EMP011"/>
    <s v="Employee 11"/>
    <x v="3"/>
    <s v="Accountant"/>
    <s v="Coimbatore"/>
    <s v="Morning Shift"/>
    <d v="1899-12-30T09:00:00"/>
    <d v="1899-12-30T18:00:00"/>
    <n v="8"/>
    <n v="0"/>
    <x v="0"/>
    <m/>
    <n v="5"/>
    <s v="L3"/>
    <s v="M. Mahesh"/>
    <x v="1"/>
    <s v="Late Login"/>
    <n v="33"/>
    <x v="1"/>
    <n v="44910"/>
    <n v="26000000"/>
    <s v="100% Payroll Accuracy"/>
    <n v="640000"/>
    <s v="High"/>
    <s v="Financial Compliance"/>
    <n v="0.25"/>
    <n v="0.625"/>
    <n v="8"/>
    <s v="Working Day"/>
    <x v="0"/>
  </r>
  <r>
    <s v="ATD00424"/>
    <d v="2025-04-10T00:00:00"/>
    <x v="1"/>
    <s v="Q2"/>
    <s v="Thursday"/>
    <s v="EMP008"/>
    <s v="Employee 8"/>
    <x v="2"/>
    <s v="Software Engineer"/>
    <s v="Bengaluru"/>
    <s v="Afternoon Shift"/>
    <d v="1899-12-30T09:00:00"/>
    <d v="1899-12-30T18:00:00"/>
    <n v="8.5"/>
    <n v="0.5"/>
    <x v="0"/>
    <m/>
    <n v="3"/>
    <s v="L4"/>
    <s v="R. Karthikeyan"/>
    <x v="3"/>
    <m/>
    <n v="30"/>
    <x v="0"/>
    <n v="43723"/>
    <n v="85000000"/>
    <s v="99.5% System Uptime"/>
    <n v="720000"/>
    <s v="High"/>
    <s v="Project Delivery"/>
    <n v="0.58333333333333337"/>
    <n v="0.95833333333333337"/>
    <n v="8"/>
    <s v="Working Day"/>
    <x v="0"/>
  </r>
  <r>
    <s v="ATD00425"/>
    <d v="2025-04-25T00:00:00"/>
    <x v="1"/>
    <s v="Q2"/>
    <s v="Friday"/>
    <s v="EMP008"/>
    <s v="Employee 8"/>
    <x v="2"/>
    <s v="Software Engineer"/>
    <s v="Bengaluru"/>
    <s v="Flexible Shift"/>
    <d v="1899-12-30T09:00:00"/>
    <d v="1899-12-30T18:00:00"/>
    <n v="9.5"/>
    <n v="1.5"/>
    <x v="0"/>
    <m/>
    <n v="4"/>
    <s v="L1"/>
    <s v="R. Karthikeyan"/>
    <x v="2"/>
    <s v="Client Visit"/>
    <n v="30"/>
    <x v="0"/>
    <n v="43723"/>
    <n v="85000000"/>
    <s v="99.5% System Uptime"/>
    <n v="720000"/>
    <s v="High"/>
    <s v="Project Delivery"/>
    <n v="0.41666666666666669"/>
    <n v="0.79166666666666663"/>
    <n v="8"/>
    <s v="Working Day"/>
    <x v="0"/>
  </r>
  <r>
    <s v="ATD00426"/>
    <d v="2025-05-28T00:00:00"/>
    <x v="3"/>
    <s v="Q2"/>
    <s v="Wednesday"/>
    <s v="EMP021"/>
    <s v="Employee 21"/>
    <x v="0"/>
    <s v="Support Executive"/>
    <s v="Coimbatore"/>
    <s v="Flexible Shift"/>
    <d v="1899-12-30T09:00:00"/>
    <d v="1899-12-30T18:00:00"/>
    <n v="8"/>
    <n v="0"/>
    <x v="0"/>
    <m/>
    <n v="4"/>
    <s v="L2"/>
    <s v="V. Vinoth"/>
    <x v="1"/>
    <s v="Client Visit"/>
    <n v="25"/>
    <x v="1"/>
    <n v="43388"/>
    <n v="24000000"/>
    <s v="90% Customer Satisfaction"/>
    <n v="520000"/>
    <s v="High"/>
    <s v="Customer Satisfaction"/>
    <n v="0.41666666666666669"/>
    <n v="0.79166666666666663"/>
    <n v="8"/>
    <s v="Working Day"/>
    <x v="0"/>
  </r>
  <r>
    <s v="ATD00427"/>
    <d v="2025-04-24T00:00:00"/>
    <x v="1"/>
    <s v="Q2"/>
    <s v="Thursday"/>
    <s v="EMP019"/>
    <s v="Employee 19"/>
    <x v="1"/>
    <s v="Operations Executive"/>
    <s v="Hyderabad"/>
    <s v="Morning Shift"/>
    <d v="1899-12-30T09:00:00"/>
    <d v="1899-12-30T18:00:00"/>
    <n v="8"/>
    <n v="0"/>
    <x v="0"/>
    <m/>
    <n v="4"/>
    <s v="L3"/>
    <s v="D. Dinesh"/>
    <x v="0"/>
    <s v="Late Login"/>
    <n v="23"/>
    <x v="0"/>
    <n v="45153"/>
    <n v="34000000"/>
    <s v="95% Process Efficiency"/>
    <n v="610000"/>
    <s v="High"/>
    <s v="Operational Efficiency"/>
    <n v="0.25"/>
    <n v="0.625"/>
    <n v="8"/>
    <s v="Working Day"/>
    <x v="0"/>
  </r>
  <r>
    <s v="ATD00428"/>
    <d v="2025-04-06T00:00:00"/>
    <x v="1"/>
    <s v="Q2"/>
    <s v="Sunday"/>
    <s v="EMP020"/>
    <s v="Employee 20"/>
    <x v="5"/>
    <s v="Marketing Executive"/>
    <s v="Madurai"/>
    <s v="General Shift"/>
    <d v="1899-12-30T09:00:00"/>
    <d v="1899-12-30T18:00:00"/>
    <n v="8"/>
    <n v="0"/>
    <x v="0"/>
    <m/>
    <n v="3"/>
    <s v="L1"/>
    <s v="S. Swetha"/>
    <x v="0"/>
    <s v="Work From Home"/>
    <n v="24"/>
    <x v="1"/>
    <n v="45550"/>
    <n v="22000000"/>
    <s v="2500 Qualified Leads"/>
    <n v="590000"/>
    <s v="Medium"/>
    <s v="Lead Generation"/>
    <n v="0.375"/>
    <n v="0.75"/>
    <n v="8"/>
    <s v="Working Day"/>
    <x v="0"/>
  </r>
  <r>
    <s v="ATD00429"/>
    <d v="2025-01-02T00:00:00"/>
    <x v="2"/>
    <s v="Q1"/>
    <s v="Thursday"/>
    <s v="EMP006"/>
    <s v="Employee 6"/>
    <x v="5"/>
    <s v="Marketing Executive"/>
    <s v="Coimbatore"/>
    <s v="Flexible Shift"/>
    <d v="1899-12-30T09:00:00"/>
    <d v="1899-12-30T18:00:00"/>
    <n v="8"/>
    <n v="0"/>
    <x v="0"/>
    <m/>
    <n v="4"/>
    <s v="L4"/>
    <s v="S. Swetha"/>
    <x v="2"/>
    <s v="Client Visit"/>
    <n v="28"/>
    <x v="0"/>
    <n v="45488"/>
    <n v="22000000"/>
    <s v="2500 Qualified Leads"/>
    <n v="590000"/>
    <s v="Medium"/>
    <s v="Lead Generation"/>
    <n v="0.41666666666666669"/>
    <n v="0.79166666666666663"/>
    <n v="8"/>
    <s v="Working Day"/>
    <x v="0"/>
  </r>
  <r>
    <s v="ATD00430"/>
    <d v="2025-01-17T00:00:00"/>
    <x v="2"/>
    <s v="Q1"/>
    <s v="Friday"/>
    <s v="EMP039"/>
    <s v="Employee 39"/>
    <x v="3"/>
    <s v="Accountant"/>
    <s v="Hyderabad"/>
    <s v="Flexible Shift"/>
    <m/>
    <m/>
    <m/>
    <m/>
    <x v="1"/>
    <s v="Earned Leave"/>
    <m/>
    <s v="L1"/>
    <s v="M. Mahesh"/>
    <x v="0"/>
    <m/>
    <n v="25"/>
    <x v="0"/>
    <n v="44666"/>
    <n v="26000000"/>
    <s v="100% Payroll Accuracy"/>
    <n v="640000"/>
    <s v="High"/>
    <s v="Financial Compliance"/>
    <n v="0.41666666666666669"/>
    <n v="0.79166666666666663"/>
    <n v="8"/>
    <s v="Working Day"/>
    <x v="0"/>
  </r>
  <r>
    <s v="ATD00431"/>
    <d v="2025-05-07T00:00:00"/>
    <x v="3"/>
    <s v="Q2"/>
    <s v="Wednesday"/>
    <s v="EMP042"/>
    <s v="Employee 42"/>
    <x v="0"/>
    <s v="Support Executive"/>
    <s v="Chennai"/>
    <s v="Night Shift"/>
    <d v="1899-12-30T22:00:00"/>
    <d v="1899-12-30T07:00:00"/>
    <n v="9.5"/>
    <n v="1.5"/>
    <x v="0"/>
    <m/>
    <n v="4"/>
    <s v="L4"/>
    <s v="V. Vinoth"/>
    <x v="3"/>
    <s v="Late Login"/>
    <n v="28"/>
    <x v="0"/>
    <n v="43296"/>
    <n v="24000000"/>
    <s v="90% Customer Satisfaction"/>
    <n v="520000"/>
    <s v="High"/>
    <s v="Customer Satisfaction"/>
    <n v="0.91666666666666663"/>
    <n v="0.29166666666666669"/>
    <n v="8"/>
    <s v="Working Day"/>
    <x v="0"/>
  </r>
  <r>
    <s v="ATD00432"/>
    <d v="2025-05-28T00:00:00"/>
    <x v="3"/>
    <s v="Q2"/>
    <s v="Wednesday"/>
    <s v="EMP015"/>
    <s v="Employee 15"/>
    <x v="2"/>
    <s v="Software Engineer"/>
    <s v="Madurai"/>
    <s v="Night Shift"/>
    <d v="1899-12-30T22:00:00"/>
    <d v="1899-12-30T07:00:00"/>
    <n v="9.5"/>
    <n v="1.5"/>
    <x v="0"/>
    <m/>
    <n v="5"/>
    <s v="L2"/>
    <s v="R. Karthikeyan"/>
    <x v="3"/>
    <s v="Late Login"/>
    <n v="37"/>
    <x v="1"/>
    <n v="43570"/>
    <n v="85000000"/>
    <s v="99.5% System Uptime"/>
    <n v="720000"/>
    <s v="High"/>
    <s v="Project Delivery"/>
    <n v="0.91666666666666663"/>
    <n v="0.29166666666666669"/>
    <n v="8"/>
    <s v="Working Day"/>
    <x v="0"/>
  </r>
  <r>
    <s v="ATD00433"/>
    <d v="2025-02-08T00:00:00"/>
    <x v="5"/>
    <s v="Q1"/>
    <s v="Saturday"/>
    <s v="EMP039"/>
    <s v="Employee 39"/>
    <x v="3"/>
    <s v="Accountant"/>
    <s v="Hyderabad"/>
    <s v="Night Shift"/>
    <d v="1899-12-30T22:00:00"/>
    <d v="1899-12-30T07:00:00"/>
    <n v="9.5"/>
    <n v="1.5"/>
    <x v="0"/>
    <m/>
    <n v="5"/>
    <s v="L3"/>
    <s v="M. Mahesh"/>
    <x v="3"/>
    <s v="Late Login"/>
    <n v="25"/>
    <x v="0"/>
    <n v="44666"/>
    <n v="26000000"/>
    <s v="100% Payroll Accuracy"/>
    <n v="640000"/>
    <s v="High"/>
    <s v="Financial Compliance"/>
    <n v="0.91666666666666663"/>
    <n v="0.29166666666666669"/>
    <n v="8"/>
    <s v="Working Day"/>
    <x v="0"/>
  </r>
  <r>
    <s v="ATD00434"/>
    <d v="2025-02-15T00:00:00"/>
    <x v="5"/>
    <s v="Q1"/>
    <s v="Saturday"/>
    <s v="EMP021"/>
    <s v="Employee 21"/>
    <x v="0"/>
    <s v="Support Executive"/>
    <s v="Coimbatore"/>
    <s v="Afternoon Shift"/>
    <m/>
    <m/>
    <m/>
    <m/>
    <x v="2"/>
    <m/>
    <m/>
    <s v="L3"/>
    <s v="V. Vinoth"/>
    <x v="0"/>
    <s v="Client Visit"/>
    <n v="25"/>
    <x v="1"/>
    <n v="43388"/>
    <n v="24000000"/>
    <s v="90% Customer Satisfaction"/>
    <n v="520000"/>
    <s v="High"/>
    <s v="Customer Satisfaction"/>
    <n v="0.58333333333333337"/>
    <n v="0.95833333333333337"/>
    <n v="8"/>
    <s v="Working Day"/>
    <x v="0"/>
  </r>
  <r>
    <s v="ATD00435"/>
    <d v="2025-04-11T00:00:00"/>
    <x v="1"/>
    <s v="Q2"/>
    <s v="Friday"/>
    <s v="EMP050"/>
    <s v="Employee 50"/>
    <x v="2"/>
    <s v="Software Engineer"/>
    <s v="Madurai"/>
    <s v="Afternoon Shift"/>
    <m/>
    <m/>
    <m/>
    <m/>
    <x v="2"/>
    <m/>
    <m/>
    <s v="L4"/>
    <s v="R. Karthikeyan"/>
    <x v="3"/>
    <s v="Work From Home"/>
    <n v="36"/>
    <x v="0"/>
    <n v="43539"/>
    <n v="85000000"/>
    <s v="99.5% System Uptime"/>
    <n v="720000"/>
    <s v="High"/>
    <s v="Project Delivery"/>
    <n v="0.58333333333333337"/>
    <n v="0.95833333333333337"/>
    <n v="8"/>
    <s v="Working Day"/>
    <x v="0"/>
  </r>
  <r>
    <s v="ATD00436"/>
    <d v="2025-04-14T00:00:00"/>
    <x v="1"/>
    <s v="Q2"/>
    <s v="Monday"/>
    <s v="EMP022"/>
    <s v="Employee 22"/>
    <x v="2"/>
    <s v="Software Engineer"/>
    <s v="Chennai"/>
    <s v="Flexible Shift"/>
    <d v="1899-12-30T09:00:00"/>
    <d v="1899-12-30T18:00:00"/>
    <n v="8.5"/>
    <n v="0.5"/>
    <x v="0"/>
    <m/>
    <n v="5"/>
    <s v="L2"/>
    <s v="R. Karthikeyan"/>
    <x v="2"/>
    <m/>
    <n v="26"/>
    <x v="0"/>
    <n v="43784"/>
    <n v="85000000"/>
    <s v="99.5% System Uptime"/>
    <n v="720000"/>
    <s v="High"/>
    <s v="Project Delivery"/>
    <n v="0.41666666666666669"/>
    <n v="0.79166666666666663"/>
    <n v="8"/>
    <s v="Tamil New Year"/>
    <x v="2"/>
  </r>
  <r>
    <s v="ATD00437"/>
    <d v="2025-02-07T00:00:00"/>
    <x v="5"/>
    <s v="Q1"/>
    <s v="Friday"/>
    <s v="EMP049"/>
    <s v="Employee 49"/>
    <x v="0"/>
    <s v="Support Executive"/>
    <s v="Hyderabad"/>
    <s v="Flexible Shift"/>
    <d v="1899-12-30T09:00:00"/>
    <d v="1899-12-30T18:00:00"/>
    <n v="8"/>
    <n v="0"/>
    <x v="0"/>
    <m/>
    <n v="4"/>
    <s v="L2"/>
    <s v="V. Vinoth"/>
    <x v="1"/>
    <s v="Client Visit"/>
    <n v="35"/>
    <x v="1"/>
    <n v="43146"/>
    <n v="24000000"/>
    <s v="90% Customer Satisfaction"/>
    <n v="520000"/>
    <s v="High"/>
    <s v="Customer Satisfaction"/>
    <n v="0.41666666666666669"/>
    <n v="0.79166666666666663"/>
    <n v="8"/>
    <s v="Working Day"/>
    <x v="0"/>
  </r>
  <r>
    <s v="ATD00438"/>
    <d v="2025-04-09T00:00:00"/>
    <x v="1"/>
    <s v="Q2"/>
    <s v="Wednesday"/>
    <s v="EMP011"/>
    <s v="Employee 11"/>
    <x v="3"/>
    <s v="Accountant"/>
    <s v="Coimbatore"/>
    <s v="Night Shift"/>
    <d v="1899-12-30T22:00:00"/>
    <d v="1899-12-30T07:00:00"/>
    <n v="9.5"/>
    <n v="1.5"/>
    <x v="0"/>
    <m/>
    <n v="4"/>
    <s v="L3"/>
    <s v="M. Mahesh"/>
    <x v="1"/>
    <s v="Late Login"/>
    <n v="33"/>
    <x v="1"/>
    <n v="44910"/>
    <n v="26000000"/>
    <s v="100% Payroll Accuracy"/>
    <n v="640000"/>
    <s v="High"/>
    <s v="Financial Compliance"/>
    <n v="0.91666666666666663"/>
    <n v="0.29166666666666669"/>
    <n v="8"/>
    <s v="Working Day"/>
    <x v="0"/>
  </r>
  <r>
    <s v="ATD00439"/>
    <d v="2025-01-25T00:00:00"/>
    <x v="2"/>
    <s v="Q1"/>
    <s v="Saturday"/>
    <s v="EMP011"/>
    <s v="Employee 11"/>
    <x v="3"/>
    <s v="Accountant"/>
    <s v="Coimbatore"/>
    <s v="Morning Shift"/>
    <d v="1899-12-30T09:00:00"/>
    <d v="1899-12-30T18:00:00"/>
    <n v="8"/>
    <n v="0"/>
    <x v="0"/>
    <m/>
    <n v="5"/>
    <s v="L1"/>
    <s v="M. Mahesh"/>
    <x v="0"/>
    <m/>
    <n v="33"/>
    <x v="1"/>
    <n v="44910"/>
    <n v="26000000"/>
    <s v="100% Payroll Accuracy"/>
    <n v="640000"/>
    <s v="High"/>
    <s v="Financial Compliance"/>
    <n v="0.25"/>
    <n v="0.625"/>
    <n v="8"/>
    <s v="Working Day"/>
    <x v="0"/>
  </r>
  <r>
    <s v="ATD00440"/>
    <d v="2025-03-19T00:00:00"/>
    <x v="4"/>
    <s v="Q1"/>
    <s v="Wednesday"/>
    <s v="EMP002"/>
    <s v="Employee 2"/>
    <x v="4"/>
    <s v="HR Executive"/>
    <s v="Chennai"/>
    <s v="Night Shift"/>
    <d v="1899-12-30T22:00:00"/>
    <d v="1899-12-30T07:00:00"/>
    <n v="10"/>
    <n v="2"/>
    <x v="0"/>
    <m/>
    <n v="4"/>
    <s v="L4"/>
    <s v="P. Priya"/>
    <x v="1"/>
    <s v="Late Login"/>
    <n v="24"/>
    <x v="0"/>
    <n v="43905"/>
    <n v="18000000"/>
    <s v="&lt;30 Days Hiring Cycle"/>
    <n v="560000"/>
    <s v="Medium"/>
    <s v="Hiring &amp; Retention"/>
    <n v="0.91666666666666663"/>
    <n v="0.29166666666666669"/>
    <n v="8"/>
    <s v="Working Day"/>
    <x v="0"/>
  </r>
  <r>
    <s v="ATD00441"/>
    <d v="2025-02-24T00:00:00"/>
    <x v="5"/>
    <s v="Q1"/>
    <s v="Monday"/>
    <s v="EMP026"/>
    <s v="Employee 26"/>
    <x v="1"/>
    <s v="Operations Executive"/>
    <s v="Coimbatore"/>
    <s v="Morning Shift"/>
    <d v="1899-12-30T09:00:00"/>
    <d v="1899-12-30T18:00:00"/>
    <n v="8"/>
    <n v="0"/>
    <x v="0"/>
    <m/>
    <n v="4"/>
    <s v="L1"/>
    <s v="D. Dinesh"/>
    <x v="1"/>
    <s v="Work From Home"/>
    <n v="30"/>
    <x v="0"/>
    <n v="45000"/>
    <n v="34000000"/>
    <s v="95% Process Efficiency"/>
    <n v="610000"/>
    <s v="High"/>
    <s v="Operational Efficiency"/>
    <n v="0.25"/>
    <n v="0.625"/>
    <n v="8"/>
    <s v="Working Day"/>
    <x v="0"/>
  </r>
  <r>
    <s v="ATD00442"/>
    <d v="2025-02-04T00:00:00"/>
    <x v="5"/>
    <s v="Q1"/>
    <s v="Tuesday"/>
    <s v="EMP016"/>
    <s v="Employee 16"/>
    <x v="4"/>
    <s v="HR Executive"/>
    <s v="Coimbatore"/>
    <s v="Flexible Shift"/>
    <d v="1899-12-30T09:00:00"/>
    <d v="1899-12-30T18:00:00"/>
    <n v="8"/>
    <n v="0"/>
    <x v="0"/>
    <m/>
    <n v="5"/>
    <s v="L1"/>
    <s v="P. Priya"/>
    <x v="3"/>
    <s v="Client Visit"/>
    <n v="38"/>
    <x v="0"/>
    <n v="43966"/>
    <n v="18000000"/>
    <s v="&lt;30 Days Hiring Cycle"/>
    <n v="560000"/>
    <s v="Medium"/>
    <s v="Hiring &amp; Retention"/>
    <n v="0.41666666666666669"/>
    <n v="0.79166666666666663"/>
    <n v="8"/>
    <s v="Working Day"/>
    <x v="0"/>
  </r>
  <r>
    <s v="ATD00443"/>
    <d v="2025-02-26T00:00:00"/>
    <x v="5"/>
    <s v="Q1"/>
    <s v="Wednesday"/>
    <s v="EMP025"/>
    <s v="Employee 25"/>
    <x v="3"/>
    <s v="Accountant"/>
    <s v="Madurai"/>
    <s v="Flexible Shift"/>
    <d v="1899-12-30T09:00:00"/>
    <d v="1899-12-30T18:00:00"/>
    <n v="8"/>
    <n v="0"/>
    <x v="0"/>
    <m/>
    <n v="4"/>
    <s v="L1"/>
    <s v="M. Mahesh"/>
    <x v="0"/>
    <s v="Late Login"/>
    <n v="29"/>
    <x v="0"/>
    <n v="44607"/>
    <n v="26000000"/>
    <s v="100% Payroll Accuracy"/>
    <n v="640000"/>
    <s v="High"/>
    <s v="Financial Compliance"/>
    <n v="0.41666666666666669"/>
    <n v="0.79166666666666663"/>
    <n v="8"/>
    <s v="Mahashivratri"/>
    <x v="3"/>
  </r>
  <r>
    <s v="ATD00444"/>
    <d v="2025-05-31T00:00:00"/>
    <x v="3"/>
    <s v="Q2"/>
    <s v="Saturday"/>
    <s v="EMP033"/>
    <s v="Employee 33"/>
    <x v="1"/>
    <s v="Operations Executive"/>
    <s v="Bengaluru"/>
    <s v="Night Shift"/>
    <d v="1899-12-30T22:00:00"/>
    <d v="1899-12-30T07:00:00"/>
    <n v="8.5"/>
    <n v="0.5"/>
    <x v="0"/>
    <m/>
    <n v="4"/>
    <s v="L1"/>
    <s v="D. Dinesh"/>
    <x v="1"/>
    <s v="Late Login"/>
    <n v="37"/>
    <x v="1"/>
    <n v="45214"/>
    <n v="34000000"/>
    <s v="95% Process Efficiency"/>
    <n v="610000"/>
    <s v="High"/>
    <s v="Operational Efficiency"/>
    <n v="0.91666666666666663"/>
    <n v="0.29166666666666669"/>
    <n v="8"/>
    <s v="Working Day"/>
    <x v="0"/>
  </r>
  <r>
    <s v="ATD00445"/>
    <d v="2025-02-19T00:00:00"/>
    <x v="5"/>
    <s v="Q1"/>
    <s v="Wednesday"/>
    <s v="EMP031"/>
    <s v="Employee 31"/>
    <x v="6"/>
    <s v="Sales Executive"/>
    <s v="Coimbatore"/>
    <s v="Flexible Shift"/>
    <d v="1899-12-30T09:00:00"/>
    <m/>
    <n v="8"/>
    <n v="0"/>
    <x v="0"/>
    <m/>
    <n v="5"/>
    <s v="L3"/>
    <s v="V. Vivek"/>
    <x v="0"/>
    <s v="Late Login"/>
    <n v="35"/>
    <x v="1"/>
    <n v="44423"/>
    <n v="42000000"/>
    <s v="₹2.5 Cr Monthly Sales"/>
    <n v="680000"/>
    <s v="High"/>
    <s v="Revenue Achievement"/>
    <n v="0.41666666666666669"/>
    <n v="0.79166666666666663"/>
    <n v="8"/>
    <s v="Working Day"/>
    <x v="0"/>
  </r>
  <r>
    <s v="ATD00446"/>
    <d v="2025-01-21T00:00:00"/>
    <x v="2"/>
    <s v="Q1"/>
    <s v="Tuesday"/>
    <s v="EMP047"/>
    <s v="Employee 47"/>
    <x v="1"/>
    <s v="Operations Executive"/>
    <s v="Chennai"/>
    <s v="Flexible Shift"/>
    <d v="1899-12-30T09:00:00"/>
    <d v="1899-12-30T18:00:00"/>
    <n v="8"/>
    <n v="0"/>
    <x v="0"/>
    <m/>
    <n v="4"/>
    <s v="L4"/>
    <s v="D. Dinesh"/>
    <x v="2"/>
    <s v="Late Login"/>
    <n v="33"/>
    <x v="1"/>
    <n v="45275"/>
    <n v="34000000"/>
    <s v="95% Process Efficiency"/>
    <n v="610000"/>
    <s v="High"/>
    <s v="Operational Efficiency"/>
    <n v="0.41666666666666669"/>
    <n v="0.79166666666666663"/>
    <n v="8"/>
    <s v="Working Day"/>
    <x v="0"/>
  </r>
  <r>
    <s v="ATD00447"/>
    <d v="2025-03-10T00:00:00"/>
    <x v="4"/>
    <s v="Q1"/>
    <s v="Monday"/>
    <s v="EMP007"/>
    <s v="Employee 7"/>
    <x v="0"/>
    <s v="Support Executive"/>
    <s v="Chennai"/>
    <s v="Flexible Shift"/>
    <d v="1899-12-30T09:00:00"/>
    <d v="1899-12-30T18:00:00"/>
    <n v="8"/>
    <n v="0"/>
    <x v="0"/>
    <m/>
    <m/>
    <s v="L4"/>
    <s v="V. Vinoth"/>
    <x v="0"/>
    <m/>
    <n v="29"/>
    <x v="1"/>
    <n v="43327"/>
    <n v="24000000"/>
    <s v="90% Customer Satisfaction"/>
    <n v="520000"/>
    <s v="High"/>
    <s v="Customer Satisfaction"/>
    <n v="0.41666666666666669"/>
    <n v="0.79166666666666663"/>
    <n v="8"/>
    <s v="Working Day"/>
    <x v="0"/>
  </r>
  <r>
    <s v="ATD00448"/>
    <d v="2025-02-25T00:00:00"/>
    <x v="5"/>
    <s v="Q1"/>
    <s v="Tuesday"/>
    <s v="EMP020"/>
    <s v="Employee 20"/>
    <x v="5"/>
    <s v="Marketing Executive"/>
    <s v="Madurai"/>
    <s v="General Shift"/>
    <d v="1899-12-30T09:00:00"/>
    <d v="1899-12-30T18:00:00"/>
    <n v="8"/>
    <n v="0"/>
    <x v="0"/>
    <m/>
    <m/>
    <s v="L2"/>
    <s v="S. Swetha"/>
    <x v="3"/>
    <s v="Late Login"/>
    <n v="24"/>
    <x v="1"/>
    <n v="45550"/>
    <n v="22000000"/>
    <s v="2500 Qualified Leads"/>
    <n v="590000"/>
    <s v="Medium"/>
    <s v="Lead Generation"/>
    <n v="0.375"/>
    <n v="0.75"/>
    <n v="8"/>
    <s v="Working Day"/>
    <x v="0"/>
  </r>
  <r>
    <s v="ATD00449"/>
    <d v="2025-04-23T00:00:00"/>
    <x v="1"/>
    <s v="Q2"/>
    <s v="Wednesday"/>
    <s v="EMP020"/>
    <s v="Employee 20"/>
    <x v="5"/>
    <s v="Marketing Executive"/>
    <s v="Madurai"/>
    <s v="Morning Shift"/>
    <d v="1899-12-30T09:00:00"/>
    <d v="1899-12-30T18:00:00"/>
    <n v="8"/>
    <n v="0"/>
    <x v="0"/>
    <m/>
    <m/>
    <s v="L1"/>
    <s v="S. Swetha"/>
    <x v="1"/>
    <s v="Work From Home"/>
    <n v="24"/>
    <x v="1"/>
    <n v="45550"/>
    <n v="22000000"/>
    <s v="2500 Qualified Leads"/>
    <n v="590000"/>
    <s v="Medium"/>
    <s v="Lead Generation"/>
    <n v="0.25"/>
    <n v="0.625"/>
    <n v="8"/>
    <s v="Working Day"/>
    <x v="0"/>
  </r>
  <r>
    <s v="ATD00450"/>
    <d v="2025-06-30T00:00:00"/>
    <x v="0"/>
    <s v="Q2"/>
    <s v="Monday"/>
    <s v="EMP034"/>
    <s v="Employee 34"/>
    <x v="5"/>
    <s v="Marketing Executive"/>
    <s v="Hyderabad"/>
    <s v="Night Shift"/>
    <d v="1899-12-30T22:00:00"/>
    <d v="1899-12-30T07:00:00"/>
    <n v="10"/>
    <n v="2"/>
    <x v="0"/>
    <m/>
    <n v="4"/>
    <s v="L2"/>
    <s v="S. Swetha"/>
    <x v="1"/>
    <s v="Work From Home"/>
    <n v="38"/>
    <x v="0"/>
    <n v="45611"/>
    <n v="22000000"/>
    <s v="2500 Qualified Leads"/>
    <n v="590000"/>
    <s v="Medium"/>
    <s v="Lead Generation"/>
    <n v="0.91666666666666663"/>
    <n v="0.29166666666666669"/>
    <n v="8"/>
    <s v="Working Day"/>
    <x v="0"/>
  </r>
  <r>
    <s v="ATD00451"/>
    <d v="2025-04-23T00:00:00"/>
    <x v="1"/>
    <s v="Q2"/>
    <s v="Wednesday"/>
    <s v="EMP023"/>
    <s v="Employee 23"/>
    <x v="4"/>
    <s v="HR Executive"/>
    <s v="Bengaluru"/>
    <s v="Night Shift"/>
    <d v="1899-12-30T22:00:00"/>
    <d v="1899-12-30T07:00:00"/>
    <n v="9"/>
    <n v="1"/>
    <x v="0"/>
    <m/>
    <n v="4"/>
    <s v="L2"/>
    <s v="P. Priya"/>
    <x v="1"/>
    <m/>
    <n v="27"/>
    <x v="1"/>
    <n v="44180"/>
    <n v="18000000"/>
    <s v="&lt;30 Days Hiring Cycle"/>
    <n v="560000"/>
    <s v="Medium"/>
    <s v="Hiring &amp; Retention"/>
    <n v="0.91666666666666663"/>
    <n v="0.29166666666666669"/>
    <n v="8"/>
    <s v="Working Day"/>
    <x v="0"/>
  </r>
  <r>
    <s v="ATD00452"/>
    <d v="2025-05-10T00:00:00"/>
    <x v="3"/>
    <s v="Q2"/>
    <s v="Saturday"/>
    <s v="EMP019"/>
    <s v="Employee 19"/>
    <x v="1"/>
    <s v="Operations Executive"/>
    <s v="Hyderabad"/>
    <s v="Morning Shift"/>
    <d v="1899-12-30T09:00:00"/>
    <d v="1899-12-30T18:00:00"/>
    <n v="8"/>
    <n v="0"/>
    <x v="0"/>
    <m/>
    <n v="5"/>
    <s v="L2"/>
    <s v="D. Dinesh"/>
    <x v="1"/>
    <s v="Client Visit"/>
    <n v="23"/>
    <x v="0"/>
    <n v="45153"/>
    <n v="34000000"/>
    <s v="95% Process Efficiency"/>
    <n v="610000"/>
    <s v="High"/>
    <s v="Operational Efficiency"/>
    <n v="0.25"/>
    <n v="0.625"/>
    <n v="8"/>
    <s v="Working Day"/>
    <x v="0"/>
  </r>
  <r>
    <s v="ATD00453"/>
    <d v="2025-04-08T00:00:00"/>
    <x v="1"/>
    <s v="Q2"/>
    <s v="Tuesday"/>
    <s v="EMP006"/>
    <s v="Employee 6"/>
    <x v="5"/>
    <s v="Marketing Executive"/>
    <s v="Coimbatore"/>
    <s v="Morning Shift"/>
    <d v="1899-12-30T09:00:00"/>
    <d v="1899-12-30T18:00:00"/>
    <n v="8"/>
    <n v="0"/>
    <x v="0"/>
    <m/>
    <n v="4"/>
    <s v="L3"/>
    <s v="S. Swetha"/>
    <x v="2"/>
    <m/>
    <n v="28"/>
    <x v="0"/>
    <n v="45488"/>
    <n v="22000000"/>
    <s v="2500 Qualified Leads"/>
    <n v="590000"/>
    <s v="Medium"/>
    <s v="Lead Generation"/>
    <n v="0.25"/>
    <n v="0.625"/>
    <n v="8"/>
    <s v="Working Day"/>
    <x v="0"/>
  </r>
  <r>
    <s v="ATD00454"/>
    <d v="2025-05-23T00:00:00"/>
    <x v="3"/>
    <s v="Q2"/>
    <s v="Friday"/>
    <s v="EMP004"/>
    <s v="Employee 4"/>
    <x v="3"/>
    <s v="Accountant"/>
    <s v="Hyderabad"/>
    <s v="Night Shift"/>
    <d v="1899-12-30T22:00:00"/>
    <d v="1899-12-30T07:00:00"/>
    <n v="10"/>
    <n v="2"/>
    <x v="0"/>
    <m/>
    <n v="3"/>
    <s v="L4"/>
    <s v="M. Mahesh"/>
    <x v="2"/>
    <s v="Client Visit"/>
    <n v="26"/>
    <x v="0"/>
    <n v="44696"/>
    <n v="26000000"/>
    <s v="100% Payroll Accuracy"/>
    <n v="640000"/>
    <s v="High"/>
    <s v="Financial Compliance"/>
    <n v="0.91666666666666663"/>
    <n v="0.29166666666666669"/>
    <n v="8"/>
    <s v="Working Day"/>
    <x v="0"/>
  </r>
  <r>
    <s v="ATD00455"/>
    <d v="2025-06-04T00:00:00"/>
    <x v="0"/>
    <s v="Q2"/>
    <s v="Wednesday"/>
    <s v="EMP019"/>
    <s v="Employee 19"/>
    <x v="1"/>
    <s v="Operations Executive"/>
    <s v="Hyderabad"/>
    <s v="Night Shift"/>
    <d v="1899-12-30T22:00:00"/>
    <d v="1899-12-30T07:00:00"/>
    <n v="8.5"/>
    <n v="0.5"/>
    <x v="0"/>
    <m/>
    <n v="3"/>
    <s v="L2"/>
    <s v="D. Dinesh"/>
    <x v="1"/>
    <s v="Work From Home"/>
    <n v="23"/>
    <x v="0"/>
    <n v="45153"/>
    <n v="34000000"/>
    <s v="95% Process Efficiency"/>
    <n v="610000"/>
    <s v="High"/>
    <s v="Operational Efficiency"/>
    <n v="0.91666666666666663"/>
    <n v="0.29166666666666669"/>
    <n v="8"/>
    <s v="Working Day"/>
    <x v="0"/>
  </r>
  <r>
    <s v="ATD00456"/>
    <d v="2025-06-14T00:00:00"/>
    <x v="0"/>
    <s v="Q2"/>
    <s v="Saturday"/>
    <s v="EMP011"/>
    <s v="Employee 11"/>
    <x v="3"/>
    <s v="Accountant"/>
    <s v="Coimbatore"/>
    <s v="Afternoon Shift"/>
    <d v="1899-12-30T09:00:00"/>
    <d v="1899-12-30T18:00:00"/>
    <n v="8"/>
    <n v="0"/>
    <x v="0"/>
    <m/>
    <n v="3"/>
    <s v="L2"/>
    <s v="M. Mahesh"/>
    <x v="2"/>
    <s v="Work From Home"/>
    <n v="33"/>
    <x v="1"/>
    <n v="44910"/>
    <n v="26000000"/>
    <s v="100% Payroll Accuracy"/>
    <n v="640000"/>
    <s v="High"/>
    <s v="Financial Compliance"/>
    <n v="0.58333333333333337"/>
    <n v="0.95833333333333337"/>
    <n v="8"/>
    <s v="Working Day"/>
    <x v="0"/>
  </r>
  <r>
    <s v="ATD00457"/>
    <d v="2025-05-06T00:00:00"/>
    <x v="3"/>
    <s v="Q2"/>
    <s v="Tuesday"/>
    <s v="EMP016"/>
    <s v="Employee 16"/>
    <x v="4"/>
    <s v="HR Executive"/>
    <s v="Coimbatore"/>
    <s v="Flexible Shift"/>
    <m/>
    <m/>
    <m/>
    <m/>
    <x v="2"/>
    <m/>
    <m/>
    <s v="L4"/>
    <s v="P. Priya"/>
    <x v="3"/>
    <s v="Work From Home"/>
    <n v="38"/>
    <x v="0"/>
    <n v="43966"/>
    <n v="18000000"/>
    <s v="&lt;30 Days Hiring Cycle"/>
    <n v="560000"/>
    <s v="Medium"/>
    <s v="Hiring &amp; Retention"/>
    <n v="0.41666666666666669"/>
    <n v="0.79166666666666663"/>
    <n v="8"/>
    <s v="Working Day"/>
    <x v="0"/>
  </r>
  <r>
    <s v="ATD00458"/>
    <d v="2025-04-30T00:00:00"/>
    <x v="1"/>
    <s v="Q2"/>
    <s v="Wednesday"/>
    <s v="EMP027"/>
    <s v="Employee 27"/>
    <x v="5"/>
    <s v="Marketing Executive"/>
    <s v="Chennai"/>
    <s v="Morning Shift"/>
    <d v="1899-12-30T09:00:00"/>
    <d v="1899-12-30T18:00:00"/>
    <n v="8"/>
    <n v="0"/>
    <x v="0"/>
    <m/>
    <m/>
    <s v="L4"/>
    <s v="S. Swetha"/>
    <x v="0"/>
    <s v="Late Login"/>
    <n v="31"/>
    <x v="1"/>
    <n v="45397"/>
    <n v="22000000"/>
    <s v="2500 Qualified Leads"/>
    <n v="590000"/>
    <s v="Medium"/>
    <s v="Lead Generation"/>
    <n v="0.25"/>
    <n v="0.625"/>
    <n v="8"/>
    <s v="Working Day"/>
    <x v="0"/>
  </r>
  <r>
    <s v="ATD00459"/>
    <d v="2025-03-01T00:00:00"/>
    <x v="4"/>
    <s v="Q1"/>
    <s v="Saturday"/>
    <s v="EMP037"/>
    <s v="Employee 37"/>
    <x v="4"/>
    <s v="HR Executive"/>
    <s v="Chennai"/>
    <s v="Night Shift"/>
    <m/>
    <d v="1899-12-30T07:00:00"/>
    <n v="9"/>
    <n v="1"/>
    <x v="0"/>
    <m/>
    <n v="4"/>
    <s v="L3"/>
    <s v="P. Priya"/>
    <x v="2"/>
    <m/>
    <n v="23"/>
    <x v="0"/>
    <n v="43876"/>
    <n v="18000000"/>
    <s v="&lt;30 Days Hiring Cycle"/>
    <n v="560000"/>
    <s v="Medium"/>
    <s v="Hiring &amp; Retention"/>
    <n v="0.91666666666666663"/>
    <n v="0.29166666666666669"/>
    <n v="8"/>
    <s v="Working Day"/>
    <x v="0"/>
  </r>
  <r>
    <s v="ATD00460"/>
    <d v="2025-03-24T00:00:00"/>
    <x v="4"/>
    <s v="Q1"/>
    <s v="Monday"/>
    <s v="EMP022"/>
    <s v="Employee 22"/>
    <x v="2"/>
    <s v="Software Engineer"/>
    <s v="Chennai"/>
    <s v="General Shift"/>
    <d v="1899-12-30T09:00:00"/>
    <d v="1899-12-30T18:00:00"/>
    <n v="9"/>
    <n v="1"/>
    <x v="0"/>
    <m/>
    <n v="3"/>
    <s v="L2"/>
    <s v="R. Karthikeyan"/>
    <x v="2"/>
    <s v="Client Visit"/>
    <n v="26"/>
    <x v="0"/>
    <n v="43784"/>
    <n v="85000000"/>
    <s v="99.5% System Uptime"/>
    <n v="720000"/>
    <s v="High"/>
    <s v="Project Delivery"/>
    <n v="0.375"/>
    <n v="0.75"/>
    <n v="8"/>
    <s v="Working Day"/>
    <x v="0"/>
  </r>
  <r>
    <s v="ATD00461"/>
    <d v="2025-05-19T00:00:00"/>
    <x v="3"/>
    <s v="Q2"/>
    <s v="Monday"/>
    <s v="EMP037"/>
    <s v="Employee 37"/>
    <x v="4"/>
    <s v="HR Executive"/>
    <s v="Chennai"/>
    <s v="General Shift"/>
    <d v="1899-12-30T09:00:00"/>
    <d v="1899-12-30T18:00:00"/>
    <n v="8"/>
    <n v="0"/>
    <x v="0"/>
    <m/>
    <n v="4"/>
    <s v="L2"/>
    <s v="P. Priya"/>
    <x v="0"/>
    <m/>
    <n v="23"/>
    <x v="0"/>
    <n v="43876"/>
    <n v="18000000"/>
    <s v="&lt;30 Days Hiring Cycle"/>
    <n v="560000"/>
    <s v="Medium"/>
    <s v="Hiring &amp; Retention"/>
    <n v="0.375"/>
    <n v="0.75"/>
    <n v="8"/>
    <s v="Working Day"/>
    <x v="0"/>
  </r>
  <r>
    <s v="ATD00462"/>
    <d v="2025-04-30T00:00:00"/>
    <x v="1"/>
    <s v="Q2"/>
    <s v="Wednesday"/>
    <s v="EMP020"/>
    <s v="Employee 20"/>
    <x v="5"/>
    <s v="Marketing Executive"/>
    <s v="Madurai"/>
    <s v="General Shift"/>
    <d v="1899-12-30T09:00:00"/>
    <d v="1899-12-30T18:00:00"/>
    <n v="8"/>
    <n v="0"/>
    <x v="0"/>
    <m/>
    <n v="5"/>
    <s v="L1"/>
    <s v="S. Swetha"/>
    <x v="1"/>
    <s v="Late Login"/>
    <n v="24"/>
    <x v="1"/>
    <n v="45550"/>
    <n v="22000000"/>
    <s v="2500 Qualified Leads"/>
    <n v="590000"/>
    <s v="Medium"/>
    <s v="Lead Generation"/>
    <n v="0.375"/>
    <n v="0.75"/>
    <n v="8"/>
    <s v="Working Day"/>
    <x v="0"/>
  </r>
  <r>
    <s v="ATD00463"/>
    <d v="2025-04-11T00:00:00"/>
    <x v="1"/>
    <s v="Q2"/>
    <s v="Friday"/>
    <s v="EMP023"/>
    <s v="Employee 23"/>
    <x v="4"/>
    <s v="HR Executive"/>
    <s v="Bengaluru"/>
    <s v="General Shift"/>
    <d v="1899-12-30T09:00:00"/>
    <d v="1899-12-30T18:00:00"/>
    <n v="8"/>
    <n v="0"/>
    <x v="0"/>
    <m/>
    <n v="3"/>
    <s v="L4"/>
    <s v="P. Priya"/>
    <x v="0"/>
    <s v="Late Login"/>
    <n v="27"/>
    <x v="1"/>
    <n v="44180"/>
    <n v="18000000"/>
    <s v="&lt;30 Days Hiring Cycle"/>
    <n v="560000"/>
    <s v="Medium"/>
    <s v="Hiring &amp; Retention"/>
    <n v="0.375"/>
    <n v="0.75"/>
    <n v="8"/>
    <s v="Working Day"/>
    <x v="0"/>
  </r>
  <r>
    <s v="ATD00464"/>
    <d v="2025-05-08T00:00:00"/>
    <x v="3"/>
    <s v="Q2"/>
    <s v="Thursday"/>
    <s v="EMP026"/>
    <s v="Employee 26"/>
    <x v="1"/>
    <s v="Operations Executive"/>
    <s v="Coimbatore"/>
    <s v="General Shift"/>
    <d v="1899-12-30T09:00:00"/>
    <d v="1899-12-30T18:00:00"/>
    <n v="8"/>
    <n v="0"/>
    <x v="0"/>
    <m/>
    <n v="4"/>
    <s v="L1"/>
    <s v="D. Dinesh"/>
    <x v="2"/>
    <m/>
    <n v="30"/>
    <x v="0"/>
    <n v="45000"/>
    <n v="34000000"/>
    <s v="95% Process Efficiency"/>
    <n v="610000"/>
    <s v="High"/>
    <s v="Operational Efficiency"/>
    <n v="0.375"/>
    <n v="0.75"/>
    <n v="8"/>
    <s v="Working Day"/>
    <x v="0"/>
  </r>
  <r>
    <s v="ATD00465"/>
    <d v="2025-03-04T00:00:00"/>
    <x v="4"/>
    <s v="Q1"/>
    <s v="Tuesday"/>
    <s v="EMP009"/>
    <s v="Employee 9"/>
    <x v="4"/>
    <s v="HR Executive"/>
    <s v="Hyderabad"/>
    <s v="Flexible Shift"/>
    <d v="1899-12-30T09:00:00"/>
    <d v="1899-12-30T18:00:00"/>
    <n v="8"/>
    <n v="0"/>
    <x v="0"/>
    <m/>
    <m/>
    <s v="L2"/>
    <s v="P. Priya"/>
    <x v="0"/>
    <s v="Client Visit"/>
    <n v="31"/>
    <x v="1"/>
    <n v="44119"/>
    <n v="18000000"/>
    <s v="&lt;30 Days Hiring Cycle"/>
    <n v="560000"/>
    <s v="Medium"/>
    <s v="Hiring &amp; Retention"/>
    <n v="0.41666666666666669"/>
    <n v="0.79166666666666663"/>
    <n v="8"/>
    <s v="Working Day"/>
    <x v="0"/>
  </r>
  <r>
    <s v="ATD00466"/>
    <d v="2025-04-18T00:00:00"/>
    <x v="1"/>
    <s v="Q2"/>
    <s v="Friday"/>
    <s v="EMP023"/>
    <s v="Employee 23"/>
    <x v="4"/>
    <s v="HR Executive"/>
    <s v="Bengaluru"/>
    <s v="Morning Shift"/>
    <d v="1899-12-30T09:00:00"/>
    <d v="1899-12-30T18:00:00"/>
    <n v="8"/>
    <n v="0"/>
    <x v="0"/>
    <m/>
    <n v="5"/>
    <s v="L4"/>
    <s v="P. Priya"/>
    <x v="1"/>
    <m/>
    <n v="27"/>
    <x v="1"/>
    <n v="44180"/>
    <n v="18000000"/>
    <s v="&lt;30 Days Hiring Cycle"/>
    <n v="560000"/>
    <s v="Medium"/>
    <s v="Hiring &amp; Retention"/>
    <n v="0.25"/>
    <n v="0.625"/>
    <n v="8"/>
    <s v="Good Friday"/>
    <x v="3"/>
  </r>
  <r>
    <s v="ATD00467"/>
    <d v="2025-05-29T00:00:00"/>
    <x v="3"/>
    <s v="Q2"/>
    <s v="Thursday"/>
    <s v="EMP003"/>
    <s v="Employee 3"/>
    <x v="6"/>
    <s v="Sales Executive"/>
    <s v="Bengaluru"/>
    <s v="General Shift"/>
    <d v="1899-12-30T09:35:00"/>
    <d v="1899-12-30T18:00:00"/>
    <n v="8"/>
    <n v="0"/>
    <x v="0"/>
    <m/>
    <n v="5"/>
    <s v="L3"/>
    <s v="V. Vivek"/>
    <x v="0"/>
    <s v="Work From Home"/>
    <n v="25"/>
    <x v="1"/>
    <n v="44301"/>
    <n v="42000000"/>
    <s v="₹2.5 Cr Monthly Sales"/>
    <n v="680000"/>
    <s v="High"/>
    <s v="Revenue Achievement"/>
    <n v="0.375"/>
    <n v="0.75"/>
    <n v="8"/>
    <s v="Working Day"/>
    <x v="0"/>
  </r>
  <r>
    <s v="ATD00468"/>
    <d v="2025-04-17T00:00:00"/>
    <x v="1"/>
    <s v="Q2"/>
    <s v="Thursday"/>
    <s v="EMP042"/>
    <s v="Employee 42"/>
    <x v="0"/>
    <s v="Support Executive"/>
    <s v="Chennai"/>
    <s v="Afternoon Shift"/>
    <d v="1899-12-30T09:00:00"/>
    <d v="1899-12-30T18:00:00"/>
    <n v="8"/>
    <n v="0"/>
    <x v="0"/>
    <m/>
    <n v="4"/>
    <s v="L4"/>
    <s v="V. Vinoth"/>
    <x v="2"/>
    <s v="Late Login"/>
    <n v="28"/>
    <x v="0"/>
    <n v="43296"/>
    <n v="24000000"/>
    <s v="90% Customer Satisfaction"/>
    <n v="520000"/>
    <s v="High"/>
    <s v="Customer Satisfaction"/>
    <n v="0.58333333333333337"/>
    <n v="0.95833333333333337"/>
    <n v="8"/>
    <s v="Working Day"/>
    <x v="0"/>
  </r>
  <r>
    <s v="ATD00469"/>
    <d v="2025-06-25T00:00:00"/>
    <x v="0"/>
    <s v="Q2"/>
    <s v="Wednesday"/>
    <s v="EMP050"/>
    <s v="Employee 50"/>
    <x v="2"/>
    <s v="Software Engineer"/>
    <s v="Madurai"/>
    <s v="Flexible Shift"/>
    <m/>
    <m/>
    <m/>
    <m/>
    <x v="1"/>
    <s v="Casual Leave"/>
    <m/>
    <s v="L2"/>
    <s v="R. Karthikeyan"/>
    <x v="0"/>
    <s v="Client Visit"/>
    <n v="36"/>
    <x v="0"/>
    <n v="43539"/>
    <n v="85000000"/>
    <s v="99.5% System Uptime"/>
    <n v="720000"/>
    <s v="High"/>
    <s v="Project Delivery"/>
    <n v="0.41666666666666669"/>
    <n v="0.79166666666666663"/>
    <n v="8"/>
    <s v="Working Day"/>
    <x v="0"/>
  </r>
  <r>
    <s v="ATD00470"/>
    <d v="2025-06-09T00:00:00"/>
    <x v="0"/>
    <s v="Q2"/>
    <s v="Monday"/>
    <s v="EMP046"/>
    <s v="Employee 46"/>
    <x v="3"/>
    <s v="Accountant"/>
    <s v="Coimbatore"/>
    <s v="Morning Shift"/>
    <d v="1899-12-30T09:00:00"/>
    <d v="1899-12-30T18:00:00"/>
    <n v="8"/>
    <n v="0"/>
    <x v="0"/>
    <m/>
    <n v="4"/>
    <s v="L3"/>
    <s v="M. Mahesh"/>
    <x v="3"/>
    <s v="Work From Home"/>
    <n v="32"/>
    <x v="0"/>
    <n v="44880"/>
    <n v="26000000"/>
    <s v="100% Payroll Accuracy"/>
    <n v="640000"/>
    <s v="High"/>
    <s v="Financial Compliance"/>
    <n v="0.25"/>
    <n v="0.625"/>
    <n v="8"/>
    <s v="Working Day"/>
    <x v="0"/>
  </r>
  <r>
    <s v="ATD00471"/>
    <d v="2025-03-23T00:00:00"/>
    <x v="4"/>
    <s v="Q1"/>
    <s v="Sunday"/>
    <s v="EMP032"/>
    <s v="Employee 32"/>
    <x v="3"/>
    <s v="Accountant"/>
    <s v="Chennai"/>
    <s v="General Shift"/>
    <d v="1899-12-30T09:00:00"/>
    <d v="1899-12-30T18:00:00"/>
    <n v="8"/>
    <n v="0"/>
    <x v="0"/>
    <m/>
    <n v="3"/>
    <s v="L2"/>
    <s v="M. Mahesh"/>
    <x v="0"/>
    <s v="Late Login"/>
    <n v="36"/>
    <x v="0"/>
    <n v="44819"/>
    <n v="26000000"/>
    <s v="100% Payroll Accuracy"/>
    <n v="640000"/>
    <s v="High"/>
    <s v="Financial Compliance"/>
    <n v="0.375"/>
    <n v="0.75"/>
    <n v="8"/>
    <s v="Working Day"/>
    <x v="0"/>
  </r>
  <r>
    <s v="ATD00472"/>
    <d v="2025-04-04T00:00:00"/>
    <x v="1"/>
    <s v="Q2"/>
    <s v="Friday"/>
    <s v="EMP013"/>
    <s v="Employee 13"/>
    <x v="5"/>
    <s v="Marketing Executive"/>
    <s v="Bengaluru"/>
    <s v="General Shift"/>
    <d v="1899-12-30T09:00:00"/>
    <d v="1899-12-30T18:00:00"/>
    <n v="8"/>
    <n v="0"/>
    <x v="0"/>
    <m/>
    <n v="4"/>
    <s v="L2"/>
    <s v="S. Swetha"/>
    <x v="0"/>
    <m/>
    <n v="35"/>
    <x v="1"/>
    <n v="45337"/>
    <n v="22000000"/>
    <s v="2500 Qualified Leads"/>
    <n v="590000"/>
    <s v="Medium"/>
    <s v="Lead Generation"/>
    <n v="0.375"/>
    <n v="0.75"/>
    <n v="8"/>
    <s v="Working Day"/>
    <x v="0"/>
  </r>
  <r>
    <s v="ATD00473"/>
    <d v="2025-05-08T00:00:00"/>
    <x v="3"/>
    <s v="Q2"/>
    <s v="Thursday"/>
    <s v="EMP050"/>
    <s v="Employee 50"/>
    <x v="2"/>
    <s v="Software Engineer"/>
    <s v="Madurai"/>
    <s v="Afternoon Shift"/>
    <d v="1899-12-30T09:00:00"/>
    <d v="1899-12-30T18:00:00"/>
    <n v="10"/>
    <n v="2"/>
    <x v="0"/>
    <m/>
    <n v="4"/>
    <s v="L2"/>
    <s v="R. Karthikeyan"/>
    <x v="0"/>
    <s v="Late Login"/>
    <n v="36"/>
    <x v="0"/>
    <n v="43539"/>
    <n v="85000000"/>
    <s v="99.5% System Uptime"/>
    <n v="720000"/>
    <s v="High"/>
    <s v="Project Delivery"/>
    <n v="0.58333333333333337"/>
    <n v="0.95833333333333337"/>
    <n v="8"/>
    <s v="Working Day"/>
    <x v="0"/>
  </r>
  <r>
    <s v="ATD00474"/>
    <d v="2025-03-03T00:00:00"/>
    <x v="4"/>
    <s v="Q1"/>
    <s v="Monday"/>
    <s v="EMP028"/>
    <s v="Employee 28"/>
    <x v="0"/>
    <s v="Support Executive"/>
    <s v="Bengaluru"/>
    <s v="Night Shift"/>
    <d v="1899-12-30T22:00:00"/>
    <d v="1899-12-30T07:00:00"/>
    <n v="8.5"/>
    <n v="0.5"/>
    <x v="0"/>
    <m/>
    <m/>
    <s v="L2"/>
    <s v="V. Vinoth"/>
    <x v="1"/>
    <s v="Client Visit"/>
    <n v="32"/>
    <x v="0"/>
    <n v="43235"/>
    <n v="24000000"/>
    <s v="90% Customer Satisfaction"/>
    <n v="520000"/>
    <s v="High"/>
    <s v="Customer Satisfaction"/>
    <n v="0.91666666666666663"/>
    <n v="0.29166666666666669"/>
    <n v="8"/>
    <s v="Working Day"/>
    <x v="0"/>
  </r>
  <r>
    <s v="ATD00475"/>
    <d v="2025-03-24T00:00:00"/>
    <x v="4"/>
    <s v="Q1"/>
    <s v="Monday"/>
    <s v="EMP035"/>
    <s v="Employee 35"/>
    <x v="0"/>
    <s v="Support Executive"/>
    <s v="Madurai"/>
    <s v="Flexible Shift"/>
    <d v="1899-12-30T09:00:00"/>
    <d v="1899-12-30T18:00:00"/>
    <n v="8"/>
    <n v="0"/>
    <x v="0"/>
    <m/>
    <n v="5"/>
    <s v="L4"/>
    <s v="V. Vinoth"/>
    <x v="0"/>
    <m/>
    <n v="39"/>
    <x v="1"/>
    <n v="43449"/>
    <n v="24000000"/>
    <s v="90% Customer Satisfaction"/>
    <n v="520000"/>
    <s v="High"/>
    <s v="Customer Satisfaction"/>
    <n v="0.41666666666666669"/>
    <n v="0.79166666666666663"/>
    <n v="8"/>
    <s v="Working Day"/>
    <x v="0"/>
  </r>
  <r>
    <s v="ATD00476"/>
    <d v="2025-01-06T00:00:00"/>
    <x v="2"/>
    <s v="Q1"/>
    <s v="Monday"/>
    <s v="EMP046"/>
    <s v="Employee 46"/>
    <x v="3"/>
    <s v="Accountant"/>
    <s v="Coimbatore"/>
    <s v="Night Shift"/>
    <d v="1899-12-30T22:00:00"/>
    <d v="1899-12-30T07:00:00"/>
    <n v="9.5"/>
    <n v="1.5"/>
    <x v="0"/>
    <m/>
    <n v="4"/>
    <s v="L1"/>
    <s v="M. Mahesh"/>
    <x v="3"/>
    <s v="Client Visit"/>
    <n v="32"/>
    <x v="0"/>
    <n v="44880"/>
    <n v="26000000"/>
    <s v="100% Payroll Accuracy"/>
    <n v="640000"/>
    <s v="High"/>
    <s v="Financial Compliance"/>
    <n v="0.91666666666666663"/>
    <n v="0.29166666666666669"/>
    <n v="8"/>
    <s v="Working Day"/>
    <x v="0"/>
  </r>
  <r>
    <s v="ATD00477"/>
    <d v="2025-04-06T00:00:00"/>
    <x v="1"/>
    <s v="Q2"/>
    <s v="Sunday"/>
    <s v="EMP036"/>
    <s v="Employee 36"/>
    <x v="2"/>
    <s v="Software Engineer"/>
    <s v="Coimbatore"/>
    <s v="General Shift"/>
    <d v="1899-12-30T09:00:00"/>
    <d v="1899-12-30T18:00:00"/>
    <n v="9"/>
    <n v="1"/>
    <x v="0"/>
    <m/>
    <n v="4"/>
    <s v="L3"/>
    <s v="R. Karthikeyan"/>
    <x v="3"/>
    <s v="Late Login"/>
    <n v="22"/>
    <x v="1"/>
    <n v="43480"/>
    <n v="85000000"/>
    <s v="99.5% System Uptime"/>
    <n v="720000"/>
    <s v="High"/>
    <s v="Project Delivery"/>
    <n v="0.375"/>
    <n v="0.75"/>
    <n v="8"/>
    <s v="Working Day"/>
    <x v="0"/>
  </r>
  <r>
    <s v="ATD00478"/>
    <d v="2025-03-11T00:00:00"/>
    <x v="4"/>
    <s v="Q1"/>
    <s v="Tuesday"/>
    <s v="EMP014"/>
    <s v="Employee 14"/>
    <x v="0"/>
    <s v="Support Executive"/>
    <s v="Hyderabad"/>
    <s v="Night Shift"/>
    <d v="1899-12-30T22:00:00"/>
    <d v="1899-12-30T07:00:00"/>
    <n v="10"/>
    <n v="2"/>
    <x v="0"/>
    <m/>
    <n v="4"/>
    <s v="L1"/>
    <s v="V. Vinoth"/>
    <x v="1"/>
    <s v="Work From Home"/>
    <n v="36"/>
    <x v="0"/>
    <n v="43174"/>
    <n v="24000000"/>
    <s v="90% Customer Satisfaction"/>
    <n v="520000"/>
    <s v="High"/>
    <s v="Customer Satisfaction"/>
    <n v="0.91666666666666663"/>
    <n v="0.29166666666666669"/>
    <n v="8"/>
    <s v="Working Day"/>
    <x v="0"/>
  </r>
  <r>
    <s v="ATD00479"/>
    <d v="2025-05-16T00:00:00"/>
    <x v="3"/>
    <s v="Q2"/>
    <s v="Friday"/>
    <s v="EMP031"/>
    <s v="Employee 31"/>
    <x v="6"/>
    <s v="Sales Executive"/>
    <s v="Coimbatore"/>
    <s v="Afternoon Shift"/>
    <d v="1899-12-30T09:00:00"/>
    <d v="1899-12-30T18:00:00"/>
    <n v="8"/>
    <n v="0"/>
    <x v="0"/>
    <m/>
    <n v="5"/>
    <s v="L4"/>
    <s v="V. Vivek"/>
    <x v="2"/>
    <m/>
    <n v="35"/>
    <x v="1"/>
    <n v="44423"/>
    <n v="42000000"/>
    <s v="₹2.5 Cr Monthly Sales"/>
    <n v="680000"/>
    <s v="High"/>
    <s v="Revenue Achievement"/>
    <n v="0.58333333333333337"/>
    <n v="0.95833333333333337"/>
    <n v="8"/>
    <s v="Working Day"/>
    <x v="0"/>
  </r>
  <r>
    <s v="ATD00480"/>
    <d v="2025-06-25T00:00:00"/>
    <x v="0"/>
    <s v="Q2"/>
    <s v="Wednesday"/>
    <s v="EMP002"/>
    <s v="Employee 2"/>
    <x v="4"/>
    <s v="HR Executive"/>
    <s v="Chennai"/>
    <s v="Flexible Shift"/>
    <m/>
    <m/>
    <m/>
    <m/>
    <x v="2"/>
    <m/>
    <m/>
    <s v="L1"/>
    <s v="P. Priya"/>
    <x v="2"/>
    <s v="Work From Home"/>
    <n v="24"/>
    <x v="0"/>
    <n v="43905"/>
    <n v="18000000"/>
    <s v="&lt;30 Days Hiring Cycle"/>
    <n v="560000"/>
    <s v="Medium"/>
    <s v="Hiring &amp; Retention"/>
    <n v="0.41666666666666669"/>
    <n v="0.79166666666666663"/>
    <n v="8"/>
    <s v="Working Day"/>
    <x v="0"/>
  </r>
  <r>
    <s v="ATD00481"/>
    <d v="2025-06-17T00:00:00"/>
    <x v="0"/>
    <s v="Q2"/>
    <s v="Tuesday"/>
    <s v="EMP037"/>
    <s v="Employee 37"/>
    <x v="4"/>
    <s v="HR Executive"/>
    <s v="Chennai"/>
    <s v="Night Shift"/>
    <d v="1899-12-30T22:00:00"/>
    <d v="1899-12-30T07:00:00"/>
    <n v="9"/>
    <n v="1"/>
    <x v="0"/>
    <m/>
    <n v="4"/>
    <s v="L3"/>
    <s v="P. Priya"/>
    <x v="3"/>
    <s v="Late Login"/>
    <n v="23"/>
    <x v="0"/>
    <n v="43876"/>
    <n v="18000000"/>
    <s v="&lt;30 Days Hiring Cycle"/>
    <n v="560000"/>
    <s v="Medium"/>
    <s v="Hiring &amp; Retention"/>
    <n v="0.91666666666666663"/>
    <n v="0.29166666666666669"/>
    <n v="8"/>
    <s v="Working Day"/>
    <x v="0"/>
  </r>
  <r>
    <s v="ATD00482"/>
    <d v="2025-06-26T00:00:00"/>
    <x v="0"/>
    <s v="Q2"/>
    <s v="Thursday"/>
    <s v="EMP032"/>
    <s v="Employee 32"/>
    <x v="3"/>
    <s v="Accountant"/>
    <s v="Chennai"/>
    <s v="Flexible Shift"/>
    <d v="1899-12-30T09:00:00"/>
    <d v="1899-12-30T18:00:00"/>
    <n v="8"/>
    <n v="0"/>
    <x v="0"/>
    <m/>
    <n v="4"/>
    <s v="L2"/>
    <s v="M. Mahesh"/>
    <x v="3"/>
    <m/>
    <n v="36"/>
    <x v="0"/>
    <n v="44819"/>
    <n v="26000000"/>
    <s v="100% Payroll Accuracy"/>
    <n v="640000"/>
    <s v="High"/>
    <s v="Financial Compliance"/>
    <n v="0.41666666666666669"/>
    <n v="0.79166666666666663"/>
    <n v="8"/>
    <s v="Working Day"/>
    <x v="0"/>
  </r>
  <r>
    <s v="ATD00483"/>
    <d v="2025-01-16T00:00:00"/>
    <x v="2"/>
    <s v="Q1"/>
    <s v="Thursday"/>
    <s v="EMP016"/>
    <s v="Employee 16"/>
    <x v="4"/>
    <s v="HR Executive"/>
    <s v="Coimbatore"/>
    <s v="General Shift"/>
    <d v="1899-12-30T09:00:00"/>
    <d v="1899-12-30T18:00:00"/>
    <n v="8"/>
    <n v="0"/>
    <x v="0"/>
    <m/>
    <n v="5"/>
    <s v="L1"/>
    <s v="P. Priya"/>
    <x v="0"/>
    <s v="Client Visit"/>
    <n v="38"/>
    <x v="0"/>
    <n v="43966"/>
    <n v="18000000"/>
    <s v="&lt;30 Days Hiring Cycle"/>
    <n v="560000"/>
    <s v="Medium"/>
    <s v="Hiring &amp; Retention"/>
    <n v="0.375"/>
    <n v="0.75"/>
    <n v="8"/>
    <s v="Working Day"/>
    <x v="0"/>
  </r>
  <r>
    <s v="ATD00484"/>
    <d v="2025-03-14T00:00:00"/>
    <x v="4"/>
    <s v="Q1"/>
    <s v="Friday"/>
    <s v="EMP006"/>
    <s v="Employee 6"/>
    <x v="5"/>
    <s v="Marketing Executive"/>
    <s v="Coimbatore"/>
    <s v="Morning Shift"/>
    <d v="1899-12-30T09:00:00"/>
    <d v="1899-12-30T18:00:00"/>
    <n v="8"/>
    <n v="0"/>
    <x v="0"/>
    <m/>
    <n v="4"/>
    <s v="L3"/>
    <s v="S. Swetha"/>
    <x v="2"/>
    <s v="Late Login"/>
    <n v="28"/>
    <x v="0"/>
    <n v="45488"/>
    <n v="22000000"/>
    <s v="2500 Qualified Leads"/>
    <n v="590000"/>
    <s v="Medium"/>
    <s v="Lead Generation"/>
    <n v="0.25"/>
    <n v="0.625"/>
    <n v="8"/>
    <s v="Working Day"/>
    <x v="0"/>
  </r>
  <r>
    <s v="ATD00485"/>
    <d v="2025-05-09T00:00:00"/>
    <x v="3"/>
    <s v="Q2"/>
    <s v="Friday"/>
    <s v="EMP039"/>
    <s v="Employee 39"/>
    <x v="3"/>
    <s v="Accountant"/>
    <s v="Hyderabad"/>
    <s v="Afternoon Shift"/>
    <d v="1899-12-30T09:00:00"/>
    <d v="1899-12-30T18:00:00"/>
    <n v="8"/>
    <n v="0"/>
    <x v="0"/>
    <m/>
    <n v="4"/>
    <s v="L3"/>
    <s v="M. Mahesh"/>
    <x v="1"/>
    <m/>
    <n v="25"/>
    <x v="0"/>
    <n v="44666"/>
    <n v="26000000"/>
    <s v="100% Payroll Accuracy"/>
    <n v="640000"/>
    <s v="High"/>
    <s v="Financial Compliance"/>
    <n v="0.58333333333333337"/>
    <n v="0.95833333333333337"/>
    <n v="8"/>
    <s v="Working Day"/>
    <x v="0"/>
  </r>
  <r>
    <s v="ATD00486"/>
    <d v="2025-01-06T00:00:00"/>
    <x v="2"/>
    <s v="Q1"/>
    <s v="Monday"/>
    <s v="EMP035"/>
    <s v="Employee 35"/>
    <x v="0"/>
    <s v="Support Executive"/>
    <s v="Madurai"/>
    <s v="General Shift"/>
    <d v="1899-12-30T09:00:00"/>
    <m/>
    <n v="8"/>
    <n v="0"/>
    <x v="0"/>
    <m/>
    <n v="3"/>
    <s v="L1"/>
    <s v="V. Vinoth"/>
    <x v="0"/>
    <s v="Client Visit"/>
    <n v="39"/>
    <x v="1"/>
    <n v="43449"/>
    <n v="24000000"/>
    <s v="90% Customer Satisfaction"/>
    <n v="520000"/>
    <s v="High"/>
    <s v="Customer Satisfaction"/>
    <n v="0.375"/>
    <n v="0.75"/>
    <n v="8"/>
    <s v="Working Day"/>
    <x v="0"/>
  </r>
  <r>
    <s v="ATD00487"/>
    <d v="2025-01-11T00:00:00"/>
    <x v="2"/>
    <s v="Q1"/>
    <s v="Saturday"/>
    <s v="EMP018"/>
    <s v="Employee 18"/>
    <x v="3"/>
    <s v="Accountant"/>
    <s v="Bengaluru"/>
    <s v="Night Shift"/>
    <d v="1899-12-30T22:00:00"/>
    <d v="1899-12-30T07:00:00"/>
    <n v="9"/>
    <n v="1"/>
    <x v="0"/>
    <m/>
    <n v="4"/>
    <s v="L3"/>
    <s v="M. Mahesh"/>
    <x v="0"/>
    <s v="Work From Home"/>
    <n v="22"/>
    <x v="1"/>
    <n v="44757"/>
    <n v="26000000"/>
    <s v="100% Payroll Accuracy"/>
    <n v="640000"/>
    <s v="High"/>
    <s v="Financial Compliance"/>
    <n v="0.91666666666666663"/>
    <n v="0.29166666666666669"/>
    <n v="8"/>
    <s v="Working Day"/>
    <x v="0"/>
  </r>
  <r>
    <s v="ATD00488"/>
    <d v="2025-05-11T00:00:00"/>
    <x v="3"/>
    <s v="Q2"/>
    <s v="Sunday"/>
    <s v="EMP042"/>
    <s v="Employee 42"/>
    <x v="0"/>
    <s v="Support Executive"/>
    <s v="Chennai"/>
    <s v="Afternoon Shift"/>
    <d v="1899-12-30T09:00:00"/>
    <d v="1899-12-30T18:00:00"/>
    <n v="8"/>
    <n v="0"/>
    <x v="0"/>
    <m/>
    <n v="3"/>
    <s v="L1"/>
    <s v="V. Vinoth"/>
    <x v="1"/>
    <s v="Client Visit"/>
    <n v="28"/>
    <x v="0"/>
    <n v="43296"/>
    <n v="24000000"/>
    <s v="90% Customer Satisfaction"/>
    <n v="520000"/>
    <s v="High"/>
    <s v="Customer Satisfaction"/>
    <n v="0.58333333333333337"/>
    <n v="0.95833333333333337"/>
    <n v="8"/>
    <s v="Working Day"/>
    <x v="0"/>
  </r>
  <r>
    <s v="ATD00489"/>
    <d v="2025-06-09T00:00:00"/>
    <x v="0"/>
    <s v="Q2"/>
    <s v="Monday"/>
    <s v="EMP017"/>
    <s v="Employee 17"/>
    <x v="6"/>
    <s v="Sales Executive"/>
    <s v="Chennai"/>
    <s v="Night Shift"/>
    <d v="1899-12-30T09:20:00"/>
    <d v="1899-12-30T07:00:00"/>
    <n v="10"/>
    <n v="2"/>
    <x v="0"/>
    <m/>
    <n v="4"/>
    <s v="L3"/>
    <s v="V. Vivek"/>
    <x v="0"/>
    <s v="Late Login"/>
    <n v="39"/>
    <x v="1"/>
    <n v="44362"/>
    <n v="42000000"/>
    <s v="₹2.5 Cr Monthly Sales"/>
    <n v="680000"/>
    <s v="High"/>
    <s v="Revenue Achievement"/>
    <n v="0.91666666666666663"/>
    <n v="0.29166666666666669"/>
    <n v="8"/>
    <s v="Working Day"/>
    <x v="0"/>
  </r>
  <r>
    <s v="ATD00490"/>
    <d v="2025-04-11T00:00:00"/>
    <x v="1"/>
    <s v="Q2"/>
    <s v="Friday"/>
    <s v="EMP031"/>
    <s v="Employee 31"/>
    <x v="6"/>
    <s v="Sales Executive"/>
    <s v="Coimbatore"/>
    <s v="Night Shift"/>
    <d v="1899-12-30T09:35:00"/>
    <d v="1899-12-30T07:00:00"/>
    <n v="10"/>
    <n v="2"/>
    <x v="0"/>
    <m/>
    <n v="4"/>
    <s v="L1"/>
    <s v="V. Vivek"/>
    <x v="0"/>
    <m/>
    <n v="35"/>
    <x v="1"/>
    <n v="44423"/>
    <n v="42000000"/>
    <s v="₹2.5 Cr Monthly Sales"/>
    <n v="680000"/>
    <s v="High"/>
    <s v="Revenue Achievement"/>
    <n v="0.91666666666666663"/>
    <n v="0.29166666666666669"/>
    <n v="8"/>
    <s v="Working Day"/>
    <x v="0"/>
  </r>
  <r>
    <s v="ATD00491"/>
    <d v="2025-01-11T00:00:00"/>
    <x v="2"/>
    <s v="Q1"/>
    <s v="Saturday"/>
    <s v="EMP035"/>
    <s v="Employee 35"/>
    <x v="0"/>
    <s v="Support Executive"/>
    <s v="Madurai"/>
    <s v="General Shift"/>
    <d v="1899-12-30T09:00:00"/>
    <d v="1899-12-30T18:00:00"/>
    <n v="8"/>
    <n v="0"/>
    <x v="0"/>
    <m/>
    <m/>
    <s v="L3"/>
    <s v="V. Vinoth"/>
    <x v="0"/>
    <s v="Client Visit"/>
    <n v="39"/>
    <x v="1"/>
    <n v="43449"/>
    <n v="24000000"/>
    <s v="90% Customer Satisfaction"/>
    <n v="520000"/>
    <s v="High"/>
    <s v="Customer Satisfaction"/>
    <n v="0.375"/>
    <n v="0.75"/>
    <n v="8"/>
    <s v="Working Day"/>
    <x v="0"/>
  </r>
  <r>
    <s v="ATD00492"/>
    <d v="2025-01-18T00:00:00"/>
    <x v="2"/>
    <s v="Q1"/>
    <s v="Saturday"/>
    <s v="EMP006"/>
    <s v="Employee 6"/>
    <x v="5"/>
    <s v="Marketing Executive"/>
    <s v="Coimbatore"/>
    <s v="General Shift"/>
    <d v="1899-12-30T09:00:00"/>
    <d v="1899-12-30T18:00:00"/>
    <n v="8"/>
    <n v="0"/>
    <x v="0"/>
    <m/>
    <n v="4"/>
    <s v="L2"/>
    <s v="S. Swetha"/>
    <x v="1"/>
    <s v="Work From Home"/>
    <n v="28"/>
    <x v="0"/>
    <n v="45488"/>
    <n v="22000000"/>
    <s v="2500 Qualified Leads"/>
    <n v="590000"/>
    <s v="Medium"/>
    <s v="Lead Generation"/>
    <n v="0.375"/>
    <n v="0.75"/>
    <n v="8"/>
    <s v="Working Day"/>
    <x v="0"/>
  </r>
  <r>
    <s v="ATD00493"/>
    <d v="2025-04-12T00:00:00"/>
    <x v="1"/>
    <s v="Q2"/>
    <s v="Saturday"/>
    <s v="EMP035"/>
    <s v="Employee 35"/>
    <x v="0"/>
    <s v="Support Executive"/>
    <s v="Madurai"/>
    <s v="General Shift"/>
    <d v="1899-12-30T09:00:00"/>
    <d v="1899-12-30T18:00:00"/>
    <n v="8"/>
    <n v="0"/>
    <x v="0"/>
    <m/>
    <n v="4"/>
    <s v="L4"/>
    <s v="V. Vinoth"/>
    <x v="1"/>
    <s v="Late Login"/>
    <n v="39"/>
    <x v="1"/>
    <n v="43449"/>
    <n v="24000000"/>
    <s v="90% Customer Satisfaction"/>
    <n v="520000"/>
    <s v="High"/>
    <s v="Customer Satisfaction"/>
    <n v="0.375"/>
    <n v="0.75"/>
    <n v="8"/>
    <s v="Working Day"/>
    <x v="0"/>
  </r>
  <r>
    <s v="ATD00494"/>
    <d v="2025-03-06T00:00:00"/>
    <x v="4"/>
    <s v="Q1"/>
    <s v="Thursday"/>
    <s v="EMP022"/>
    <s v="Employee 22"/>
    <x v="2"/>
    <s v="Software Engineer"/>
    <s v="Chennai"/>
    <s v="Flexible Shift"/>
    <d v="1899-12-30T09:00:00"/>
    <d v="1899-12-30T18:00:00"/>
    <n v="8"/>
    <n v="0"/>
    <x v="0"/>
    <m/>
    <m/>
    <s v="L2"/>
    <s v="R. Karthikeyan"/>
    <x v="0"/>
    <m/>
    <n v="26"/>
    <x v="0"/>
    <n v="43784"/>
    <n v="85000000"/>
    <s v="99.5% System Uptime"/>
    <n v="720000"/>
    <s v="High"/>
    <s v="Project Delivery"/>
    <n v="0.41666666666666669"/>
    <n v="0.79166666666666663"/>
    <n v="8"/>
    <s v="Working Day"/>
    <x v="0"/>
  </r>
  <r>
    <s v="ATD00495"/>
    <d v="2025-04-14T00:00:00"/>
    <x v="1"/>
    <s v="Q2"/>
    <s v="Monday"/>
    <s v="EMP019"/>
    <s v="Employee 19"/>
    <x v="1"/>
    <s v="Operations Executive"/>
    <s v="Hyderabad"/>
    <s v="Afternoon Shift"/>
    <m/>
    <m/>
    <m/>
    <m/>
    <x v="2"/>
    <m/>
    <m/>
    <s v="L4"/>
    <s v="D. Dinesh"/>
    <x v="0"/>
    <s v="Late Login"/>
    <n v="23"/>
    <x v="0"/>
    <n v="45153"/>
    <n v="34000000"/>
    <s v="95% Process Efficiency"/>
    <n v="610000"/>
    <s v="High"/>
    <s v="Operational Efficiency"/>
    <n v="0.58333333333333337"/>
    <n v="0.95833333333333337"/>
    <n v="8"/>
    <s v="Tamil New Year"/>
    <x v="2"/>
  </r>
  <r>
    <s v="ATD00496"/>
    <d v="2025-04-26T00:00:00"/>
    <x v="1"/>
    <s v="Q2"/>
    <s v="Saturday"/>
    <s v="EMP032"/>
    <s v="Employee 32"/>
    <x v="3"/>
    <s v="Accountant"/>
    <s v="Chennai"/>
    <s v="Night Shift"/>
    <d v="1899-12-30T22:00:00"/>
    <d v="1899-12-30T07:00:00"/>
    <n v="8.5"/>
    <n v="0.5"/>
    <x v="0"/>
    <m/>
    <n v="5"/>
    <s v="L2"/>
    <s v="M. Mahesh"/>
    <x v="0"/>
    <s v="Work From Home"/>
    <n v="36"/>
    <x v="0"/>
    <n v="44819"/>
    <n v="26000000"/>
    <s v="100% Payroll Accuracy"/>
    <n v="640000"/>
    <s v="High"/>
    <s v="Financial Compliance"/>
    <n v="0.91666666666666663"/>
    <n v="0.29166666666666669"/>
    <n v="8"/>
    <s v="Working Day"/>
    <x v="0"/>
  </r>
  <r>
    <s v="ATD00497"/>
    <d v="2025-06-15T00:00:00"/>
    <x v="0"/>
    <s v="Q2"/>
    <s v="Sunday"/>
    <s v="EMP035"/>
    <s v="Employee 35"/>
    <x v="0"/>
    <s v="Support Executive"/>
    <s v="Madurai"/>
    <s v="Night Shift"/>
    <m/>
    <m/>
    <m/>
    <m/>
    <x v="1"/>
    <m/>
    <m/>
    <s v="L4"/>
    <s v="V. Vinoth"/>
    <x v="2"/>
    <s v="Late Login"/>
    <n v="39"/>
    <x v="1"/>
    <n v="43449"/>
    <n v="24000000"/>
    <s v="90% Customer Satisfaction"/>
    <n v="520000"/>
    <s v="High"/>
    <s v="Customer Satisfaction"/>
    <n v="0.91666666666666663"/>
    <n v="0.29166666666666669"/>
    <n v="8"/>
    <s v="Working Day"/>
    <x v="0"/>
  </r>
  <r>
    <s v="ATD00498"/>
    <d v="2025-02-25T00:00:00"/>
    <x v="5"/>
    <s v="Q1"/>
    <s v="Tuesday"/>
    <s v="EMP027"/>
    <s v="Employee 27"/>
    <x v="5"/>
    <s v="Marketing Executive"/>
    <s v="Chennai"/>
    <s v="Night Shift"/>
    <d v="1899-12-30T22:00:00"/>
    <d v="1899-12-30T07:00:00"/>
    <n v="8.5"/>
    <n v="0.5"/>
    <x v="0"/>
    <m/>
    <n v="4"/>
    <s v="L2"/>
    <s v="S. Swetha"/>
    <x v="0"/>
    <s v="Late Login"/>
    <n v="31"/>
    <x v="1"/>
    <n v="45397"/>
    <n v="22000000"/>
    <s v="2500 Qualified Leads"/>
    <n v="590000"/>
    <s v="Medium"/>
    <s v="Lead Generation"/>
    <n v="0.91666666666666663"/>
    <n v="0.29166666666666669"/>
    <n v="8"/>
    <s v="Working Day"/>
    <x v="0"/>
  </r>
  <r>
    <s v="ATD00499"/>
    <d v="2025-06-27T00:00:00"/>
    <x v="0"/>
    <s v="Q2"/>
    <s v="Friday"/>
    <s v="EMP028"/>
    <s v="Employee 28"/>
    <x v="0"/>
    <s v="Support Executive"/>
    <s v="Bengaluru"/>
    <s v="Flexible Shift"/>
    <d v="1899-12-30T09:00:00"/>
    <d v="1899-12-30T18:00:00"/>
    <n v="8"/>
    <n v="0"/>
    <x v="0"/>
    <m/>
    <m/>
    <s v="L3"/>
    <s v="V. Vinoth"/>
    <x v="3"/>
    <m/>
    <n v="32"/>
    <x v="0"/>
    <n v="43235"/>
    <n v="24000000"/>
    <s v="90% Customer Satisfaction"/>
    <n v="520000"/>
    <s v="High"/>
    <s v="Customer Satisfaction"/>
    <n v="0.41666666666666669"/>
    <n v="0.79166666666666663"/>
    <n v="8"/>
    <s v="Working Day"/>
    <x v="0"/>
  </r>
  <r>
    <s v="ATD00500"/>
    <d v="2025-04-16T00:00:00"/>
    <x v="1"/>
    <s v="Q2"/>
    <s v="Wednesday"/>
    <s v="EMP048"/>
    <s v="Employee 48"/>
    <x v="5"/>
    <s v="Marketing Executive"/>
    <s v="Bengaluru"/>
    <s v="Morning Shift"/>
    <m/>
    <d v="1899-12-30T18:00:00"/>
    <n v="8"/>
    <n v="0"/>
    <x v="0"/>
    <m/>
    <n v="4"/>
    <s v="L2"/>
    <s v="S. Swetha"/>
    <x v="0"/>
    <s v="Late Login"/>
    <n v="34"/>
    <x v="0"/>
    <n v="45306"/>
    <n v="22000000"/>
    <s v="2500 Qualified Leads"/>
    <n v="590000"/>
    <s v="Medium"/>
    <s v="Lead Generation"/>
    <n v="0.25"/>
    <n v="0.625"/>
    <n v="8"/>
    <s v="Working Day"/>
    <x v="0"/>
  </r>
  <r>
    <s v="ATD00501"/>
    <d v="2025-03-30T00:00:00"/>
    <x v="4"/>
    <s v="Q1"/>
    <s v="Sunday"/>
    <s v="EMP018"/>
    <s v="Employee 18"/>
    <x v="3"/>
    <s v="Accountant"/>
    <s v="Bengaluru"/>
    <s v="Afternoon Shift"/>
    <d v="1899-12-30T09:00:00"/>
    <d v="1899-12-30T18:00:00"/>
    <n v="8"/>
    <n v="0"/>
    <x v="0"/>
    <m/>
    <n v="3"/>
    <s v="L1"/>
    <s v="M. Mahesh"/>
    <x v="3"/>
    <s v="Late Login"/>
    <n v="22"/>
    <x v="1"/>
    <n v="44757"/>
    <n v="26000000"/>
    <s v="100% Payroll Accuracy"/>
    <n v="640000"/>
    <s v="High"/>
    <s v="Financial Compliance"/>
    <n v="0.58333333333333337"/>
    <n v="0.95833333333333337"/>
    <n v="8"/>
    <s v="Working Day"/>
    <x v="0"/>
  </r>
  <r>
    <s v="ATD00502"/>
    <d v="2025-01-25T00:00:00"/>
    <x v="2"/>
    <s v="Q1"/>
    <s v="Saturday"/>
    <s v="EMP023"/>
    <s v="Employee 23"/>
    <x v="4"/>
    <s v="HR Executive"/>
    <s v="Bengaluru"/>
    <s v="General Shift"/>
    <d v="1899-12-30T09:00:00"/>
    <d v="1899-12-30T18:00:00"/>
    <n v="8"/>
    <n v="0"/>
    <x v="0"/>
    <m/>
    <n v="4"/>
    <s v="L1"/>
    <s v="P. Priya"/>
    <x v="0"/>
    <s v="Client Visit"/>
    <n v="27"/>
    <x v="1"/>
    <n v="44180"/>
    <n v="18000000"/>
    <s v="&lt;30 Days Hiring Cycle"/>
    <n v="560000"/>
    <s v="Medium"/>
    <s v="Hiring &amp; Retention"/>
    <n v="0.375"/>
    <n v="0.75"/>
    <n v="8"/>
    <s v="Working Day"/>
    <x v="0"/>
  </r>
  <r>
    <s v="ATD00503"/>
    <d v="2025-03-23T00:00:00"/>
    <x v="4"/>
    <s v="Q1"/>
    <s v="Sunday"/>
    <s v="EMP023"/>
    <s v="Employee 23"/>
    <x v="4"/>
    <s v="HR Executive"/>
    <s v="Bengaluru"/>
    <s v="Flexible Shift"/>
    <d v="1899-12-30T09:00:00"/>
    <d v="1899-12-30T18:00:00"/>
    <n v="8"/>
    <n v="0"/>
    <x v="0"/>
    <m/>
    <n v="3"/>
    <s v="L2"/>
    <s v="P. Priya"/>
    <x v="3"/>
    <m/>
    <n v="27"/>
    <x v="1"/>
    <n v="44180"/>
    <n v="18000000"/>
    <s v="&lt;30 Days Hiring Cycle"/>
    <n v="560000"/>
    <s v="Medium"/>
    <s v="Hiring &amp; Retention"/>
    <n v="0.41666666666666669"/>
    <n v="0.79166666666666663"/>
    <n v="8"/>
    <s v="Working Day"/>
    <x v="0"/>
  </r>
  <r>
    <s v="ATD00504"/>
    <d v="2025-04-25T00:00:00"/>
    <x v="1"/>
    <s v="Q2"/>
    <s v="Friday"/>
    <s v="EMP027"/>
    <s v="Employee 27"/>
    <x v="5"/>
    <s v="Marketing Executive"/>
    <s v="Chennai"/>
    <s v="Afternoon Shift"/>
    <d v="1899-12-30T09:00:00"/>
    <m/>
    <n v="8"/>
    <n v="0"/>
    <x v="0"/>
    <m/>
    <n v="4"/>
    <s v="L1"/>
    <s v="S. Swetha"/>
    <x v="3"/>
    <s v="Late Login"/>
    <n v="31"/>
    <x v="1"/>
    <n v="45397"/>
    <n v="22000000"/>
    <s v="2500 Qualified Leads"/>
    <n v="590000"/>
    <s v="Medium"/>
    <s v="Lead Generation"/>
    <n v="0.58333333333333337"/>
    <n v="0.95833333333333337"/>
    <n v="8"/>
    <s v="Working Day"/>
    <x v="0"/>
  </r>
  <r>
    <s v="ATD00505"/>
    <d v="2025-04-26T00:00:00"/>
    <x v="1"/>
    <s v="Q2"/>
    <s v="Saturday"/>
    <s v="EMP024"/>
    <s v="Employee 24"/>
    <x v="6"/>
    <s v="Sales Executive"/>
    <s v="Hyderabad"/>
    <s v="Morning Shift"/>
    <m/>
    <d v="1899-12-30T18:00:00"/>
    <n v="8"/>
    <n v="0"/>
    <x v="0"/>
    <m/>
    <n v="5"/>
    <s v="L3"/>
    <s v="V. Vivek"/>
    <x v="2"/>
    <s v="Work From Home"/>
    <n v="28"/>
    <x v="1"/>
    <n v="44211"/>
    <n v="42000000"/>
    <s v="₹2.5 Cr Monthly Sales"/>
    <n v="680000"/>
    <s v="High"/>
    <s v="Revenue Achievement"/>
    <n v="0.25"/>
    <n v="0.625"/>
    <n v="8"/>
    <s v="Working Day"/>
    <x v="0"/>
  </r>
  <r>
    <s v="ATD00506"/>
    <d v="2025-01-12T00:00:00"/>
    <x v="2"/>
    <s v="Q1"/>
    <s v="Sunday"/>
    <s v="EMP030"/>
    <s v="Employee 30"/>
    <x v="4"/>
    <s v="HR Executive"/>
    <s v="Madurai"/>
    <s v="Morning Shift"/>
    <d v="1899-12-30T09:00:00"/>
    <d v="1899-12-30T18:00:00"/>
    <n v="8"/>
    <n v="0"/>
    <x v="0"/>
    <m/>
    <n v="5"/>
    <s v="L4"/>
    <s v="P. Priya"/>
    <x v="0"/>
    <s v="Late Login"/>
    <n v="34"/>
    <x v="0"/>
    <n v="44027"/>
    <n v="18000000"/>
    <s v="&lt;30 Days Hiring Cycle"/>
    <n v="560000"/>
    <s v="Medium"/>
    <s v="Hiring &amp; Retention"/>
    <n v="0.25"/>
    <n v="0.625"/>
    <n v="8"/>
    <s v="Working Day"/>
    <x v="0"/>
  </r>
  <r>
    <s v="ATD00507"/>
    <d v="2025-01-14T00:00:00"/>
    <x v="2"/>
    <s v="Q1"/>
    <s v="Tuesday"/>
    <s v="EMP043"/>
    <s v="Employee 43"/>
    <x v="2"/>
    <s v="Software Engineer"/>
    <s v="Bengaluru"/>
    <s v="Night Shift"/>
    <m/>
    <m/>
    <m/>
    <m/>
    <x v="2"/>
    <m/>
    <m/>
    <s v="L3"/>
    <s v="R. Karthikeyan"/>
    <x v="0"/>
    <s v="Late Login"/>
    <n v="29"/>
    <x v="1"/>
    <n v="43692"/>
    <n v="85000000"/>
    <s v="99.5% System Uptime"/>
    <n v="720000"/>
    <s v="High"/>
    <s v="Project Delivery"/>
    <n v="0.91666666666666663"/>
    <n v="0.29166666666666669"/>
    <n v="8"/>
    <s v="Pongal"/>
    <x v="2"/>
  </r>
  <r>
    <s v="ATD00508"/>
    <d v="2025-04-12T00:00:00"/>
    <x v="1"/>
    <s v="Q2"/>
    <s v="Saturday"/>
    <s v="EMP004"/>
    <s v="Employee 4"/>
    <x v="3"/>
    <s v="Accountant"/>
    <s v="Hyderabad"/>
    <s v="Night Shift"/>
    <d v="1899-12-30T22:00:00"/>
    <d v="1899-12-30T07:00:00"/>
    <n v="10"/>
    <n v="2"/>
    <x v="0"/>
    <m/>
    <m/>
    <s v="L4"/>
    <s v="M. Mahesh"/>
    <x v="3"/>
    <s v="Late Login"/>
    <n v="26"/>
    <x v="0"/>
    <n v="44696"/>
    <n v="26000000"/>
    <s v="100% Payroll Accuracy"/>
    <n v="640000"/>
    <s v="High"/>
    <s v="Financial Compliance"/>
    <n v="0.91666666666666663"/>
    <n v="0.29166666666666669"/>
    <n v="8"/>
    <s v="Working Day"/>
    <x v="0"/>
  </r>
  <r>
    <s v="ATD00509"/>
    <d v="2025-02-19T00:00:00"/>
    <x v="5"/>
    <s v="Q1"/>
    <s v="Wednesday"/>
    <s v="EMP003"/>
    <s v="Employee 3"/>
    <x v="6"/>
    <s v="Sales Executive"/>
    <s v="Bengaluru"/>
    <s v="Flexible Shift"/>
    <d v="1899-12-30T09:00:00"/>
    <d v="1899-12-30T18:00:00"/>
    <n v="8"/>
    <n v="0"/>
    <x v="0"/>
    <m/>
    <n v="5"/>
    <s v="L4"/>
    <s v="V. Vivek"/>
    <x v="0"/>
    <s v="Work From Home"/>
    <n v="25"/>
    <x v="1"/>
    <n v="44301"/>
    <n v="42000000"/>
    <s v="₹2.5 Cr Monthly Sales"/>
    <n v="680000"/>
    <s v="High"/>
    <s v="Revenue Achievement"/>
    <n v="0.41666666666666669"/>
    <n v="0.79166666666666663"/>
    <n v="8"/>
    <s v="Working Day"/>
    <x v="0"/>
  </r>
  <r>
    <s v="ATD00510"/>
    <d v="2025-06-14T00:00:00"/>
    <x v="0"/>
    <s v="Q2"/>
    <s v="Saturday"/>
    <s v="EMP020"/>
    <s v="Employee 20"/>
    <x v="5"/>
    <s v="Marketing Executive"/>
    <s v="Madurai"/>
    <s v="Morning Shift"/>
    <d v="1899-12-30T09:00:00"/>
    <d v="1899-12-30T18:00:00"/>
    <n v="8"/>
    <n v="0"/>
    <x v="0"/>
    <m/>
    <m/>
    <s v="L2"/>
    <s v="S. Swetha"/>
    <x v="3"/>
    <s v="Client Visit"/>
    <n v="24"/>
    <x v="1"/>
    <n v="45550"/>
    <n v="22000000"/>
    <s v="2500 Qualified Leads"/>
    <n v="590000"/>
    <s v="Medium"/>
    <s v="Lead Generation"/>
    <n v="0.25"/>
    <n v="0.625"/>
    <n v="8"/>
    <s v="Working Day"/>
    <x v="0"/>
  </r>
  <r>
    <s v="ATD00511"/>
    <d v="2025-04-25T00:00:00"/>
    <x v="1"/>
    <s v="Q2"/>
    <s v="Friday"/>
    <s v="EMP044"/>
    <s v="Employee 44"/>
    <x v="4"/>
    <s v="HR Executive"/>
    <s v="Hyderabad"/>
    <s v="Afternoon Shift"/>
    <d v="1899-12-30T09:00:00"/>
    <d v="1899-12-30T18:00:00"/>
    <n v="8"/>
    <n v="0"/>
    <x v="0"/>
    <m/>
    <n v="4"/>
    <s v="L1"/>
    <s v="P. Priya"/>
    <x v="1"/>
    <s v="Client Visit"/>
    <n v="30"/>
    <x v="0"/>
    <n v="44089"/>
    <n v="18000000"/>
    <s v="&lt;30 Days Hiring Cycle"/>
    <n v="560000"/>
    <s v="Medium"/>
    <s v="Hiring &amp; Retention"/>
    <n v="0.58333333333333337"/>
    <n v="0.95833333333333337"/>
    <n v="8"/>
    <s v="Working Day"/>
    <x v="0"/>
  </r>
  <r>
    <s v="ATD00512"/>
    <d v="2025-04-06T00:00:00"/>
    <x v="1"/>
    <s v="Q2"/>
    <s v="Sunday"/>
    <s v="EMP041"/>
    <s v="Employee 41"/>
    <x v="5"/>
    <s v="Marketing Executive"/>
    <s v="Coimbatore"/>
    <s v="Flexible Shift"/>
    <d v="1899-12-30T09:00:00"/>
    <d v="1899-12-30T18:00:00"/>
    <n v="8"/>
    <n v="0"/>
    <x v="0"/>
    <m/>
    <m/>
    <s v="L4"/>
    <s v="S. Swetha"/>
    <x v="0"/>
    <s v="Late Login"/>
    <n v="27"/>
    <x v="1"/>
    <n v="45458"/>
    <n v="22000000"/>
    <s v="2500 Qualified Leads"/>
    <n v="590000"/>
    <s v="Medium"/>
    <s v="Lead Generation"/>
    <n v="0.41666666666666669"/>
    <n v="0.79166666666666663"/>
    <n v="8"/>
    <s v="Working Day"/>
    <x v="0"/>
  </r>
  <r>
    <s v="ATD00513"/>
    <d v="2025-02-28T00:00:00"/>
    <x v="5"/>
    <s v="Q1"/>
    <s v="Friday"/>
    <s v="EMP035"/>
    <s v="Employee 35"/>
    <x v="0"/>
    <s v="Support Executive"/>
    <s v="Madurai"/>
    <s v="General Shift"/>
    <d v="1899-12-30T09:00:00"/>
    <d v="1899-12-30T18:00:00"/>
    <n v="8"/>
    <n v="0"/>
    <x v="0"/>
    <m/>
    <n v="5"/>
    <s v="L1"/>
    <s v="V. Vinoth"/>
    <x v="2"/>
    <s v="Late Login"/>
    <n v="39"/>
    <x v="1"/>
    <n v="43449"/>
    <n v="24000000"/>
    <s v="90% Customer Satisfaction"/>
    <n v="520000"/>
    <s v="High"/>
    <s v="Customer Satisfaction"/>
    <n v="0.375"/>
    <n v="0.75"/>
    <n v="8"/>
    <s v="Working Day"/>
    <x v="0"/>
  </r>
  <r>
    <s v="ATD00514"/>
    <d v="2025-06-08T00:00:00"/>
    <x v="0"/>
    <s v="Q2"/>
    <s v="Sunday"/>
    <s v="EMP045"/>
    <s v="Employee 45"/>
    <x v="6"/>
    <s v="Sales Executive"/>
    <s v="Madurai"/>
    <s v="Morning Shift"/>
    <d v="1899-12-30T09:20:00"/>
    <d v="1899-12-30T18:00:00"/>
    <n v="8"/>
    <n v="0"/>
    <x v="0"/>
    <m/>
    <n v="5"/>
    <s v="L3"/>
    <s v="V. Vivek"/>
    <x v="2"/>
    <m/>
    <n v="31"/>
    <x v="1"/>
    <n v="44484"/>
    <n v="42000000"/>
    <s v="₹2.5 Cr Monthly Sales"/>
    <n v="680000"/>
    <s v="High"/>
    <s v="Revenue Achievement"/>
    <n v="0.25"/>
    <n v="0.625"/>
    <n v="8"/>
    <s v="Working Day"/>
    <x v="0"/>
  </r>
  <r>
    <s v="ATD00515"/>
    <d v="2025-04-03T00:00:00"/>
    <x v="1"/>
    <s v="Q2"/>
    <s v="Thursday"/>
    <s v="EMP045"/>
    <s v="Employee 45"/>
    <x v="6"/>
    <s v="Sales Executive"/>
    <s v="Madurai"/>
    <s v="Afternoon Shift"/>
    <d v="1899-12-30T09:00:00"/>
    <d v="1899-12-30T18:00:00"/>
    <n v="8"/>
    <n v="0"/>
    <x v="0"/>
    <m/>
    <n v="3"/>
    <s v="L1"/>
    <s v="V. Vivek"/>
    <x v="2"/>
    <s v="Work From Home"/>
    <n v="31"/>
    <x v="1"/>
    <n v="44484"/>
    <n v="42000000"/>
    <s v="₹2.5 Cr Monthly Sales"/>
    <n v="680000"/>
    <s v="High"/>
    <s v="Revenue Achievement"/>
    <n v="0.58333333333333337"/>
    <n v="0.95833333333333337"/>
    <n v="8"/>
    <s v="Working Day"/>
    <x v="0"/>
  </r>
  <r>
    <s v="ATD00516"/>
    <d v="2025-02-20T00:00:00"/>
    <x v="5"/>
    <s v="Q1"/>
    <s v="Thursday"/>
    <s v="EMP027"/>
    <s v="Employee 27"/>
    <x v="5"/>
    <s v="Marketing Executive"/>
    <s v="Chennai"/>
    <s v="General Shift"/>
    <m/>
    <m/>
    <m/>
    <m/>
    <x v="1"/>
    <m/>
    <m/>
    <s v="L2"/>
    <s v="S. Swetha"/>
    <x v="2"/>
    <s v="Client Visit"/>
    <n v="31"/>
    <x v="1"/>
    <n v="45397"/>
    <n v="22000000"/>
    <s v="2500 Qualified Leads"/>
    <n v="590000"/>
    <s v="Medium"/>
    <s v="Lead Generation"/>
    <n v="0.375"/>
    <n v="0.75"/>
    <n v="8"/>
    <s v="Working Day"/>
    <x v="0"/>
  </r>
  <r>
    <s v="ATD00517"/>
    <d v="2025-04-18T00:00:00"/>
    <x v="1"/>
    <s v="Q2"/>
    <s v="Friday"/>
    <s v="EMP016"/>
    <s v="Employee 16"/>
    <x v="4"/>
    <s v="HR Executive"/>
    <s v="Coimbatore"/>
    <s v="Night Shift"/>
    <d v="1899-12-30T22:00:00"/>
    <d v="1899-12-30T07:00:00"/>
    <n v="8.5"/>
    <n v="0.5"/>
    <x v="0"/>
    <m/>
    <n v="3"/>
    <s v="L2"/>
    <s v="P. Priya"/>
    <x v="1"/>
    <s v="Late Login"/>
    <n v="38"/>
    <x v="0"/>
    <n v="43966"/>
    <n v="18000000"/>
    <s v="&lt;30 Days Hiring Cycle"/>
    <n v="560000"/>
    <s v="Medium"/>
    <s v="Hiring &amp; Retention"/>
    <n v="0.91666666666666663"/>
    <n v="0.29166666666666669"/>
    <n v="8"/>
    <s v="Good Friday"/>
    <x v="3"/>
  </r>
  <r>
    <s v="ATD00518"/>
    <d v="2025-01-16T00:00:00"/>
    <x v="2"/>
    <s v="Q1"/>
    <s v="Thursday"/>
    <s v="EMP011"/>
    <s v="Employee 11"/>
    <x v="3"/>
    <s v="Accountant"/>
    <s v="Coimbatore"/>
    <s v="Afternoon Shift"/>
    <m/>
    <m/>
    <m/>
    <m/>
    <x v="1"/>
    <s v="Sick Leave"/>
    <m/>
    <s v="L2"/>
    <s v="M. Mahesh"/>
    <x v="3"/>
    <m/>
    <n v="33"/>
    <x v="1"/>
    <n v="44910"/>
    <n v="26000000"/>
    <s v="100% Payroll Accuracy"/>
    <n v="640000"/>
    <s v="High"/>
    <s v="Financial Compliance"/>
    <n v="0.58333333333333337"/>
    <n v="0.95833333333333337"/>
    <n v="8"/>
    <s v="Working Day"/>
    <x v="0"/>
  </r>
  <r>
    <s v="ATD00519"/>
    <d v="2025-01-30T00:00:00"/>
    <x v="2"/>
    <s v="Q1"/>
    <s v="Thursday"/>
    <s v="EMP012"/>
    <s v="Employee 12"/>
    <x v="1"/>
    <s v="Operations Executive"/>
    <s v="Chennai"/>
    <s v="Night Shift"/>
    <d v="1899-12-30T22:00:00"/>
    <d v="1899-12-30T07:00:00"/>
    <n v="9"/>
    <n v="1"/>
    <x v="0"/>
    <m/>
    <n v="3"/>
    <s v="L4"/>
    <s v="D. Dinesh"/>
    <x v="1"/>
    <s v="Work From Home"/>
    <n v="34"/>
    <x v="0"/>
    <n v="44941"/>
    <n v="34000000"/>
    <s v="95% Process Efficiency"/>
    <n v="610000"/>
    <s v="High"/>
    <s v="Operational Efficiency"/>
    <n v="0.91666666666666663"/>
    <n v="0.29166666666666669"/>
    <n v="8"/>
    <s v="Working Day"/>
    <x v="0"/>
  </r>
  <r>
    <s v="ATD00520"/>
    <d v="2025-01-20T00:00:00"/>
    <x v="2"/>
    <s v="Q1"/>
    <s v="Monday"/>
    <s v="EMP021"/>
    <s v="Employee 21"/>
    <x v="0"/>
    <s v="Support Executive"/>
    <s v="Coimbatore"/>
    <s v="Flexible Shift"/>
    <m/>
    <m/>
    <m/>
    <m/>
    <x v="2"/>
    <m/>
    <m/>
    <s v="L3"/>
    <s v="V. Vinoth"/>
    <x v="2"/>
    <s v="Work From Home"/>
    <n v="25"/>
    <x v="1"/>
    <n v="43388"/>
    <n v="24000000"/>
    <s v="90% Customer Satisfaction"/>
    <n v="520000"/>
    <s v="High"/>
    <s v="Customer Satisfaction"/>
    <n v="0.41666666666666669"/>
    <n v="0.79166666666666663"/>
    <n v="8"/>
    <s v="Working Day"/>
    <x v="0"/>
  </r>
  <r>
    <s v="ATD00521"/>
    <d v="2025-01-25T00:00:00"/>
    <x v="2"/>
    <s v="Q1"/>
    <s v="Saturday"/>
    <s v="EMP041"/>
    <s v="Employee 41"/>
    <x v="5"/>
    <s v="Marketing Executive"/>
    <s v="Coimbatore"/>
    <s v="Morning Shift"/>
    <d v="1899-12-30T09:00:00"/>
    <d v="1899-12-30T18:00:00"/>
    <n v="8"/>
    <n v="0"/>
    <x v="0"/>
    <m/>
    <n v="3"/>
    <s v="L1"/>
    <s v="S. Swetha"/>
    <x v="0"/>
    <s v="Client Visit"/>
    <n v="27"/>
    <x v="1"/>
    <n v="45458"/>
    <n v="22000000"/>
    <s v="2500 Qualified Leads"/>
    <n v="590000"/>
    <s v="Medium"/>
    <s v="Lead Generation"/>
    <n v="0.25"/>
    <n v="0.625"/>
    <n v="8"/>
    <s v="Working Day"/>
    <x v="0"/>
  </r>
  <r>
    <s v="ATD00522"/>
    <d v="2025-05-23T00:00:00"/>
    <x v="3"/>
    <s v="Q2"/>
    <s v="Friday"/>
    <s v="EMP046"/>
    <s v="Employee 46"/>
    <x v="3"/>
    <s v="Accountant"/>
    <s v="Coimbatore"/>
    <s v="General Shift"/>
    <d v="1899-12-30T09:00:00"/>
    <d v="1899-12-30T18:00:00"/>
    <n v="8"/>
    <n v="0"/>
    <x v="0"/>
    <m/>
    <n v="4"/>
    <s v="L3"/>
    <s v="M. Mahesh"/>
    <x v="1"/>
    <m/>
    <n v="32"/>
    <x v="0"/>
    <n v="44880"/>
    <n v="26000000"/>
    <s v="100% Payroll Accuracy"/>
    <n v="640000"/>
    <s v="High"/>
    <s v="Financial Compliance"/>
    <n v="0.375"/>
    <n v="0.75"/>
    <n v="8"/>
    <s v="Working Day"/>
    <x v="0"/>
  </r>
  <r>
    <s v="ATD00523"/>
    <d v="2025-01-20T00:00:00"/>
    <x v="2"/>
    <s v="Q1"/>
    <s v="Monday"/>
    <s v="EMP024"/>
    <s v="Employee 24"/>
    <x v="6"/>
    <s v="Sales Executive"/>
    <s v="Hyderabad"/>
    <s v="Night Shift"/>
    <m/>
    <m/>
    <m/>
    <m/>
    <x v="1"/>
    <s v="Casual Leave"/>
    <m/>
    <s v="L2"/>
    <s v="V. Vivek"/>
    <x v="0"/>
    <s v="Late Login"/>
    <n v="28"/>
    <x v="1"/>
    <n v="44211"/>
    <n v="42000000"/>
    <s v="₹2.5 Cr Monthly Sales"/>
    <n v="680000"/>
    <s v="High"/>
    <s v="Revenue Achievement"/>
    <n v="0.91666666666666663"/>
    <n v="0.29166666666666669"/>
    <n v="8"/>
    <s v="Working Day"/>
    <x v="0"/>
  </r>
  <r>
    <s v="ATD00524"/>
    <d v="2025-02-28T00:00:00"/>
    <x v="5"/>
    <s v="Q1"/>
    <s v="Friday"/>
    <s v="EMP037"/>
    <s v="Employee 37"/>
    <x v="4"/>
    <s v="HR Executive"/>
    <s v="Chennai"/>
    <s v="Night Shift"/>
    <d v="1899-12-30T22:00:00"/>
    <d v="1899-12-30T07:00:00"/>
    <n v="8.5"/>
    <n v="0.5"/>
    <x v="0"/>
    <m/>
    <n v="4"/>
    <s v="L3"/>
    <s v="P. Priya"/>
    <x v="0"/>
    <s v="Work From Home"/>
    <n v="23"/>
    <x v="0"/>
    <n v="43876"/>
    <n v="18000000"/>
    <s v="&lt;30 Days Hiring Cycle"/>
    <n v="560000"/>
    <s v="Medium"/>
    <s v="Hiring &amp; Retention"/>
    <n v="0.91666666666666663"/>
    <n v="0.29166666666666669"/>
    <n v="8"/>
    <s v="Working Day"/>
    <x v="0"/>
  </r>
  <r>
    <s v="ATD00525"/>
    <d v="2025-06-28T00:00:00"/>
    <x v="0"/>
    <s v="Q2"/>
    <s v="Saturday"/>
    <s v="EMP038"/>
    <s v="Employee 38"/>
    <x v="6"/>
    <s v="Sales Executive"/>
    <s v="Bengaluru"/>
    <s v="Night Shift"/>
    <d v="1899-12-30T09:35:00"/>
    <d v="1899-12-30T07:00:00"/>
    <n v="10"/>
    <n v="2"/>
    <x v="0"/>
    <m/>
    <n v="4"/>
    <s v="L3"/>
    <s v="V. Vivek"/>
    <x v="0"/>
    <s v="Work From Home"/>
    <n v="24"/>
    <x v="1"/>
    <n v="44270"/>
    <n v="42000000"/>
    <s v="₹2.5 Cr Monthly Sales"/>
    <n v="680000"/>
    <s v="High"/>
    <s v="Revenue Achievement"/>
    <n v="0.91666666666666663"/>
    <n v="0.29166666666666669"/>
    <n v="8"/>
    <s v="Working Day"/>
    <x v="0"/>
  </r>
  <r>
    <s v="ATD00526"/>
    <d v="2025-04-28T00:00:00"/>
    <x v="1"/>
    <s v="Q2"/>
    <s v="Monday"/>
    <s v="EMP016"/>
    <s v="Employee 16"/>
    <x v="4"/>
    <s v="HR Executive"/>
    <s v="Coimbatore"/>
    <s v="General Shift"/>
    <d v="1899-12-30T09:00:00"/>
    <d v="1899-12-30T18:00:00"/>
    <n v="8"/>
    <n v="0"/>
    <x v="0"/>
    <m/>
    <n v="3"/>
    <s v="L3"/>
    <s v="P. Priya"/>
    <x v="3"/>
    <s v="Late Login"/>
    <n v="38"/>
    <x v="0"/>
    <n v="43966"/>
    <n v="18000000"/>
    <s v="&lt;30 Days Hiring Cycle"/>
    <n v="560000"/>
    <s v="Medium"/>
    <s v="Hiring &amp; Retention"/>
    <n v="0.375"/>
    <n v="0.75"/>
    <n v="8"/>
    <s v="Working Day"/>
    <x v="0"/>
  </r>
  <r>
    <s v="ATD00527"/>
    <d v="2025-05-04T00:00:00"/>
    <x v="3"/>
    <s v="Q2"/>
    <s v="Sunday"/>
    <s v="EMP037"/>
    <s v="Employee 37"/>
    <x v="4"/>
    <s v="HR Executive"/>
    <s v="Chennai"/>
    <s v="Flexible Shift"/>
    <d v="1899-12-30T09:00:00"/>
    <d v="1899-12-30T18:00:00"/>
    <n v="8"/>
    <n v="0"/>
    <x v="0"/>
    <m/>
    <n v="4"/>
    <s v="L3"/>
    <s v="P. Priya"/>
    <x v="2"/>
    <s v="Client Visit"/>
    <n v="23"/>
    <x v="0"/>
    <n v="43876"/>
    <n v="18000000"/>
    <s v="&lt;30 Days Hiring Cycle"/>
    <n v="560000"/>
    <s v="Medium"/>
    <s v="Hiring &amp; Retention"/>
    <n v="0.41666666666666669"/>
    <n v="0.79166666666666663"/>
    <n v="8"/>
    <s v="Working Day"/>
    <x v="0"/>
  </r>
  <r>
    <s v="ATD00528"/>
    <d v="2025-05-26T00:00:00"/>
    <x v="3"/>
    <s v="Q2"/>
    <s v="Monday"/>
    <s v="EMP044"/>
    <s v="Employee 44"/>
    <x v="4"/>
    <s v="HR Executive"/>
    <s v="Hyderabad"/>
    <s v="Afternoon Shift"/>
    <d v="1899-12-30T09:00:00"/>
    <d v="1899-12-30T18:00:00"/>
    <n v="8"/>
    <n v="0"/>
    <x v="0"/>
    <m/>
    <n v="4"/>
    <s v="L1"/>
    <s v="P. Priya"/>
    <x v="3"/>
    <s v="Late Login"/>
    <n v="30"/>
    <x v="0"/>
    <n v="44089"/>
    <n v="18000000"/>
    <s v="&lt;30 Days Hiring Cycle"/>
    <n v="560000"/>
    <s v="Medium"/>
    <s v="Hiring &amp; Retention"/>
    <n v="0.58333333333333337"/>
    <n v="0.95833333333333337"/>
    <n v="8"/>
    <s v="Working Day"/>
    <x v="0"/>
  </r>
  <r>
    <s v="ATD00529"/>
    <d v="2025-04-15T00:00:00"/>
    <x v="1"/>
    <s v="Q2"/>
    <s v="Tuesday"/>
    <s v="EMP003"/>
    <s v="Employee 3"/>
    <x v="6"/>
    <s v="Sales Executive"/>
    <s v="Bengaluru"/>
    <s v="General Shift"/>
    <d v="1899-12-30T09:20:00"/>
    <d v="1899-12-30T18:00:00"/>
    <n v="8"/>
    <n v="0"/>
    <x v="0"/>
    <m/>
    <n v="3"/>
    <s v="L2"/>
    <s v="V. Vivek"/>
    <x v="3"/>
    <s v="Client Visit"/>
    <n v="25"/>
    <x v="1"/>
    <n v="44301"/>
    <n v="42000000"/>
    <s v="₹2.5 Cr Monthly Sales"/>
    <n v="680000"/>
    <s v="High"/>
    <s v="Revenue Achievement"/>
    <n v="0.375"/>
    <n v="0.75"/>
    <n v="8"/>
    <s v="Working Day"/>
    <x v="0"/>
  </r>
  <r>
    <s v="ATD00530"/>
    <d v="2025-06-18T00:00:00"/>
    <x v="0"/>
    <s v="Q2"/>
    <s v="Wednesday"/>
    <s v="EMP017"/>
    <s v="Employee 17"/>
    <x v="6"/>
    <s v="Sales Executive"/>
    <s v="Chennai"/>
    <s v="Flexible Shift"/>
    <d v="1899-12-30T09:35:00"/>
    <d v="1899-12-30T18:00:00"/>
    <n v="8"/>
    <n v="0"/>
    <x v="0"/>
    <m/>
    <n v="4"/>
    <s v="L2"/>
    <s v="V. Vivek"/>
    <x v="2"/>
    <m/>
    <n v="39"/>
    <x v="1"/>
    <n v="44362"/>
    <n v="42000000"/>
    <s v="₹2.5 Cr Monthly Sales"/>
    <n v="680000"/>
    <s v="High"/>
    <s v="Revenue Achievement"/>
    <n v="0.41666666666666669"/>
    <n v="0.79166666666666663"/>
    <n v="8"/>
    <s v="Working Day"/>
    <x v="0"/>
  </r>
  <r>
    <s v="ATD00531"/>
    <d v="2025-06-01T00:00:00"/>
    <x v="0"/>
    <s v="Q2"/>
    <s v="Sunday"/>
    <s v="EMP014"/>
    <s v="Employee 14"/>
    <x v="0"/>
    <s v="Support Executive"/>
    <s v="Hyderabad"/>
    <s v="Morning Shift"/>
    <d v="1899-12-30T09:00:00"/>
    <d v="1899-12-30T18:00:00"/>
    <n v="8"/>
    <n v="0"/>
    <x v="0"/>
    <m/>
    <m/>
    <s v="L3"/>
    <s v="V. Vinoth"/>
    <x v="3"/>
    <s v="Client Visit"/>
    <n v="36"/>
    <x v="0"/>
    <n v="43174"/>
    <n v="24000000"/>
    <s v="90% Customer Satisfaction"/>
    <n v="520000"/>
    <s v="High"/>
    <s v="Customer Satisfaction"/>
    <n v="0.25"/>
    <n v="0.625"/>
    <n v="8"/>
    <s v="Working Day"/>
    <x v="0"/>
  </r>
  <r>
    <s v="ATD00532"/>
    <d v="2025-04-10T00:00:00"/>
    <x v="1"/>
    <s v="Q2"/>
    <s v="Thursday"/>
    <s v="EMP039"/>
    <s v="Employee 39"/>
    <x v="3"/>
    <s v="Accountant"/>
    <s v="Hyderabad"/>
    <s v="General Shift"/>
    <d v="1899-12-30T09:00:00"/>
    <d v="1899-12-30T18:00:00"/>
    <n v="8"/>
    <n v="0"/>
    <x v="0"/>
    <m/>
    <m/>
    <s v="L1"/>
    <s v="M. Mahesh"/>
    <x v="0"/>
    <s v="Late Login"/>
    <n v="25"/>
    <x v="0"/>
    <n v="44666"/>
    <n v="26000000"/>
    <s v="100% Payroll Accuracy"/>
    <n v="640000"/>
    <s v="High"/>
    <s v="Financial Compliance"/>
    <n v="0.375"/>
    <n v="0.75"/>
    <n v="8"/>
    <s v="Working Day"/>
    <x v="0"/>
  </r>
  <r>
    <s v="ATD00533"/>
    <d v="2025-05-21T00:00:00"/>
    <x v="3"/>
    <s v="Q2"/>
    <s v="Wednesday"/>
    <s v="EMP049"/>
    <s v="Employee 49"/>
    <x v="0"/>
    <s v="Support Executive"/>
    <s v="Hyderabad"/>
    <s v="Flexible Shift"/>
    <d v="1899-12-30T09:00:00"/>
    <d v="1899-12-30T18:00:00"/>
    <n v="8"/>
    <n v="0"/>
    <x v="0"/>
    <m/>
    <n v="4"/>
    <s v="L4"/>
    <s v="V. Vinoth"/>
    <x v="1"/>
    <s v="Client Visit"/>
    <n v="35"/>
    <x v="1"/>
    <n v="43146"/>
    <n v="24000000"/>
    <s v="90% Customer Satisfaction"/>
    <n v="520000"/>
    <s v="High"/>
    <s v="Customer Satisfaction"/>
    <n v="0.41666666666666669"/>
    <n v="0.79166666666666663"/>
    <n v="8"/>
    <s v="Working Day"/>
    <x v="0"/>
  </r>
  <r>
    <s v="ATD00534"/>
    <d v="2025-04-09T00:00:00"/>
    <x v="1"/>
    <s v="Q2"/>
    <s v="Wednesday"/>
    <s v="EMP009"/>
    <s v="Employee 9"/>
    <x v="4"/>
    <s v="HR Executive"/>
    <s v="Hyderabad"/>
    <s v="Night Shift"/>
    <d v="1899-12-30T22:00:00"/>
    <d v="1899-12-30T07:00:00"/>
    <n v="9.5"/>
    <n v="1.5"/>
    <x v="0"/>
    <m/>
    <n v="4"/>
    <s v="L3"/>
    <s v="P. Priya"/>
    <x v="1"/>
    <s v="Client Visit"/>
    <n v="31"/>
    <x v="1"/>
    <n v="44119"/>
    <n v="18000000"/>
    <s v="&lt;30 Days Hiring Cycle"/>
    <n v="560000"/>
    <s v="Medium"/>
    <s v="Hiring &amp; Retention"/>
    <n v="0.91666666666666663"/>
    <n v="0.29166666666666669"/>
    <n v="8"/>
    <s v="Working Day"/>
    <x v="0"/>
  </r>
  <r>
    <s v="ATD00535"/>
    <d v="2025-04-01T00:00:00"/>
    <x v="1"/>
    <s v="Q2"/>
    <s v="Tuesday"/>
    <s v="EMP029"/>
    <s v="Employee 29"/>
    <x v="2"/>
    <s v="Software Engineer"/>
    <s v="Hyderabad"/>
    <s v="Morning Shift"/>
    <m/>
    <m/>
    <m/>
    <m/>
    <x v="1"/>
    <m/>
    <m/>
    <s v="L1"/>
    <s v="R. Karthikeyan"/>
    <x v="3"/>
    <s v="Client Visit"/>
    <n v="33"/>
    <x v="1"/>
    <n v="43631"/>
    <n v="85000000"/>
    <s v="99.5% System Uptime"/>
    <n v="720000"/>
    <s v="High"/>
    <s v="Project Delivery"/>
    <n v="0.25"/>
    <n v="0.625"/>
    <n v="8"/>
    <s v="Working Day"/>
    <x v="0"/>
  </r>
  <r>
    <s v="ATD00536"/>
    <d v="2025-04-10T00:00:00"/>
    <x v="1"/>
    <s v="Q2"/>
    <s v="Thursday"/>
    <s v="EMP024"/>
    <s v="Employee 24"/>
    <x v="6"/>
    <s v="Sales Executive"/>
    <s v="Hyderabad"/>
    <s v="Afternoon Shift"/>
    <d v="1899-12-30T09:20:00"/>
    <d v="1899-12-30T18:00:00"/>
    <n v="8"/>
    <n v="0"/>
    <x v="0"/>
    <m/>
    <n v="4"/>
    <s v="L3"/>
    <s v="V. Vivek"/>
    <x v="0"/>
    <m/>
    <n v="28"/>
    <x v="1"/>
    <n v="44211"/>
    <n v="42000000"/>
    <s v="₹2.5 Cr Monthly Sales"/>
    <n v="680000"/>
    <s v="High"/>
    <s v="Revenue Achievement"/>
    <n v="0.58333333333333337"/>
    <n v="0.95833333333333337"/>
    <n v="8"/>
    <s v="Working Day"/>
    <x v="0"/>
  </r>
  <r>
    <s v="ATD00537"/>
    <d v="2025-02-13T00:00:00"/>
    <x v="5"/>
    <s v="Q1"/>
    <s v="Thursday"/>
    <s v="EMP012"/>
    <s v="Employee 12"/>
    <x v="1"/>
    <s v="Operations Executive"/>
    <s v="Chennai"/>
    <s v="Night Shift"/>
    <d v="1899-12-30T22:00:00"/>
    <d v="1899-12-30T07:00:00"/>
    <n v="8.5"/>
    <n v="0.5"/>
    <x v="0"/>
    <m/>
    <n v="4"/>
    <s v="L4"/>
    <s v="D. Dinesh"/>
    <x v="2"/>
    <m/>
    <n v="34"/>
    <x v="0"/>
    <n v="44941"/>
    <n v="34000000"/>
    <s v="95% Process Efficiency"/>
    <n v="610000"/>
    <s v="High"/>
    <s v="Operational Efficiency"/>
    <n v="0.91666666666666663"/>
    <n v="0.29166666666666669"/>
    <n v="8"/>
    <s v="Working Day"/>
    <x v="0"/>
  </r>
  <r>
    <s v="ATD00538"/>
    <d v="2025-06-11T00:00:00"/>
    <x v="0"/>
    <s v="Q2"/>
    <s v="Wednesday"/>
    <s v="EMP046"/>
    <s v="Employee 46"/>
    <x v="3"/>
    <s v="Accountant"/>
    <s v="Coimbatore"/>
    <s v="Afternoon Shift"/>
    <m/>
    <m/>
    <m/>
    <m/>
    <x v="2"/>
    <m/>
    <m/>
    <s v="L4"/>
    <s v="M. Mahesh"/>
    <x v="2"/>
    <s v="Client Visit"/>
    <n v="32"/>
    <x v="0"/>
    <n v="44880"/>
    <n v="26000000"/>
    <s v="100% Payroll Accuracy"/>
    <n v="640000"/>
    <s v="High"/>
    <s v="Financial Compliance"/>
    <n v="0.58333333333333337"/>
    <n v="0.95833333333333337"/>
    <n v="8"/>
    <s v="Working Day"/>
    <x v="0"/>
  </r>
  <r>
    <s v="ATD00539"/>
    <d v="2025-06-25T00:00:00"/>
    <x v="0"/>
    <s v="Q2"/>
    <s v="Wednesday"/>
    <s v="EMP025"/>
    <s v="Employee 25"/>
    <x v="3"/>
    <s v="Accountant"/>
    <s v="Madurai"/>
    <s v="Morning Shift"/>
    <d v="1899-12-30T09:00:00"/>
    <d v="1899-12-30T18:00:00"/>
    <n v="8"/>
    <n v="0"/>
    <x v="0"/>
    <m/>
    <n v="4"/>
    <s v="L3"/>
    <s v="M. Mahesh"/>
    <x v="0"/>
    <s v="Work From Home"/>
    <n v="29"/>
    <x v="0"/>
    <n v="44607"/>
    <n v="26000000"/>
    <s v="100% Payroll Accuracy"/>
    <n v="640000"/>
    <s v="High"/>
    <s v="Financial Compliance"/>
    <n v="0.25"/>
    <n v="0.625"/>
    <n v="8"/>
    <s v="Working Day"/>
    <x v="0"/>
  </r>
  <r>
    <s v="ATD00540"/>
    <d v="2025-04-20T00:00:00"/>
    <x v="1"/>
    <s v="Q2"/>
    <s v="Sunday"/>
    <s v="EMP006"/>
    <s v="Employee 6"/>
    <x v="5"/>
    <s v="Marketing Executive"/>
    <s v="Coimbatore"/>
    <s v="Flexible Shift"/>
    <d v="1899-12-30T09:00:00"/>
    <d v="1899-12-30T18:00:00"/>
    <n v="8"/>
    <n v="0"/>
    <x v="0"/>
    <m/>
    <m/>
    <s v="L4"/>
    <s v="S. Swetha"/>
    <x v="0"/>
    <s v="Client Visit"/>
    <n v="28"/>
    <x v="0"/>
    <n v="45488"/>
    <n v="22000000"/>
    <s v="2500 Qualified Leads"/>
    <n v="590000"/>
    <s v="Medium"/>
    <s v="Lead Generation"/>
    <n v="0.41666666666666669"/>
    <n v="0.79166666666666663"/>
    <n v="8"/>
    <s v="Working Day"/>
    <x v="0"/>
  </r>
  <r>
    <s v="ATD00541"/>
    <d v="2025-06-22T00:00:00"/>
    <x v="0"/>
    <s v="Q2"/>
    <s v="Sunday"/>
    <s v="EMP047"/>
    <s v="Employee 47"/>
    <x v="1"/>
    <s v="Operations Executive"/>
    <s v="Chennai"/>
    <s v="General Shift"/>
    <d v="1899-12-30T09:00:00"/>
    <d v="1899-12-30T18:00:00"/>
    <n v="8"/>
    <n v="0"/>
    <x v="0"/>
    <m/>
    <m/>
    <s v="L1"/>
    <s v="D. Dinesh"/>
    <x v="0"/>
    <s v="Client Visit"/>
    <n v="33"/>
    <x v="1"/>
    <n v="45275"/>
    <n v="34000000"/>
    <s v="95% Process Efficiency"/>
    <n v="610000"/>
    <s v="High"/>
    <s v="Operational Efficiency"/>
    <n v="0.375"/>
    <n v="0.75"/>
    <n v="8"/>
    <s v="Working Day"/>
    <x v="0"/>
  </r>
  <r>
    <s v="ATD00542"/>
    <d v="2025-03-12T00:00:00"/>
    <x v="4"/>
    <s v="Q1"/>
    <s v="Wednesday"/>
    <s v="EMP007"/>
    <s v="Employee 7"/>
    <x v="0"/>
    <s v="Support Executive"/>
    <s v="Chennai"/>
    <s v="Night Shift"/>
    <d v="1899-12-30T22:00:00"/>
    <d v="1899-12-30T07:00:00"/>
    <n v="9.5"/>
    <n v="1.5"/>
    <x v="0"/>
    <m/>
    <m/>
    <s v="L3"/>
    <s v="V. Vinoth"/>
    <x v="2"/>
    <m/>
    <n v="29"/>
    <x v="1"/>
    <n v="43327"/>
    <n v="24000000"/>
    <s v="90% Customer Satisfaction"/>
    <n v="520000"/>
    <s v="High"/>
    <s v="Customer Satisfaction"/>
    <n v="0.91666666666666663"/>
    <n v="0.29166666666666669"/>
    <n v="8"/>
    <s v="Working Day"/>
    <x v="0"/>
  </r>
  <r>
    <s v="ATD00543"/>
    <d v="2025-03-22T00:00:00"/>
    <x v="4"/>
    <s v="Q1"/>
    <s v="Saturday"/>
    <s v="EMP002"/>
    <s v="Employee 2"/>
    <x v="4"/>
    <s v="HR Executive"/>
    <s v="Chennai"/>
    <s v="General Shift"/>
    <d v="1899-12-30T09:00:00"/>
    <d v="1899-12-30T18:00:00"/>
    <n v="8"/>
    <n v="0"/>
    <x v="0"/>
    <m/>
    <m/>
    <s v="L1"/>
    <s v="P. Priya"/>
    <x v="2"/>
    <s v="Late Login"/>
    <n v="24"/>
    <x v="0"/>
    <n v="43905"/>
    <n v="18000000"/>
    <s v="&lt;30 Days Hiring Cycle"/>
    <n v="560000"/>
    <s v="Medium"/>
    <s v="Hiring &amp; Retention"/>
    <n v="0.375"/>
    <n v="0.75"/>
    <n v="8"/>
    <s v="Working Day"/>
    <x v="0"/>
  </r>
  <r>
    <s v="ATD00544"/>
    <d v="2025-02-02T00:00:00"/>
    <x v="5"/>
    <s v="Q1"/>
    <s v="Sunday"/>
    <s v="EMP010"/>
    <s v="Employee 10"/>
    <x v="6"/>
    <s v="Sales Executive"/>
    <s v="Madurai"/>
    <s v="General Shift"/>
    <d v="1899-12-30T09:20:00"/>
    <d v="1899-12-30T18:00:00"/>
    <n v="8"/>
    <n v="0"/>
    <x v="0"/>
    <m/>
    <n v="4"/>
    <s v="L2"/>
    <s v="V. Vivek"/>
    <x v="0"/>
    <s v="Work From Home"/>
    <n v="32"/>
    <x v="0"/>
    <n v="44515"/>
    <n v="42000000"/>
    <s v="₹2.5 Cr Monthly Sales"/>
    <n v="680000"/>
    <s v="High"/>
    <s v="Revenue Achievement"/>
    <n v="0.375"/>
    <n v="0.75"/>
    <n v="8"/>
    <s v="Working Day"/>
    <x v="0"/>
  </r>
  <r>
    <s v="ATD00545"/>
    <d v="2025-03-11T00:00:00"/>
    <x v="4"/>
    <s v="Q1"/>
    <s v="Tuesday"/>
    <s v="EMP019"/>
    <s v="Employee 19"/>
    <x v="1"/>
    <s v="Operations Executive"/>
    <s v="Hyderabad"/>
    <s v="Afternoon Shift"/>
    <d v="1899-12-30T09:00:00"/>
    <d v="1899-12-30T18:00:00"/>
    <n v="8"/>
    <n v="0"/>
    <x v="0"/>
    <m/>
    <n v="4"/>
    <s v="L3"/>
    <s v="D. Dinesh"/>
    <x v="0"/>
    <m/>
    <n v="23"/>
    <x v="0"/>
    <n v="45153"/>
    <n v="34000000"/>
    <s v="95% Process Efficiency"/>
    <n v="610000"/>
    <s v="High"/>
    <s v="Operational Efficiency"/>
    <n v="0.58333333333333337"/>
    <n v="0.95833333333333337"/>
    <n v="8"/>
    <s v="Working Day"/>
    <x v="0"/>
  </r>
  <r>
    <s v="ATD00546"/>
    <d v="2025-01-04T00:00:00"/>
    <x v="2"/>
    <s v="Q1"/>
    <s v="Saturday"/>
    <s v="EMP019"/>
    <s v="Employee 19"/>
    <x v="1"/>
    <s v="Operations Executive"/>
    <s v="Hyderabad"/>
    <s v="Afternoon Shift"/>
    <d v="1899-12-30T09:00:00"/>
    <d v="1899-12-30T18:00:00"/>
    <n v="8"/>
    <n v="0"/>
    <x v="0"/>
    <m/>
    <n v="5"/>
    <s v="L1"/>
    <s v="D. Dinesh"/>
    <x v="0"/>
    <m/>
    <n v="23"/>
    <x v="0"/>
    <n v="45153"/>
    <n v="34000000"/>
    <s v="95% Process Efficiency"/>
    <n v="610000"/>
    <s v="High"/>
    <s v="Operational Efficiency"/>
    <n v="0.58333333333333337"/>
    <n v="0.95833333333333337"/>
    <n v="8"/>
    <s v="Working Day"/>
    <x v="0"/>
  </r>
  <r>
    <s v="ATD00547"/>
    <d v="2025-01-12T00:00:00"/>
    <x v="2"/>
    <s v="Q1"/>
    <s v="Sunday"/>
    <s v="EMP029"/>
    <s v="Employee 29"/>
    <x v="2"/>
    <s v="Software Engineer"/>
    <s v="Hyderabad"/>
    <s v="Afternoon Shift"/>
    <d v="1899-12-30T09:00:00"/>
    <d v="1899-12-30T18:00:00"/>
    <n v="8"/>
    <n v="0"/>
    <x v="0"/>
    <m/>
    <n v="5"/>
    <s v="L2"/>
    <s v="R. Karthikeyan"/>
    <x v="2"/>
    <s v="Late Login"/>
    <n v="33"/>
    <x v="1"/>
    <n v="43631"/>
    <n v="85000000"/>
    <s v="99.5% System Uptime"/>
    <n v="720000"/>
    <s v="High"/>
    <s v="Project Delivery"/>
    <n v="0.58333333333333337"/>
    <n v="0.95833333333333337"/>
    <n v="8"/>
    <s v="Working Day"/>
    <x v="0"/>
  </r>
  <r>
    <s v="ATD00548"/>
    <d v="2025-04-27T00:00:00"/>
    <x v="1"/>
    <s v="Q2"/>
    <s v="Sunday"/>
    <s v="EMP042"/>
    <s v="Employee 42"/>
    <x v="0"/>
    <s v="Support Executive"/>
    <s v="Chennai"/>
    <s v="Night Shift"/>
    <d v="1899-12-30T22:00:00"/>
    <d v="1899-12-30T07:00:00"/>
    <n v="9.5"/>
    <n v="1.5"/>
    <x v="0"/>
    <m/>
    <n v="5"/>
    <s v="L3"/>
    <s v="V. Vinoth"/>
    <x v="0"/>
    <s v="Late Login"/>
    <n v="28"/>
    <x v="0"/>
    <n v="43296"/>
    <n v="24000000"/>
    <s v="90% Customer Satisfaction"/>
    <n v="520000"/>
    <s v="High"/>
    <s v="Customer Satisfaction"/>
    <n v="0.91666666666666663"/>
    <n v="0.29166666666666669"/>
    <n v="8"/>
    <s v="Working Day"/>
    <x v="0"/>
  </r>
  <r>
    <s v="ATD00549"/>
    <d v="2025-03-09T00:00:00"/>
    <x v="4"/>
    <s v="Q1"/>
    <s v="Sunday"/>
    <s v="EMP015"/>
    <s v="Employee 15"/>
    <x v="2"/>
    <s v="Software Engineer"/>
    <s v="Madurai"/>
    <s v="Morning Shift"/>
    <d v="1899-12-30T09:00:00"/>
    <d v="1899-12-30T18:00:00"/>
    <n v="9.5"/>
    <n v="1.5"/>
    <x v="0"/>
    <m/>
    <m/>
    <s v="L2"/>
    <s v="R. Karthikeyan"/>
    <x v="1"/>
    <s v="Work From Home"/>
    <n v="37"/>
    <x v="1"/>
    <n v="43570"/>
    <n v="85000000"/>
    <s v="99.5% System Uptime"/>
    <n v="720000"/>
    <s v="High"/>
    <s v="Project Delivery"/>
    <n v="0.25"/>
    <n v="0.625"/>
    <n v="8"/>
    <s v="Working Day"/>
    <x v="0"/>
  </r>
  <r>
    <s v="ATD00550"/>
    <d v="2025-05-20T00:00:00"/>
    <x v="3"/>
    <s v="Q2"/>
    <s v="Tuesday"/>
    <s v="EMP018"/>
    <s v="Employee 18"/>
    <x v="3"/>
    <s v="Accountant"/>
    <s v="Bengaluru"/>
    <s v="General Shift"/>
    <d v="1899-12-30T09:00:00"/>
    <d v="1899-12-30T18:00:00"/>
    <n v="8"/>
    <n v="0"/>
    <x v="0"/>
    <m/>
    <n v="4"/>
    <s v="L4"/>
    <s v="M. Mahesh"/>
    <x v="2"/>
    <s v="Client Visit"/>
    <n v="22"/>
    <x v="1"/>
    <n v="44757"/>
    <n v="26000000"/>
    <s v="100% Payroll Accuracy"/>
    <n v="640000"/>
    <s v="High"/>
    <s v="Financial Compliance"/>
    <n v="0.375"/>
    <n v="0.75"/>
    <n v="8"/>
    <s v="Working Day"/>
    <x v="0"/>
  </r>
  <r>
    <s v="ATD00551"/>
    <d v="2025-02-08T00:00:00"/>
    <x v="5"/>
    <s v="Q1"/>
    <s v="Saturday"/>
    <s v="EMP047"/>
    <s v="Employee 47"/>
    <x v="1"/>
    <s v="Operations Executive"/>
    <s v="Chennai"/>
    <s v="Morning Shift"/>
    <d v="1899-12-30T09:00:00"/>
    <d v="1899-12-30T18:00:00"/>
    <n v="8"/>
    <n v="0"/>
    <x v="0"/>
    <m/>
    <n v="4"/>
    <s v="L3"/>
    <s v="D. Dinesh"/>
    <x v="3"/>
    <s v="Client Visit"/>
    <n v="33"/>
    <x v="1"/>
    <n v="45275"/>
    <n v="34000000"/>
    <s v="95% Process Efficiency"/>
    <n v="610000"/>
    <s v="High"/>
    <s v="Operational Efficiency"/>
    <n v="0.25"/>
    <n v="0.625"/>
    <n v="8"/>
    <s v="Working Day"/>
    <x v="0"/>
  </r>
  <r>
    <s v="ATD00552"/>
    <d v="2025-03-03T00:00:00"/>
    <x v="4"/>
    <s v="Q1"/>
    <s v="Monday"/>
    <s v="EMP018"/>
    <s v="Employee 18"/>
    <x v="3"/>
    <s v="Accountant"/>
    <s v="Bengaluru"/>
    <s v="Flexible Shift"/>
    <d v="1899-12-30T09:00:00"/>
    <d v="1899-12-30T18:00:00"/>
    <n v="8"/>
    <n v="0"/>
    <x v="0"/>
    <m/>
    <n v="3"/>
    <s v="L4"/>
    <s v="M. Mahesh"/>
    <x v="2"/>
    <s v="Work From Home"/>
    <n v="22"/>
    <x v="1"/>
    <n v="44757"/>
    <n v="26000000"/>
    <s v="100% Payroll Accuracy"/>
    <n v="640000"/>
    <s v="High"/>
    <s v="Financial Compliance"/>
    <n v="0.41666666666666669"/>
    <n v="0.79166666666666663"/>
    <n v="8"/>
    <s v="Working Day"/>
    <x v="0"/>
  </r>
  <r>
    <s v="ATD00553"/>
    <d v="2025-06-02T00:00:00"/>
    <x v="0"/>
    <s v="Q2"/>
    <s v="Monday"/>
    <s v="EMP044"/>
    <s v="Employee 44"/>
    <x v="4"/>
    <s v="HR Executive"/>
    <s v="Hyderabad"/>
    <s v="Night Shift"/>
    <d v="1899-12-30T22:00:00"/>
    <d v="1899-12-30T07:00:00"/>
    <n v="8.5"/>
    <n v="0.5"/>
    <x v="0"/>
    <m/>
    <n v="3"/>
    <s v="L2"/>
    <s v="P. Priya"/>
    <x v="2"/>
    <s v="Client Visit"/>
    <n v="30"/>
    <x v="0"/>
    <n v="44089"/>
    <n v="18000000"/>
    <s v="&lt;30 Days Hiring Cycle"/>
    <n v="560000"/>
    <s v="Medium"/>
    <s v="Hiring &amp; Retention"/>
    <n v="0.91666666666666663"/>
    <n v="0.29166666666666669"/>
    <n v="8"/>
    <s v="Working Day"/>
    <x v="0"/>
  </r>
  <r>
    <s v="ATD00554"/>
    <d v="2025-01-06T00:00:00"/>
    <x v="2"/>
    <s v="Q1"/>
    <s v="Monday"/>
    <s v="EMP006"/>
    <s v="Employee 6"/>
    <x v="5"/>
    <s v="Marketing Executive"/>
    <s v="Coimbatore"/>
    <s v="Night Shift"/>
    <m/>
    <m/>
    <m/>
    <m/>
    <x v="2"/>
    <m/>
    <m/>
    <s v="L3"/>
    <s v="S. Swetha"/>
    <x v="1"/>
    <s v="Client Visit"/>
    <n v="28"/>
    <x v="0"/>
    <n v="45488"/>
    <n v="22000000"/>
    <s v="2500 Qualified Leads"/>
    <n v="590000"/>
    <s v="Medium"/>
    <s v="Lead Generation"/>
    <n v="0.91666666666666663"/>
    <n v="0.29166666666666669"/>
    <n v="8"/>
    <s v="Working Day"/>
    <x v="0"/>
  </r>
  <r>
    <s v="ATD00555"/>
    <d v="2025-05-09T00:00:00"/>
    <x v="3"/>
    <s v="Q2"/>
    <s v="Friday"/>
    <s v="EMP048"/>
    <s v="Employee 48"/>
    <x v="5"/>
    <s v="Marketing Executive"/>
    <s v="Bengaluru"/>
    <s v="Morning Shift"/>
    <d v="1899-12-30T09:00:00"/>
    <d v="1899-12-30T18:00:00"/>
    <n v="8"/>
    <n v="0"/>
    <x v="0"/>
    <m/>
    <n v="5"/>
    <s v="L4"/>
    <s v="S. Swetha"/>
    <x v="1"/>
    <s v="Late Login"/>
    <n v="34"/>
    <x v="0"/>
    <n v="45306"/>
    <n v="22000000"/>
    <s v="2500 Qualified Leads"/>
    <n v="590000"/>
    <s v="Medium"/>
    <s v="Lead Generation"/>
    <n v="0.25"/>
    <n v="0.625"/>
    <n v="8"/>
    <s v="Working Day"/>
    <x v="0"/>
  </r>
  <r>
    <s v="ATD00556"/>
    <d v="2025-02-13T00:00:00"/>
    <x v="5"/>
    <s v="Q1"/>
    <s v="Thursday"/>
    <s v="EMP024"/>
    <s v="Employee 24"/>
    <x v="6"/>
    <s v="Sales Executive"/>
    <s v="Hyderabad"/>
    <s v="Flexible Shift"/>
    <d v="1899-12-30T09:10:00"/>
    <d v="1899-12-30T18:00:00"/>
    <n v="8"/>
    <n v="0"/>
    <x v="0"/>
    <m/>
    <m/>
    <s v="L4"/>
    <s v="V. Vivek"/>
    <x v="2"/>
    <m/>
    <n v="28"/>
    <x v="1"/>
    <n v="44211"/>
    <n v="42000000"/>
    <s v="₹2.5 Cr Monthly Sales"/>
    <n v="680000"/>
    <s v="High"/>
    <s v="Revenue Achievement"/>
    <n v="0.41666666666666669"/>
    <n v="0.79166666666666663"/>
    <n v="8"/>
    <s v="Working Day"/>
    <x v="0"/>
  </r>
  <r>
    <s v="ATD00557"/>
    <d v="2025-04-26T00:00:00"/>
    <x v="1"/>
    <s v="Q2"/>
    <s v="Saturday"/>
    <s v="EMP020"/>
    <s v="Employee 20"/>
    <x v="5"/>
    <s v="Marketing Executive"/>
    <s v="Madurai"/>
    <s v="Afternoon Shift"/>
    <m/>
    <d v="1899-12-30T18:00:00"/>
    <n v="8"/>
    <n v="0"/>
    <x v="0"/>
    <m/>
    <m/>
    <s v="L2"/>
    <s v="S. Swetha"/>
    <x v="3"/>
    <s v="Client Visit"/>
    <n v="24"/>
    <x v="1"/>
    <n v="45550"/>
    <n v="22000000"/>
    <s v="2500 Qualified Leads"/>
    <n v="590000"/>
    <s v="Medium"/>
    <s v="Lead Generation"/>
    <n v="0.58333333333333337"/>
    <n v="0.95833333333333337"/>
    <n v="8"/>
    <s v="Working Day"/>
    <x v="0"/>
  </r>
  <r>
    <s v="ATD00558"/>
    <d v="2025-04-24T00:00:00"/>
    <x v="1"/>
    <s v="Q2"/>
    <s v="Thursday"/>
    <s v="EMP033"/>
    <s v="Employee 33"/>
    <x v="1"/>
    <s v="Operations Executive"/>
    <s v="Bengaluru"/>
    <s v="General Shift"/>
    <d v="1899-12-30T09:00:00"/>
    <d v="1899-12-30T18:00:00"/>
    <n v="8"/>
    <n v="0"/>
    <x v="0"/>
    <m/>
    <n v="3"/>
    <s v="L4"/>
    <s v="D. Dinesh"/>
    <x v="0"/>
    <s v="Late Login"/>
    <n v="37"/>
    <x v="1"/>
    <n v="45214"/>
    <n v="34000000"/>
    <s v="95% Process Efficiency"/>
    <n v="610000"/>
    <s v="High"/>
    <s v="Operational Efficiency"/>
    <n v="0.375"/>
    <n v="0.75"/>
    <n v="8"/>
    <s v="Working Day"/>
    <x v="0"/>
  </r>
  <r>
    <s v="ATD00559"/>
    <d v="2025-02-07T00:00:00"/>
    <x v="5"/>
    <s v="Q1"/>
    <s v="Friday"/>
    <s v="EMP046"/>
    <s v="Employee 46"/>
    <x v="3"/>
    <s v="Accountant"/>
    <s v="Coimbatore"/>
    <s v="Afternoon Shift"/>
    <d v="1899-12-30T09:00:00"/>
    <d v="1899-12-30T18:00:00"/>
    <n v="8"/>
    <n v="0"/>
    <x v="0"/>
    <m/>
    <n v="3"/>
    <s v="L1"/>
    <s v="M. Mahesh"/>
    <x v="1"/>
    <s v="Late Login"/>
    <n v="32"/>
    <x v="0"/>
    <n v="44880"/>
    <n v="26000000"/>
    <s v="100% Payroll Accuracy"/>
    <n v="640000"/>
    <s v="High"/>
    <s v="Financial Compliance"/>
    <n v="0.58333333333333337"/>
    <n v="0.95833333333333337"/>
    <n v="8"/>
    <s v="Working Day"/>
    <x v="0"/>
  </r>
  <r>
    <s v="ATD00560"/>
    <d v="2025-01-04T00:00:00"/>
    <x v="2"/>
    <s v="Q1"/>
    <s v="Saturday"/>
    <s v="EMP015"/>
    <s v="Employee 15"/>
    <x v="2"/>
    <s v="Software Engineer"/>
    <s v="Madurai"/>
    <s v="Night Shift"/>
    <d v="1899-12-30T22:00:00"/>
    <d v="1899-12-30T07:00:00"/>
    <n v="10"/>
    <n v="2"/>
    <x v="0"/>
    <m/>
    <n v="5"/>
    <s v="L2"/>
    <s v="R. Karthikeyan"/>
    <x v="0"/>
    <s v="Work From Home"/>
    <n v="37"/>
    <x v="1"/>
    <n v="43570"/>
    <n v="85000000"/>
    <s v="99.5% System Uptime"/>
    <n v="720000"/>
    <s v="High"/>
    <s v="Project Delivery"/>
    <n v="0.91666666666666663"/>
    <n v="0.29166666666666669"/>
    <n v="8"/>
    <s v="Working Day"/>
    <x v="0"/>
  </r>
  <r>
    <s v="ATD00561"/>
    <d v="2025-01-20T00:00:00"/>
    <x v="2"/>
    <s v="Q1"/>
    <s v="Monday"/>
    <s v="EMP038"/>
    <s v="Employee 38"/>
    <x v="6"/>
    <s v="Sales Executive"/>
    <s v="Bengaluru"/>
    <s v="General Shift"/>
    <d v="1899-12-30T09:20:00"/>
    <d v="1899-12-30T18:00:00"/>
    <n v="8"/>
    <n v="0"/>
    <x v="0"/>
    <m/>
    <n v="4"/>
    <s v="L2"/>
    <s v="V. Vivek"/>
    <x v="1"/>
    <s v="Late Login"/>
    <n v="24"/>
    <x v="1"/>
    <n v="44270"/>
    <n v="42000000"/>
    <s v="₹2.5 Cr Monthly Sales"/>
    <n v="680000"/>
    <s v="High"/>
    <s v="Revenue Achievement"/>
    <n v="0.375"/>
    <n v="0.75"/>
    <n v="8"/>
    <s v="Working Day"/>
    <x v="0"/>
  </r>
  <r>
    <s v="ATD00562"/>
    <d v="2025-01-18T00:00:00"/>
    <x v="2"/>
    <s v="Q1"/>
    <s v="Saturday"/>
    <s v="EMP041"/>
    <s v="Employee 41"/>
    <x v="5"/>
    <s v="Marketing Executive"/>
    <s v="Coimbatore"/>
    <s v="Night Shift"/>
    <d v="1899-12-30T22:00:00"/>
    <d v="1899-12-30T07:00:00"/>
    <n v="10"/>
    <n v="2"/>
    <x v="0"/>
    <m/>
    <n v="4"/>
    <s v="L1"/>
    <s v="S. Swetha"/>
    <x v="2"/>
    <m/>
    <n v="27"/>
    <x v="1"/>
    <n v="45458"/>
    <n v="22000000"/>
    <s v="2500 Qualified Leads"/>
    <n v="590000"/>
    <s v="Medium"/>
    <s v="Lead Generation"/>
    <n v="0.91666666666666663"/>
    <n v="0.29166666666666669"/>
    <n v="8"/>
    <s v="Working Day"/>
    <x v="0"/>
  </r>
  <r>
    <s v="ATD00563"/>
    <d v="2025-02-28T00:00:00"/>
    <x v="5"/>
    <s v="Q1"/>
    <s v="Friday"/>
    <s v="EMP024"/>
    <s v="Employee 24"/>
    <x v="6"/>
    <s v="Sales Executive"/>
    <s v="Hyderabad"/>
    <s v="Morning Shift"/>
    <d v="1899-12-30T09:35:00"/>
    <d v="1899-12-30T18:00:00"/>
    <n v="8"/>
    <n v="0"/>
    <x v="0"/>
    <m/>
    <n v="3"/>
    <s v="L2"/>
    <s v="V. Vivek"/>
    <x v="3"/>
    <m/>
    <n v="28"/>
    <x v="1"/>
    <n v="44211"/>
    <n v="42000000"/>
    <s v="₹2.5 Cr Monthly Sales"/>
    <n v="680000"/>
    <s v="High"/>
    <s v="Revenue Achievement"/>
    <n v="0.25"/>
    <n v="0.625"/>
    <n v="8"/>
    <s v="Working Day"/>
    <x v="0"/>
  </r>
  <r>
    <s v="ATD00564"/>
    <d v="2025-02-22T00:00:00"/>
    <x v="5"/>
    <s v="Q1"/>
    <s v="Saturday"/>
    <s v="EMP045"/>
    <s v="Employee 45"/>
    <x v="6"/>
    <s v="Sales Executive"/>
    <s v="Madurai"/>
    <s v="Flexible Shift"/>
    <d v="1899-12-30T09:10:00"/>
    <d v="1899-12-30T18:00:00"/>
    <n v="8"/>
    <n v="0"/>
    <x v="0"/>
    <m/>
    <n v="3"/>
    <s v="L2"/>
    <s v="V. Vivek"/>
    <x v="2"/>
    <s v="Late Login"/>
    <n v="31"/>
    <x v="1"/>
    <n v="44484"/>
    <n v="42000000"/>
    <s v="₹2.5 Cr Monthly Sales"/>
    <n v="680000"/>
    <s v="High"/>
    <s v="Revenue Achievement"/>
    <n v="0.41666666666666669"/>
    <n v="0.79166666666666663"/>
    <n v="8"/>
    <s v="Working Day"/>
    <x v="0"/>
  </r>
  <r>
    <s v="ATD00565"/>
    <d v="2025-03-05T00:00:00"/>
    <x v="4"/>
    <s v="Q1"/>
    <s v="Wednesday"/>
    <s v="EMP034"/>
    <s v="Employee 34"/>
    <x v="5"/>
    <s v="Marketing Executive"/>
    <s v="Hyderabad"/>
    <s v="Night Shift"/>
    <d v="1899-12-30T22:00:00"/>
    <d v="1899-12-30T07:00:00"/>
    <n v="9.5"/>
    <n v="1.5"/>
    <x v="0"/>
    <m/>
    <n v="3"/>
    <s v="L1"/>
    <s v="S. Swetha"/>
    <x v="3"/>
    <s v="Client Visit"/>
    <n v="38"/>
    <x v="0"/>
    <n v="45611"/>
    <n v="22000000"/>
    <s v="2500 Qualified Leads"/>
    <n v="590000"/>
    <s v="Medium"/>
    <s v="Lead Generation"/>
    <n v="0.91666666666666663"/>
    <n v="0.29166666666666669"/>
    <n v="8"/>
    <s v="Working Day"/>
    <x v="0"/>
  </r>
  <r>
    <s v="ATD00566"/>
    <d v="2025-04-06T00:00:00"/>
    <x v="1"/>
    <s v="Q2"/>
    <s v="Sunday"/>
    <s v="EMP039"/>
    <s v="Employee 39"/>
    <x v="3"/>
    <s v="Accountant"/>
    <s v="Hyderabad"/>
    <s v="Night Shift"/>
    <d v="1899-12-30T22:00:00"/>
    <d v="1899-12-30T07:00:00"/>
    <n v="9"/>
    <n v="1"/>
    <x v="0"/>
    <m/>
    <n v="4"/>
    <s v="L4"/>
    <s v="M. Mahesh"/>
    <x v="0"/>
    <s v="Work From Home"/>
    <n v="25"/>
    <x v="0"/>
    <n v="44666"/>
    <n v="26000000"/>
    <s v="100% Payroll Accuracy"/>
    <n v="640000"/>
    <s v="High"/>
    <s v="Financial Compliance"/>
    <n v="0.91666666666666663"/>
    <n v="0.29166666666666669"/>
    <n v="8"/>
    <s v="Working Day"/>
    <x v="0"/>
  </r>
  <r>
    <s v="ATD00567"/>
    <d v="2025-02-06T00:00:00"/>
    <x v="5"/>
    <s v="Q1"/>
    <s v="Thursday"/>
    <s v="EMP043"/>
    <s v="Employee 43"/>
    <x v="2"/>
    <s v="Software Engineer"/>
    <s v="Bengaluru"/>
    <s v="Morning Shift"/>
    <d v="1899-12-30T09:00:00"/>
    <d v="1899-12-30T18:00:00"/>
    <n v="9"/>
    <n v="1"/>
    <x v="0"/>
    <m/>
    <m/>
    <s v="L2"/>
    <s v="R. Karthikeyan"/>
    <x v="1"/>
    <m/>
    <n v="29"/>
    <x v="1"/>
    <n v="43692"/>
    <n v="85000000"/>
    <s v="99.5% System Uptime"/>
    <n v="720000"/>
    <s v="High"/>
    <s v="Project Delivery"/>
    <n v="0.25"/>
    <n v="0.625"/>
    <n v="8"/>
    <s v="Working Day"/>
    <x v="0"/>
  </r>
  <r>
    <s v="ATD00568"/>
    <d v="2025-03-19T00:00:00"/>
    <x v="4"/>
    <s v="Q1"/>
    <s v="Wednesday"/>
    <s v="EMP007"/>
    <s v="Employee 7"/>
    <x v="0"/>
    <s v="Support Executive"/>
    <s v="Chennai"/>
    <s v="Night Shift"/>
    <d v="1899-12-30T22:00:00"/>
    <d v="1899-12-30T07:00:00"/>
    <n v="9"/>
    <n v="1"/>
    <x v="0"/>
    <m/>
    <n v="4"/>
    <s v="L2"/>
    <s v="V. Vinoth"/>
    <x v="1"/>
    <s v="Work From Home"/>
    <n v="29"/>
    <x v="1"/>
    <n v="43327"/>
    <n v="24000000"/>
    <s v="90% Customer Satisfaction"/>
    <n v="520000"/>
    <s v="High"/>
    <s v="Customer Satisfaction"/>
    <n v="0.91666666666666663"/>
    <n v="0.29166666666666669"/>
    <n v="8"/>
    <s v="Working Day"/>
    <x v="0"/>
  </r>
  <r>
    <s v="ATD00569"/>
    <d v="2025-04-30T00:00:00"/>
    <x v="1"/>
    <s v="Q2"/>
    <s v="Wednesday"/>
    <s v="EMP010"/>
    <s v="Employee 10"/>
    <x v="6"/>
    <s v="Sales Executive"/>
    <s v="Madurai"/>
    <s v="Morning Shift"/>
    <d v="1899-12-30T09:10:00"/>
    <d v="1899-12-30T18:00:00"/>
    <n v="8"/>
    <n v="0"/>
    <x v="0"/>
    <m/>
    <n v="4"/>
    <s v="L3"/>
    <s v="V. Vivek"/>
    <x v="0"/>
    <s v="Client Visit"/>
    <n v="32"/>
    <x v="0"/>
    <n v="44515"/>
    <n v="42000000"/>
    <s v="₹2.5 Cr Monthly Sales"/>
    <n v="680000"/>
    <s v="High"/>
    <s v="Revenue Achievement"/>
    <n v="0.25"/>
    <n v="0.625"/>
    <n v="8"/>
    <s v="Working Day"/>
    <x v="0"/>
  </r>
  <r>
    <s v="ATD00570"/>
    <d v="2025-05-13T00:00:00"/>
    <x v="3"/>
    <s v="Q2"/>
    <s v="Tuesday"/>
    <s v="EMP006"/>
    <s v="Employee 6"/>
    <x v="5"/>
    <s v="Marketing Executive"/>
    <s v="Coimbatore"/>
    <s v="Morning Shift"/>
    <d v="1899-12-30T09:00:00"/>
    <d v="1899-12-30T18:00:00"/>
    <n v="8"/>
    <n v="0"/>
    <x v="0"/>
    <m/>
    <n v="5"/>
    <s v="L1"/>
    <s v="S. Swetha"/>
    <x v="2"/>
    <s v="Client Visit"/>
    <n v="28"/>
    <x v="0"/>
    <n v="45488"/>
    <n v="22000000"/>
    <s v="2500 Qualified Leads"/>
    <n v="590000"/>
    <s v="Medium"/>
    <s v="Lead Generation"/>
    <n v="0.25"/>
    <n v="0.625"/>
    <n v="8"/>
    <s v="Working Day"/>
    <x v="0"/>
  </r>
  <r>
    <s v="ATD00571"/>
    <d v="2025-02-25T00:00:00"/>
    <x v="5"/>
    <s v="Q1"/>
    <s v="Tuesday"/>
    <s v="EMP012"/>
    <s v="Employee 12"/>
    <x v="1"/>
    <s v="Operations Executive"/>
    <s v="Chennai"/>
    <s v="Afternoon Shift"/>
    <d v="1899-12-30T09:00:00"/>
    <d v="1899-12-30T18:00:00"/>
    <n v="8"/>
    <n v="0"/>
    <x v="0"/>
    <m/>
    <n v="3"/>
    <s v="L3"/>
    <s v="D. Dinesh"/>
    <x v="0"/>
    <m/>
    <n v="34"/>
    <x v="0"/>
    <n v="44941"/>
    <n v="34000000"/>
    <s v="95% Process Efficiency"/>
    <n v="610000"/>
    <s v="High"/>
    <s v="Operational Efficiency"/>
    <n v="0.58333333333333337"/>
    <n v="0.95833333333333337"/>
    <n v="8"/>
    <s v="Working Day"/>
    <x v="0"/>
  </r>
  <r>
    <s v="ATD00572"/>
    <d v="2025-01-31T00:00:00"/>
    <x v="2"/>
    <s v="Q1"/>
    <s v="Friday"/>
    <s v="EMP037"/>
    <s v="Employee 37"/>
    <x v="4"/>
    <s v="HR Executive"/>
    <s v="Chennai"/>
    <s v="General Shift"/>
    <m/>
    <m/>
    <m/>
    <m/>
    <x v="2"/>
    <m/>
    <m/>
    <s v="L3"/>
    <s v="P. Priya"/>
    <x v="2"/>
    <s v="Work From Home"/>
    <n v="23"/>
    <x v="0"/>
    <n v="43876"/>
    <n v="18000000"/>
    <s v="&lt;30 Days Hiring Cycle"/>
    <n v="560000"/>
    <s v="Medium"/>
    <s v="Hiring &amp; Retention"/>
    <n v="0.375"/>
    <n v="0.75"/>
    <n v="8"/>
    <s v="Working Day"/>
    <x v="0"/>
  </r>
  <r>
    <s v="ATD00573"/>
    <d v="2025-03-02T00:00:00"/>
    <x v="4"/>
    <s v="Q1"/>
    <s v="Sunday"/>
    <s v="EMP004"/>
    <s v="Employee 4"/>
    <x v="3"/>
    <s v="Accountant"/>
    <s v="Hyderabad"/>
    <s v="Flexible Shift"/>
    <d v="1899-12-30T09:00:00"/>
    <d v="1899-12-30T18:00:00"/>
    <n v="8"/>
    <n v="0"/>
    <x v="0"/>
    <m/>
    <n v="5"/>
    <s v="L3"/>
    <s v="M. Mahesh"/>
    <x v="3"/>
    <s v="Work From Home"/>
    <n v="26"/>
    <x v="0"/>
    <n v="44696"/>
    <n v="26000000"/>
    <s v="100% Payroll Accuracy"/>
    <n v="640000"/>
    <s v="High"/>
    <s v="Financial Compliance"/>
    <n v="0.41666666666666669"/>
    <n v="0.79166666666666663"/>
    <n v="8"/>
    <s v="Working Day"/>
    <x v="0"/>
  </r>
  <r>
    <s v="ATD00574"/>
    <d v="2025-04-02T00:00:00"/>
    <x v="1"/>
    <s v="Q2"/>
    <s v="Wednesday"/>
    <s v="EMP035"/>
    <s v="Employee 35"/>
    <x v="0"/>
    <s v="Support Executive"/>
    <s v="Madurai"/>
    <s v="Morning Shift"/>
    <d v="1899-12-30T09:00:00"/>
    <d v="1899-12-30T18:00:00"/>
    <n v="8"/>
    <n v="0"/>
    <x v="0"/>
    <m/>
    <n v="3"/>
    <s v="L3"/>
    <s v="V. Vinoth"/>
    <x v="2"/>
    <s v="Work From Home"/>
    <n v="39"/>
    <x v="1"/>
    <n v="43449"/>
    <n v="24000000"/>
    <s v="90% Customer Satisfaction"/>
    <n v="520000"/>
    <s v="High"/>
    <s v="Customer Satisfaction"/>
    <n v="0.25"/>
    <n v="0.625"/>
    <n v="8"/>
    <s v="Working Day"/>
    <x v="0"/>
  </r>
  <r>
    <s v="ATD00575"/>
    <d v="2025-05-05T00:00:00"/>
    <x v="3"/>
    <s v="Q2"/>
    <s v="Monday"/>
    <s v="EMP030"/>
    <s v="Employee 30"/>
    <x v="4"/>
    <s v="HR Executive"/>
    <s v="Madurai"/>
    <s v="Night Shift"/>
    <d v="1899-12-30T22:00:00"/>
    <d v="1899-12-30T07:00:00"/>
    <n v="10"/>
    <n v="2"/>
    <x v="0"/>
    <m/>
    <n v="4"/>
    <s v="L1"/>
    <s v="P. Priya"/>
    <x v="2"/>
    <s v="Client Visit"/>
    <n v="34"/>
    <x v="0"/>
    <n v="44027"/>
    <n v="18000000"/>
    <s v="&lt;30 Days Hiring Cycle"/>
    <n v="560000"/>
    <s v="Medium"/>
    <s v="Hiring &amp; Retention"/>
    <n v="0.91666666666666663"/>
    <n v="0.29166666666666669"/>
    <n v="8"/>
    <s v="Working Day"/>
    <x v="0"/>
  </r>
  <r>
    <s v="ATD00576"/>
    <d v="2025-04-24T00:00:00"/>
    <x v="1"/>
    <s v="Q2"/>
    <s v="Thursday"/>
    <s v="EMP026"/>
    <s v="Employee 26"/>
    <x v="1"/>
    <s v="Operations Executive"/>
    <s v="Coimbatore"/>
    <s v="Afternoon Shift"/>
    <d v="1899-12-30T09:00:00"/>
    <d v="1899-12-30T18:00:00"/>
    <n v="8"/>
    <n v="0"/>
    <x v="0"/>
    <m/>
    <m/>
    <s v="L3"/>
    <s v="D. Dinesh"/>
    <x v="2"/>
    <m/>
    <n v="30"/>
    <x v="0"/>
    <n v="45000"/>
    <n v="34000000"/>
    <s v="95% Process Efficiency"/>
    <n v="610000"/>
    <s v="High"/>
    <s v="Operational Efficiency"/>
    <n v="0.58333333333333337"/>
    <n v="0.95833333333333337"/>
    <n v="8"/>
    <s v="Working Day"/>
    <x v="0"/>
  </r>
  <r>
    <s v="ATD00577"/>
    <d v="2025-03-14T00:00:00"/>
    <x v="4"/>
    <s v="Q1"/>
    <s v="Friday"/>
    <s v="EMP048"/>
    <s v="Employee 48"/>
    <x v="5"/>
    <s v="Marketing Executive"/>
    <s v="Bengaluru"/>
    <s v="Flexible Shift"/>
    <d v="1899-12-30T09:00:00"/>
    <d v="1899-12-30T18:00:00"/>
    <n v="8"/>
    <n v="0"/>
    <x v="0"/>
    <m/>
    <n v="3"/>
    <s v="L3"/>
    <s v="S. Swetha"/>
    <x v="0"/>
    <s v="Work From Home"/>
    <n v="34"/>
    <x v="0"/>
    <n v="45306"/>
    <n v="22000000"/>
    <s v="2500 Qualified Leads"/>
    <n v="590000"/>
    <s v="Medium"/>
    <s v="Lead Generation"/>
    <n v="0.41666666666666669"/>
    <n v="0.79166666666666663"/>
    <n v="8"/>
    <s v="Working Day"/>
    <x v="0"/>
  </r>
  <r>
    <s v="ATD00578"/>
    <d v="2025-05-04T00:00:00"/>
    <x v="3"/>
    <s v="Q2"/>
    <s v="Sunday"/>
    <s v="EMP028"/>
    <s v="Employee 28"/>
    <x v="0"/>
    <s v="Support Executive"/>
    <s v="Bengaluru"/>
    <s v="Afternoon Shift"/>
    <d v="1899-12-30T09:00:00"/>
    <d v="1899-12-30T18:00:00"/>
    <n v="8"/>
    <n v="0"/>
    <x v="0"/>
    <m/>
    <n v="4"/>
    <s v="L1"/>
    <s v="V. Vinoth"/>
    <x v="3"/>
    <s v="Client Visit"/>
    <n v="32"/>
    <x v="0"/>
    <n v="43235"/>
    <n v="24000000"/>
    <s v="90% Customer Satisfaction"/>
    <n v="520000"/>
    <s v="High"/>
    <s v="Customer Satisfaction"/>
    <n v="0.58333333333333337"/>
    <n v="0.95833333333333337"/>
    <n v="8"/>
    <s v="Working Day"/>
    <x v="0"/>
  </r>
  <r>
    <s v="ATD00579"/>
    <d v="2025-06-28T00:00:00"/>
    <x v="0"/>
    <s v="Q2"/>
    <s v="Saturday"/>
    <s v="EMP048"/>
    <s v="Employee 48"/>
    <x v="5"/>
    <s v="Marketing Executive"/>
    <s v="Bengaluru"/>
    <s v="Morning Shift"/>
    <d v="1899-12-30T09:00:00"/>
    <d v="1899-12-30T18:00:00"/>
    <n v="8"/>
    <n v="0"/>
    <x v="0"/>
    <m/>
    <n v="5"/>
    <s v="L1"/>
    <s v="S. Swetha"/>
    <x v="1"/>
    <m/>
    <n v="34"/>
    <x v="0"/>
    <n v="45306"/>
    <n v="22000000"/>
    <s v="2500 Qualified Leads"/>
    <n v="590000"/>
    <s v="Medium"/>
    <s v="Lead Generation"/>
    <n v="0.25"/>
    <n v="0.625"/>
    <n v="8"/>
    <s v="Working Day"/>
    <x v="0"/>
  </r>
  <r>
    <s v="ATD00580"/>
    <d v="2025-02-06T00:00:00"/>
    <x v="5"/>
    <s v="Q1"/>
    <s v="Thursday"/>
    <s v="EMP018"/>
    <s v="Employee 18"/>
    <x v="3"/>
    <s v="Accountant"/>
    <s v="Bengaluru"/>
    <s v="Afternoon Shift"/>
    <d v="1899-12-30T09:00:00"/>
    <d v="1899-12-30T18:00:00"/>
    <n v="8"/>
    <n v="0"/>
    <x v="0"/>
    <m/>
    <n v="5"/>
    <s v="L3"/>
    <s v="M. Mahesh"/>
    <x v="2"/>
    <s v="Work From Home"/>
    <n v="22"/>
    <x v="1"/>
    <n v="44757"/>
    <n v="26000000"/>
    <s v="100% Payroll Accuracy"/>
    <n v="640000"/>
    <s v="High"/>
    <s v="Financial Compliance"/>
    <n v="0.58333333333333337"/>
    <n v="0.95833333333333337"/>
    <n v="8"/>
    <s v="Working Day"/>
    <x v="0"/>
  </r>
  <r>
    <s v="ATD00581"/>
    <d v="2025-01-30T00:00:00"/>
    <x v="2"/>
    <s v="Q1"/>
    <s v="Thursday"/>
    <s v="EMP008"/>
    <s v="Employee 8"/>
    <x v="2"/>
    <s v="Software Engineer"/>
    <s v="Bengaluru"/>
    <s v="Afternoon Shift"/>
    <d v="1899-12-30T09:00:00"/>
    <d v="1899-12-30T18:00:00"/>
    <n v="8.5"/>
    <n v="0.5"/>
    <x v="0"/>
    <m/>
    <n v="4"/>
    <s v="L2"/>
    <s v="R. Karthikeyan"/>
    <x v="2"/>
    <m/>
    <n v="30"/>
    <x v="0"/>
    <n v="43723"/>
    <n v="85000000"/>
    <s v="99.5% System Uptime"/>
    <n v="720000"/>
    <s v="High"/>
    <s v="Project Delivery"/>
    <n v="0.58333333333333337"/>
    <n v="0.95833333333333337"/>
    <n v="8"/>
    <s v="Working Day"/>
    <x v="0"/>
  </r>
  <r>
    <s v="ATD00582"/>
    <d v="2025-01-10T00:00:00"/>
    <x v="2"/>
    <s v="Q1"/>
    <s v="Friday"/>
    <s v="EMP038"/>
    <s v="Employee 38"/>
    <x v="6"/>
    <s v="Sales Executive"/>
    <s v="Bengaluru"/>
    <s v="Afternoon Shift"/>
    <d v="1899-12-30T09:00:00"/>
    <d v="1899-12-30T18:00:00"/>
    <n v="8"/>
    <n v="0"/>
    <x v="0"/>
    <m/>
    <n v="4"/>
    <s v="L4"/>
    <s v="V. Vivek"/>
    <x v="0"/>
    <s v="Work From Home"/>
    <n v="24"/>
    <x v="1"/>
    <n v="44270"/>
    <n v="42000000"/>
    <s v="₹2.5 Cr Monthly Sales"/>
    <n v="680000"/>
    <s v="High"/>
    <s v="Revenue Achievement"/>
    <n v="0.58333333333333337"/>
    <n v="0.95833333333333337"/>
    <n v="8"/>
    <s v="Working Day"/>
    <x v="0"/>
  </r>
  <r>
    <s v="ATD00583"/>
    <d v="2025-05-19T00:00:00"/>
    <x v="3"/>
    <s v="Q2"/>
    <s v="Monday"/>
    <s v="EMP029"/>
    <s v="Employee 29"/>
    <x v="2"/>
    <s v="Software Engineer"/>
    <s v="Hyderabad"/>
    <s v="Night Shift"/>
    <m/>
    <d v="1899-12-30T07:00:00"/>
    <n v="9.5"/>
    <n v="1.5"/>
    <x v="0"/>
    <m/>
    <n v="4"/>
    <s v="L4"/>
    <s v="R. Karthikeyan"/>
    <x v="0"/>
    <s v="Work From Home"/>
    <n v="33"/>
    <x v="1"/>
    <n v="43631"/>
    <n v="85000000"/>
    <s v="99.5% System Uptime"/>
    <n v="720000"/>
    <s v="High"/>
    <s v="Project Delivery"/>
    <n v="0.91666666666666663"/>
    <n v="0.29166666666666669"/>
    <n v="8"/>
    <s v="Working Day"/>
    <x v="0"/>
  </r>
  <r>
    <s v="ATD00584"/>
    <d v="2025-06-12T00:00:00"/>
    <x v="0"/>
    <s v="Q2"/>
    <s v="Thursday"/>
    <s v="EMP024"/>
    <s v="Employee 24"/>
    <x v="6"/>
    <s v="Sales Executive"/>
    <s v="Hyderabad"/>
    <s v="Night Shift"/>
    <d v="1899-12-30T09:35:00"/>
    <d v="1899-12-30T07:00:00"/>
    <n v="9"/>
    <n v="1"/>
    <x v="0"/>
    <m/>
    <n v="3"/>
    <s v="L2"/>
    <s v="V. Vivek"/>
    <x v="0"/>
    <s v="Late Login"/>
    <n v="28"/>
    <x v="1"/>
    <n v="44211"/>
    <n v="42000000"/>
    <s v="₹2.5 Cr Monthly Sales"/>
    <n v="680000"/>
    <s v="High"/>
    <s v="Revenue Achievement"/>
    <n v="0.91666666666666663"/>
    <n v="0.29166666666666669"/>
    <n v="8"/>
    <s v="Working Day"/>
    <x v="0"/>
  </r>
  <r>
    <s v="ATD00585"/>
    <d v="2025-05-15T00:00:00"/>
    <x v="3"/>
    <s v="Q2"/>
    <s v="Thursday"/>
    <s v="EMP007"/>
    <s v="Employee 7"/>
    <x v="0"/>
    <s v="Support Executive"/>
    <s v="Chennai"/>
    <s v="Morning Shift"/>
    <d v="1899-12-30T09:00:00"/>
    <d v="1899-12-30T18:00:00"/>
    <n v="8"/>
    <n v="0"/>
    <x v="0"/>
    <m/>
    <n v="4"/>
    <s v="L2"/>
    <s v="V. Vinoth"/>
    <x v="3"/>
    <s v="Work From Home"/>
    <n v="29"/>
    <x v="1"/>
    <n v="43327"/>
    <n v="24000000"/>
    <s v="90% Customer Satisfaction"/>
    <n v="520000"/>
    <s v="High"/>
    <s v="Customer Satisfaction"/>
    <n v="0.25"/>
    <n v="0.625"/>
    <n v="8"/>
    <s v="Working Day"/>
    <x v="0"/>
  </r>
  <r>
    <s v="ATD00586"/>
    <d v="2025-03-11T00:00:00"/>
    <x v="4"/>
    <s v="Q1"/>
    <s v="Tuesday"/>
    <s v="EMP010"/>
    <s v="Employee 10"/>
    <x v="6"/>
    <s v="Sales Executive"/>
    <s v="Madurai"/>
    <s v="General Shift"/>
    <d v="1899-12-30T09:10:00"/>
    <d v="1899-12-30T18:00:00"/>
    <n v="8"/>
    <n v="0"/>
    <x v="0"/>
    <m/>
    <n v="3"/>
    <s v="L1"/>
    <s v="V. Vivek"/>
    <x v="2"/>
    <s v="Late Login"/>
    <n v="32"/>
    <x v="0"/>
    <n v="44515"/>
    <n v="42000000"/>
    <s v="₹2.5 Cr Monthly Sales"/>
    <n v="680000"/>
    <s v="High"/>
    <s v="Revenue Achievement"/>
    <n v="0.375"/>
    <n v="0.75"/>
    <n v="8"/>
    <s v="Working Day"/>
    <x v="0"/>
  </r>
  <r>
    <s v="ATD00587"/>
    <d v="2025-01-29T00:00:00"/>
    <x v="2"/>
    <s v="Q1"/>
    <s v="Wednesday"/>
    <s v="EMP049"/>
    <s v="Employee 49"/>
    <x v="0"/>
    <s v="Support Executive"/>
    <s v="Hyderabad"/>
    <s v="Morning Shift"/>
    <d v="1899-12-30T09:00:00"/>
    <d v="1899-12-30T18:00:00"/>
    <n v="8"/>
    <n v="0"/>
    <x v="0"/>
    <m/>
    <n v="4"/>
    <s v="L1"/>
    <s v="V. Vinoth"/>
    <x v="1"/>
    <s v="Late Login"/>
    <n v="35"/>
    <x v="1"/>
    <n v="43146"/>
    <n v="24000000"/>
    <s v="90% Customer Satisfaction"/>
    <n v="520000"/>
    <s v="High"/>
    <s v="Customer Satisfaction"/>
    <n v="0.25"/>
    <n v="0.625"/>
    <n v="8"/>
    <s v="Working Day"/>
    <x v="0"/>
  </r>
  <r>
    <s v="ATD00588"/>
    <d v="2025-03-23T00:00:00"/>
    <x v="4"/>
    <s v="Q1"/>
    <s v="Sunday"/>
    <s v="EMP032"/>
    <s v="Employee 32"/>
    <x v="3"/>
    <s v="Accountant"/>
    <s v="Chennai"/>
    <s v="Morning Shift"/>
    <m/>
    <m/>
    <m/>
    <m/>
    <x v="1"/>
    <s v="Sick Leave"/>
    <m/>
    <s v="L4"/>
    <s v="M. Mahesh"/>
    <x v="2"/>
    <s v="Client Visit"/>
    <n v="36"/>
    <x v="0"/>
    <n v="44819"/>
    <n v="26000000"/>
    <s v="100% Payroll Accuracy"/>
    <n v="640000"/>
    <s v="High"/>
    <s v="Financial Compliance"/>
    <n v="0.25"/>
    <n v="0.625"/>
    <n v="8"/>
    <s v="Working Day"/>
    <x v="0"/>
  </r>
  <r>
    <s v="ATD00589"/>
    <d v="2025-01-25T00:00:00"/>
    <x v="2"/>
    <s v="Q1"/>
    <s v="Saturday"/>
    <s v="EMP030"/>
    <s v="Employee 30"/>
    <x v="4"/>
    <s v="HR Executive"/>
    <s v="Madurai"/>
    <s v="Night Shift"/>
    <d v="1899-12-30T22:00:00"/>
    <m/>
    <n v="9.5"/>
    <n v="1.5"/>
    <x v="0"/>
    <m/>
    <n v="4"/>
    <s v="L2"/>
    <s v="P. Priya"/>
    <x v="2"/>
    <s v="Work From Home"/>
    <n v="34"/>
    <x v="0"/>
    <n v="44027"/>
    <n v="18000000"/>
    <s v="&lt;30 Days Hiring Cycle"/>
    <n v="560000"/>
    <s v="Medium"/>
    <s v="Hiring &amp; Retention"/>
    <n v="0.91666666666666663"/>
    <n v="0.29166666666666669"/>
    <n v="8"/>
    <s v="Working Day"/>
    <x v="0"/>
  </r>
  <r>
    <s v="ATD00590"/>
    <d v="2025-06-07T00:00:00"/>
    <x v="0"/>
    <s v="Q2"/>
    <s v="Saturday"/>
    <s v="EMP013"/>
    <s v="Employee 13"/>
    <x v="5"/>
    <s v="Marketing Executive"/>
    <s v="Bengaluru"/>
    <s v="Morning Shift"/>
    <d v="1899-12-30T09:00:00"/>
    <d v="1899-12-30T18:00:00"/>
    <n v="8"/>
    <n v="0"/>
    <x v="0"/>
    <m/>
    <n v="4"/>
    <s v="L2"/>
    <s v="S. Swetha"/>
    <x v="2"/>
    <s v="Work From Home"/>
    <n v="35"/>
    <x v="1"/>
    <n v="45337"/>
    <n v="22000000"/>
    <s v="2500 Qualified Leads"/>
    <n v="590000"/>
    <s v="Medium"/>
    <s v="Lead Generation"/>
    <n v="0.25"/>
    <n v="0.625"/>
    <n v="8"/>
    <s v="Bakrid"/>
    <x v="3"/>
  </r>
  <r>
    <s v="ATD00591"/>
    <d v="2025-04-24T00:00:00"/>
    <x v="1"/>
    <s v="Q2"/>
    <s v="Thursday"/>
    <s v="EMP035"/>
    <s v="Employee 35"/>
    <x v="0"/>
    <s v="Support Executive"/>
    <s v="Madurai"/>
    <s v="Morning Shift"/>
    <d v="1899-12-30T09:00:00"/>
    <d v="1899-12-30T18:00:00"/>
    <n v="8"/>
    <n v="0"/>
    <x v="0"/>
    <m/>
    <n v="4"/>
    <s v="L3"/>
    <s v="V. Vinoth"/>
    <x v="0"/>
    <m/>
    <n v="39"/>
    <x v="1"/>
    <n v="43449"/>
    <n v="24000000"/>
    <s v="90% Customer Satisfaction"/>
    <n v="520000"/>
    <s v="High"/>
    <s v="Customer Satisfaction"/>
    <n v="0.25"/>
    <n v="0.625"/>
    <n v="8"/>
    <s v="Working Day"/>
    <x v="0"/>
  </r>
  <r>
    <s v="ATD00592"/>
    <d v="2025-01-27T00:00:00"/>
    <x v="2"/>
    <s v="Q1"/>
    <s v="Monday"/>
    <s v="EMP021"/>
    <s v="Employee 21"/>
    <x v="0"/>
    <s v="Support Executive"/>
    <s v="Coimbatore"/>
    <s v="Flexible Shift"/>
    <m/>
    <m/>
    <m/>
    <m/>
    <x v="1"/>
    <s v="Sick Leave"/>
    <m/>
    <s v="L4"/>
    <s v="V. Vinoth"/>
    <x v="0"/>
    <s v="Client Visit"/>
    <n v="25"/>
    <x v="1"/>
    <n v="43388"/>
    <n v="24000000"/>
    <s v="90% Customer Satisfaction"/>
    <n v="520000"/>
    <s v="High"/>
    <s v="Customer Satisfaction"/>
    <n v="0.41666666666666669"/>
    <n v="0.79166666666666663"/>
    <n v="8"/>
    <s v="Working Day"/>
    <x v="0"/>
  </r>
  <r>
    <s v="ATD00593"/>
    <d v="2025-06-18T00:00:00"/>
    <x v="0"/>
    <s v="Q2"/>
    <s v="Wednesday"/>
    <s v="EMP043"/>
    <s v="Employee 43"/>
    <x v="2"/>
    <s v="Software Engineer"/>
    <s v="Bengaluru"/>
    <s v="Flexible Shift"/>
    <d v="1899-12-30T09:00:00"/>
    <d v="1899-12-30T18:00:00"/>
    <n v="9"/>
    <n v="1"/>
    <x v="0"/>
    <m/>
    <n v="5"/>
    <s v="L1"/>
    <s v="R. Karthikeyan"/>
    <x v="2"/>
    <m/>
    <n v="29"/>
    <x v="1"/>
    <n v="43692"/>
    <n v="85000000"/>
    <s v="99.5% System Uptime"/>
    <n v="720000"/>
    <s v="High"/>
    <s v="Project Delivery"/>
    <n v="0.41666666666666669"/>
    <n v="0.79166666666666663"/>
    <n v="8"/>
    <s v="Working Day"/>
    <x v="0"/>
  </r>
  <r>
    <s v="ATD00594"/>
    <d v="2025-01-29T00:00:00"/>
    <x v="2"/>
    <s v="Q1"/>
    <s v="Wednesday"/>
    <s v="EMP039"/>
    <s v="Employee 39"/>
    <x v="3"/>
    <s v="Accountant"/>
    <s v="Hyderabad"/>
    <s v="General Shift"/>
    <m/>
    <m/>
    <m/>
    <m/>
    <x v="2"/>
    <m/>
    <m/>
    <s v="L1"/>
    <s v="M. Mahesh"/>
    <x v="0"/>
    <s v="Late Login"/>
    <n v="25"/>
    <x v="0"/>
    <n v="44666"/>
    <n v="26000000"/>
    <s v="100% Payroll Accuracy"/>
    <n v="640000"/>
    <s v="High"/>
    <s v="Financial Compliance"/>
    <n v="0.375"/>
    <n v="0.75"/>
    <n v="8"/>
    <s v="Working Day"/>
    <x v="0"/>
  </r>
  <r>
    <s v="ATD00595"/>
    <d v="2025-03-18T00:00:00"/>
    <x v="4"/>
    <s v="Q1"/>
    <s v="Tuesday"/>
    <s v="EMP026"/>
    <s v="Employee 26"/>
    <x v="1"/>
    <s v="Operations Executive"/>
    <s v="Coimbatore"/>
    <s v="General Shift"/>
    <d v="1899-12-30T09:00:00"/>
    <d v="1899-12-30T18:00:00"/>
    <n v="8"/>
    <n v="0"/>
    <x v="0"/>
    <m/>
    <n v="5"/>
    <s v="L3"/>
    <s v="D. Dinesh"/>
    <x v="2"/>
    <m/>
    <n v="30"/>
    <x v="0"/>
    <n v="45000"/>
    <n v="34000000"/>
    <s v="95% Process Efficiency"/>
    <n v="610000"/>
    <s v="High"/>
    <s v="Operational Efficiency"/>
    <n v="0.375"/>
    <n v="0.75"/>
    <n v="8"/>
    <s v="Working Day"/>
    <x v="0"/>
  </r>
  <r>
    <s v="ATD00596"/>
    <d v="2025-06-18T00:00:00"/>
    <x v="0"/>
    <s v="Q2"/>
    <s v="Wednesday"/>
    <s v="EMP042"/>
    <s v="Employee 42"/>
    <x v="0"/>
    <s v="Support Executive"/>
    <s v="Chennai"/>
    <s v="Morning Shift"/>
    <d v="1899-12-30T09:00:00"/>
    <d v="1899-12-30T18:00:00"/>
    <n v="8"/>
    <n v="0"/>
    <x v="0"/>
    <m/>
    <m/>
    <s v="L4"/>
    <s v="V. Vinoth"/>
    <x v="1"/>
    <s v="Client Visit"/>
    <n v="28"/>
    <x v="0"/>
    <n v="43296"/>
    <n v="24000000"/>
    <s v="90% Customer Satisfaction"/>
    <n v="520000"/>
    <s v="High"/>
    <s v="Customer Satisfaction"/>
    <n v="0.25"/>
    <n v="0.625"/>
    <n v="8"/>
    <s v="Working Day"/>
    <x v="0"/>
  </r>
  <r>
    <s v="ATD00597"/>
    <d v="2025-06-30T00:00:00"/>
    <x v="0"/>
    <s v="Q2"/>
    <s v="Monday"/>
    <s v="EMP017"/>
    <s v="Employee 17"/>
    <x v="6"/>
    <s v="Sales Executive"/>
    <s v="Chennai"/>
    <s v="Morning Shift"/>
    <d v="1899-12-30T09:10:00"/>
    <d v="1899-12-30T18:00:00"/>
    <n v="8"/>
    <n v="0"/>
    <x v="0"/>
    <m/>
    <m/>
    <s v="L1"/>
    <s v="V. Vivek"/>
    <x v="2"/>
    <s v="Late Login"/>
    <n v="39"/>
    <x v="1"/>
    <n v="44362"/>
    <n v="42000000"/>
    <s v="₹2.5 Cr Monthly Sales"/>
    <n v="680000"/>
    <s v="High"/>
    <s v="Revenue Achievement"/>
    <n v="0.25"/>
    <n v="0.625"/>
    <n v="8"/>
    <s v="Working Day"/>
    <x v="0"/>
  </r>
  <r>
    <s v="ATD00598"/>
    <d v="2025-03-23T00:00:00"/>
    <x v="4"/>
    <s v="Q1"/>
    <s v="Sunday"/>
    <s v="EMP026"/>
    <s v="Employee 26"/>
    <x v="1"/>
    <s v="Operations Executive"/>
    <s v="Coimbatore"/>
    <s v="Morning Shift"/>
    <d v="1899-12-30T09:00:00"/>
    <d v="1899-12-30T18:00:00"/>
    <n v="8"/>
    <n v="0"/>
    <x v="0"/>
    <m/>
    <n v="3"/>
    <s v="L1"/>
    <s v="D. Dinesh"/>
    <x v="0"/>
    <s v="Work From Home"/>
    <n v="30"/>
    <x v="0"/>
    <n v="45000"/>
    <n v="34000000"/>
    <s v="95% Process Efficiency"/>
    <n v="610000"/>
    <s v="High"/>
    <s v="Operational Efficiency"/>
    <n v="0.25"/>
    <n v="0.625"/>
    <n v="8"/>
    <s v="Working Day"/>
    <x v="0"/>
  </r>
  <r>
    <s v="ATD00599"/>
    <d v="2025-04-22T00:00:00"/>
    <x v="1"/>
    <s v="Q2"/>
    <s v="Tuesday"/>
    <s v="EMP023"/>
    <s v="Employee 23"/>
    <x v="4"/>
    <s v="HR Executive"/>
    <s v="Bengaluru"/>
    <s v="Flexible Shift"/>
    <d v="1899-12-30T09:00:00"/>
    <d v="1899-12-30T18:00:00"/>
    <n v="8"/>
    <n v="0"/>
    <x v="0"/>
    <m/>
    <n v="3"/>
    <s v="L2"/>
    <s v="P. Priya"/>
    <x v="0"/>
    <s v="Late Login"/>
    <n v="27"/>
    <x v="1"/>
    <n v="44180"/>
    <n v="18000000"/>
    <s v="&lt;30 Days Hiring Cycle"/>
    <n v="560000"/>
    <s v="Medium"/>
    <s v="Hiring &amp; Retention"/>
    <n v="0.41666666666666669"/>
    <n v="0.79166666666666663"/>
    <n v="8"/>
    <s v="Working Day"/>
    <x v="0"/>
  </r>
  <r>
    <s v="ATD00600"/>
    <d v="2025-06-20T00:00:00"/>
    <x v="0"/>
    <s v="Q2"/>
    <s v="Friday"/>
    <s v="EMP029"/>
    <s v="Employee 29"/>
    <x v="2"/>
    <s v="Software Engineer"/>
    <s v="Hyderabad"/>
    <s v="Morning Shift"/>
    <d v="1899-12-30T09:00:00"/>
    <d v="1899-12-30T18:00:00"/>
    <n v="8.5"/>
    <n v="0.5"/>
    <x v="0"/>
    <m/>
    <n v="4"/>
    <s v="L3"/>
    <s v="R. Karthikeyan"/>
    <x v="1"/>
    <m/>
    <n v="33"/>
    <x v="1"/>
    <n v="43631"/>
    <n v="85000000"/>
    <s v="99.5% System Uptime"/>
    <n v="720000"/>
    <s v="High"/>
    <s v="Project Delivery"/>
    <n v="0.25"/>
    <n v="0.625"/>
    <n v="8"/>
    <s v="Working Day"/>
    <x v="0"/>
  </r>
  <r>
    <s v="ATD00601"/>
    <d v="2025-04-23T00:00:00"/>
    <x v="1"/>
    <s v="Q2"/>
    <s v="Wednesday"/>
    <s v="EMP025"/>
    <s v="Employee 25"/>
    <x v="3"/>
    <s v="Accountant"/>
    <s v="Madurai"/>
    <s v="Night Shift"/>
    <d v="1899-12-30T22:00:00"/>
    <d v="1899-12-30T07:00:00"/>
    <n v="9.5"/>
    <n v="1.5"/>
    <x v="0"/>
    <m/>
    <n v="4"/>
    <s v="L3"/>
    <s v="M. Mahesh"/>
    <x v="1"/>
    <s v="Client Visit"/>
    <n v="29"/>
    <x v="0"/>
    <n v="44607"/>
    <n v="26000000"/>
    <s v="100% Payroll Accuracy"/>
    <n v="640000"/>
    <s v="High"/>
    <s v="Financial Compliance"/>
    <n v="0.91666666666666663"/>
    <n v="0.29166666666666669"/>
    <n v="8"/>
    <s v="Working Day"/>
    <x v="0"/>
  </r>
  <r>
    <s v="ATD00602"/>
    <d v="2025-03-17T00:00:00"/>
    <x v="4"/>
    <s v="Q1"/>
    <s v="Monday"/>
    <s v="EMP009"/>
    <s v="Employee 9"/>
    <x v="4"/>
    <s v="HR Executive"/>
    <s v="Hyderabad"/>
    <s v="Flexible Shift"/>
    <d v="1899-12-30T09:00:00"/>
    <d v="1899-12-30T18:00:00"/>
    <n v="8"/>
    <n v="0"/>
    <x v="0"/>
    <m/>
    <n v="4"/>
    <s v="L4"/>
    <s v="P. Priya"/>
    <x v="0"/>
    <s v="Client Visit"/>
    <n v="31"/>
    <x v="1"/>
    <n v="44119"/>
    <n v="18000000"/>
    <s v="&lt;30 Days Hiring Cycle"/>
    <n v="560000"/>
    <s v="Medium"/>
    <s v="Hiring &amp; Retention"/>
    <n v="0.41666666666666669"/>
    <n v="0.79166666666666663"/>
    <n v="8"/>
    <s v="Working Day"/>
    <x v="0"/>
  </r>
  <r>
    <s v="ATD00603"/>
    <d v="2025-04-29T00:00:00"/>
    <x v="1"/>
    <s v="Q2"/>
    <s v="Tuesday"/>
    <s v="EMP046"/>
    <s v="Employee 46"/>
    <x v="3"/>
    <s v="Accountant"/>
    <s v="Coimbatore"/>
    <s v="General Shift"/>
    <d v="1899-12-30T09:00:00"/>
    <d v="1899-12-30T18:00:00"/>
    <n v="8"/>
    <n v="0"/>
    <x v="0"/>
    <m/>
    <m/>
    <s v="L1"/>
    <s v="M. Mahesh"/>
    <x v="0"/>
    <s v="Client Visit"/>
    <n v="32"/>
    <x v="0"/>
    <n v="44880"/>
    <n v="26000000"/>
    <s v="100% Payroll Accuracy"/>
    <n v="640000"/>
    <s v="High"/>
    <s v="Financial Compliance"/>
    <n v="0.375"/>
    <n v="0.75"/>
    <n v="8"/>
    <s v="Working Day"/>
    <x v="0"/>
  </r>
  <r>
    <s v="ATD00604"/>
    <d v="2025-03-10T00:00:00"/>
    <x v="4"/>
    <s v="Q1"/>
    <s v="Monday"/>
    <s v="EMP016"/>
    <s v="Employee 16"/>
    <x v="4"/>
    <s v="HR Executive"/>
    <s v="Coimbatore"/>
    <s v="General Shift"/>
    <d v="1899-12-30T09:00:00"/>
    <d v="1899-12-30T18:00:00"/>
    <n v="8"/>
    <n v="0"/>
    <x v="0"/>
    <m/>
    <m/>
    <s v="L1"/>
    <s v="P. Priya"/>
    <x v="2"/>
    <s v="Late Login"/>
    <n v="38"/>
    <x v="0"/>
    <n v="43966"/>
    <n v="18000000"/>
    <s v="&lt;30 Days Hiring Cycle"/>
    <n v="560000"/>
    <s v="Medium"/>
    <s v="Hiring &amp; Retention"/>
    <n v="0.375"/>
    <n v="0.75"/>
    <n v="8"/>
    <s v="Working Day"/>
    <x v="0"/>
  </r>
  <r>
    <s v="ATD00605"/>
    <d v="2025-04-28T00:00:00"/>
    <x v="1"/>
    <s v="Q2"/>
    <s v="Monday"/>
    <s v="EMP042"/>
    <s v="Employee 42"/>
    <x v="0"/>
    <s v="Support Executive"/>
    <s v="Chennai"/>
    <s v="Flexible Shift"/>
    <d v="1899-12-30T09:00:00"/>
    <d v="1899-12-30T18:00:00"/>
    <n v="8"/>
    <n v="0"/>
    <x v="0"/>
    <m/>
    <n v="4"/>
    <s v="L3"/>
    <s v="V. Vinoth"/>
    <x v="2"/>
    <s v="Late Login"/>
    <n v="28"/>
    <x v="0"/>
    <n v="43296"/>
    <n v="24000000"/>
    <s v="90% Customer Satisfaction"/>
    <n v="520000"/>
    <s v="High"/>
    <s v="Customer Satisfaction"/>
    <n v="0.41666666666666669"/>
    <n v="0.79166666666666663"/>
    <n v="8"/>
    <s v="Working Day"/>
    <x v="0"/>
  </r>
  <r>
    <s v="ATD00606"/>
    <d v="2025-05-28T00:00:00"/>
    <x v="3"/>
    <s v="Q2"/>
    <s v="Wednesday"/>
    <s v="EMP025"/>
    <s v="Employee 25"/>
    <x v="3"/>
    <s v="Accountant"/>
    <s v="Madurai"/>
    <s v="Night Shift"/>
    <d v="1899-12-30T22:00:00"/>
    <d v="1899-12-30T07:00:00"/>
    <n v="10"/>
    <n v="2"/>
    <x v="0"/>
    <m/>
    <n v="4"/>
    <s v="L1"/>
    <s v="M. Mahesh"/>
    <x v="3"/>
    <s v="Client Visit"/>
    <n v="29"/>
    <x v="0"/>
    <n v="44607"/>
    <n v="26000000"/>
    <s v="100% Payroll Accuracy"/>
    <n v="640000"/>
    <s v="High"/>
    <s v="Financial Compliance"/>
    <n v="0.91666666666666663"/>
    <n v="0.29166666666666669"/>
    <n v="8"/>
    <s v="Working Day"/>
    <x v="0"/>
  </r>
  <r>
    <s v="ATD00607"/>
    <d v="2025-02-19T00:00:00"/>
    <x v="5"/>
    <s v="Q1"/>
    <s v="Wednesday"/>
    <s v="EMP019"/>
    <s v="Employee 19"/>
    <x v="1"/>
    <s v="Operations Executive"/>
    <s v="Hyderabad"/>
    <s v="Night Shift"/>
    <d v="1899-12-30T22:00:00"/>
    <d v="1899-12-30T07:00:00"/>
    <n v="9"/>
    <n v="1"/>
    <x v="0"/>
    <m/>
    <n v="4"/>
    <s v="L2"/>
    <s v="D. Dinesh"/>
    <x v="3"/>
    <s v="Work From Home"/>
    <n v="23"/>
    <x v="0"/>
    <n v="45153"/>
    <n v="34000000"/>
    <s v="95% Process Efficiency"/>
    <n v="610000"/>
    <s v="High"/>
    <s v="Operational Efficiency"/>
    <n v="0.91666666666666663"/>
    <n v="0.29166666666666669"/>
    <n v="8"/>
    <s v="Working Day"/>
    <x v="0"/>
  </r>
  <r>
    <s v="ATD00608"/>
    <d v="2025-04-23T00:00:00"/>
    <x v="1"/>
    <s v="Q2"/>
    <s v="Wednesday"/>
    <s v="EMP040"/>
    <s v="Employee 40"/>
    <x v="1"/>
    <s v="Operations Executive"/>
    <s v="Madurai"/>
    <s v="Flexible Shift"/>
    <d v="1899-12-30T09:00:00"/>
    <d v="1899-12-30T18:00:00"/>
    <n v="8"/>
    <n v="0"/>
    <x v="0"/>
    <m/>
    <n v="3"/>
    <s v="L1"/>
    <s v="D. Dinesh"/>
    <x v="0"/>
    <s v="Late Login"/>
    <n v="26"/>
    <x v="1"/>
    <n v="45061"/>
    <n v="34000000"/>
    <s v="95% Process Efficiency"/>
    <n v="610000"/>
    <s v="High"/>
    <s v="Operational Efficiency"/>
    <n v="0.41666666666666669"/>
    <n v="0.79166666666666663"/>
    <n v="8"/>
    <s v="Working Day"/>
    <x v="0"/>
  </r>
  <r>
    <s v="ATD00609"/>
    <d v="2025-05-11T00:00:00"/>
    <x v="3"/>
    <s v="Q2"/>
    <s v="Sunday"/>
    <s v="EMP001"/>
    <s v="Employee 1"/>
    <x v="2"/>
    <s v="Software Engineer"/>
    <s v="Coimbatore"/>
    <s v="Afternoon Shift"/>
    <m/>
    <m/>
    <m/>
    <m/>
    <x v="2"/>
    <m/>
    <m/>
    <s v="L4"/>
    <s v="R. Karthikeyan"/>
    <x v="0"/>
    <s v="Client Visit"/>
    <n v="23"/>
    <x v="1"/>
    <n v="43511"/>
    <n v="85000000"/>
    <s v="99.5% System Uptime"/>
    <n v="720000"/>
    <s v="High"/>
    <s v="Project Delivery"/>
    <n v="0.58333333333333337"/>
    <n v="0.95833333333333337"/>
    <n v="8"/>
    <s v="Working Day"/>
    <x v="0"/>
  </r>
  <r>
    <s v="ATD00610"/>
    <d v="2025-04-08T00:00:00"/>
    <x v="1"/>
    <s v="Q2"/>
    <s v="Tuesday"/>
    <s v="EMP017"/>
    <s v="Employee 17"/>
    <x v="6"/>
    <s v="Sales Executive"/>
    <s v="Chennai"/>
    <s v="General Shift"/>
    <d v="1899-12-30T09:10:00"/>
    <d v="1899-12-30T18:00:00"/>
    <n v="8"/>
    <n v="0"/>
    <x v="0"/>
    <m/>
    <n v="4"/>
    <s v="L1"/>
    <s v="V. Vivek"/>
    <x v="1"/>
    <s v="Client Visit"/>
    <n v="39"/>
    <x v="1"/>
    <n v="44362"/>
    <n v="42000000"/>
    <s v="₹2.5 Cr Monthly Sales"/>
    <n v="680000"/>
    <s v="High"/>
    <s v="Revenue Achievement"/>
    <n v="0.375"/>
    <n v="0.75"/>
    <n v="8"/>
    <s v="Working Day"/>
    <x v="0"/>
  </r>
  <r>
    <s v="ATD00611"/>
    <d v="2025-04-08T00:00:00"/>
    <x v="1"/>
    <s v="Q2"/>
    <s v="Tuesday"/>
    <s v="EMP004"/>
    <s v="Employee 4"/>
    <x v="3"/>
    <s v="Accountant"/>
    <s v="Hyderabad"/>
    <s v="Flexible Shift"/>
    <d v="1899-12-30T09:00:00"/>
    <d v="1899-12-30T18:00:00"/>
    <n v="8"/>
    <n v="0"/>
    <x v="0"/>
    <m/>
    <n v="4"/>
    <s v="L3"/>
    <s v="M. Mahesh"/>
    <x v="2"/>
    <s v="Late Login"/>
    <n v="26"/>
    <x v="0"/>
    <n v="44696"/>
    <n v="26000000"/>
    <s v="100% Payroll Accuracy"/>
    <n v="640000"/>
    <s v="High"/>
    <s v="Financial Compliance"/>
    <n v="0.41666666666666669"/>
    <n v="0.79166666666666663"/>
    <n v="8"/>
    <s v="Working Day"/>
    <x v="0"/>
  </r>
  <r>
    <s v="ATD00612"/>
    <d v="2025-03-31T00:00:00"/>
    <x v="4"/>
    <s v="Q1"/>
    <s v="Monday"/>
    <s v="EMP021"/>
    <s v="Employee 21"/>
    <x v="0"/>
    <s v="Support Executive"/>
    <s v="Coimbatore"/>
    <s v="Night Shift"/>
    <m/>
    <m/>
    <m/>
    <m/>
    <x v="2"/>
    <m/>
    <m/>
    <s v="L1"/>
    <s v="V. Vinoth"/>
    <x v="3"/>
    <m/>
    <n v="25"/>
    <x v="1"/>
    <n v="43388"/>
    <n v="24000000"/>
    <s v="90% Customer Satisfaction"/>
    <n v="520000"/>
    <s v="High"/>
    <s v="Customer Satisfaction"/>
    <n v="0.91666666666666663"/>
    <n v="0.29166666666666669"/>
    <n v="8"/>
    <s v="Working Day"/>
    <x v="0"/>
  </r>
  <r>
    <s v="ATD00613"/>
    <d v="2025-01-04T00:00:00"/>
    <x v="2"/>
    <s v="Q1"/>
    <s v="Saturday"/>
    <s v="EMP018"/>
    <s v="Employee 18"/>
    <x v="3"/>
    <s v="Accountant"/>
    <s v="Bengaluru"/>
    <s v="Afternoon Shift"/>
    <d v="1899-12-30T09:00:00"/>
    <d v="1899-12-30T18:00:00"/>
    <n v="8"/>
    <n v="0"/>
    <x v="0"/>
    <m/>
    <m/>
    <s v="L4"/>
    <s v="M. Mahesh"/>
    <x v="0"/>
    <s v="Client Visit"/>
    <n v="22"/>
    <x v="1"/>
    <n v="44757"/>
    <n v="26000000"/>
    <s v="100% Payroll Accuracy"/>
    <n v="640000"/>
    <s v="High"/>
    <s v="Financial Compliance"/>
    <n v="0.58333333333333337"/>
    <n v="0.95833333333333337"/>
    <n v="8"/>
    <s v="Working Day"/>
    <x v="0"/>
  </r>
  <r>
    <s v="ATD00614"/>
    <d v="2025-03-01T00:00:00"/>
    <x v="4"/>
    <s v="Q1"/>
    <s v="Saturday"/>
    <s v="EMP008"/>
    <s v="Employee 8"/>
    <x v="2"/>
    <s v="Software Engineer"/>
    <s v="Bengaluru"/>
    <s v="Night Shift"/>
    <d v="1899-12-30T22:00:00"/>
    <m/>
    <n v="10"/>
    <n v="2"/>
    <x v="0"/>
    <m/>
    <n v="5"/>
    <s v="L2"/>
    <s v="R. Karthikeyan"/>
    <x v="1"/>
    <m/>
    <n v="30"/>
    <x v="0"/>
    <n v="43723"/>
    <n v="85000000"/>
    <s v="99.5% System Uptime"/>
    <n v="720000"/>
    <s v="High"/>
    <s v="Project Delivery"/>
    <n v="0.91666666666666663"/>
    <n v="0.29166666666666669"/>
    <n v="8"/>
    <s v="Working Day"/>
    <x v="0"/>
  </r>
  <r>
    <s v="ATD00615"/>
    <d v="2025-03-27T00:00:00"/>
    <x v="4"/>
    <s v="Q1"/>
    <s v="Thursday"/>
    <s v="EMP049"/>
    <s v="Employee 49"/>
    <x v="0"/>
    <s v="Support Executive"/>
    <s v="Hyderabad"/>
    <s v="General Shift"/>
    <d v="1899-12-30T09:00:00"/>
    <d v="1899-12-30T18:00:00"/>
    <n v="8"/>
    <n v="0"/>
    <x v="0"/>
    <m/>
    <n v="4"/>
    <s v="L1"/>
    <s v="V. Vinoth"/>
    <x v="2"/>
    <m/>
    <n v="35"/>
    <x v="1"/>
    <n v="43146"/>
    <n v="24000000"/>
    <s v="90% Customer Satisfaction"/>
    <n v="520000"/>
    <s v="High"/>
    <s v="Customer Satisfaction"/>
    <n v="0.375"/>
    <n v="0.75"/>
    <n v="8"/>
    <s v="Working Day"/>
    <x v="0"/>
  </r>
  <r>
    <s v="ATD00616"/>
    <d v="2025-02-28T00:00:00"/>
    <x v="5"/>
    <s v="Q1"/>
    <s v="Friday"/>
    <s v="EMP004"/>
    <s v="Employee 4"/>
    <x v="3"/>
    <s v="Accountant"/>
    <s v="Hyderabad"/>
    <s v="Flexible Shift"/>
    <d v="1899-12-30T09:00:00"/>
    <d v="1899-12-30T18:00:00"/>
    <n v="8"/>
    <n v="0"/>
    <x v="0"/>
    <m/>
    <n v="4"/>
    <s v="L2"/>
    <s v="M. Mahesh"/>
    <x v="0"/>
    <s v="Work From Home"/>
    <n v="26"/>
    <x v="0"/>
    <n v="44696"/>
    <n v="26000000"/>
    <s v="100% Payroll Accuracy"/>
    <n v="640000"/>
    <s v="High"/>
    <s v="Financial Compliance"/>
    <n v="0.41666666666666669"/>
    <n v="0.79166666666666663"/>
    <n v="8"/>
    <s v="Working Day"/>
    <x v="0"/>
  </r>
  <r>
    <s v="ATD00617"/>
    <d v="2025-01-03T00:00:00"/>
    <x v="2"/>
    <s v="Q1"/>
    <s v="Friday"/>
    <s v="EMP045"/>
    <s v="Employee 45"/>
    <x v="6"/>
    <s v="Sales Executive"/>
    <s v="Madurai"/>
    <s v="Night Shift"/>
    <d v="1899-12-30T09:10:00"/>
    <d v="1899-12-30T07:00:00"/>
    <n v="9.5"/>
    <n v="1.5"/>
    <x v="0"/>
    <m/>
    <n v="4"/>
    <s v="L2"/>
    <s v="V. Vivek"/>
    <x v="1"/>
    <s v="Client Visit"/>
    <n v="31"/>
    <x v="1"/>
    <n v="44484"/>
    <n v="42000000"/>
    <s v="₹2.5 Cr Monthly Sales"/>
    <n v="680000"/>
    <s v="High"/>
    <s v="Revenue Achievement"/>
    <n v="0.91666666666666663"/>
    <n v="0.29166666666666669"/>
    <n v="8"/>
    <s v="Working Day"/>
    <x v="0"/>
  </r>
  <r>
    <s v="ATD00618"/>
    <d v="2025-05-24T00:00:00"/>
    <x v="3"/>
    <s v="Q2"/>
    <s v="Saturday"/>
    <s v="EMP027"/>
    <s v="Employee 27"/>
    <x v="5"/>
    <s v="Marketing Executive"/>
    <s v="Chennai"/>
    <s v="General Shift"/>
    <d v="1899-12-30T09:00:00"/>
    <d v="1899-12-30T18:00:00"/>
    <n v="8"/>
    <n v="0"/>
    <x v="0"/>
    <m/>
    <n v="4"/>
    <s v="L3"/>
    <s v="S. Swetha"/>
    <x v="3"/>
    <s v="Work From Home"/>
    <n v="31"/>
    <x v="1"/>
    <n v="45397"/>
    <n v="22000000"/>
    <s v="2500 Qualified Leads"/>
    <n v="590000"/>
    <s v="Medium"/>
    <s v="Lead Generation"/>
    <n v="0.375"/>
    <n v="0.75"/>
    <n v="8"/>
    <s v="Working Day"/>
    <x v="0"/>
  </r>
  <r>
    <s v="ATD00619"/>
    <d v="2025-04-21T00:00:00"/>
    <x v="1"/>
    <s v="Q2"/>
    <s v="Monday"/>
    <s v="EMP048"/>
    <s v="Employee 48"/>
    <x v="5"/>
    <s v="Marketing Executive"/>
    <s v="Bengaluru"/>
    <s v="Flexible Shift"/>
    <d v="1899-12-30T09:00:00"/>
    <d v="1899-12-30T18:00:00"/>
    <n v="8"/>
    <n v="0"/>
    <x v="0"/>
    <m/>
    <n v="4"/>
    <s v="L3"/>
    <s v="S. Swetha"/>
    <x v="1"/>
    <s v="Work From Home"/>
    <n v="34"/>
    <x v="0"/>
    <n v="45306"/>
    <n v="22000000"/>
    <s v="2500 Qualified Leads"/>
    <n v="590000"/>
    <s v="Medium"/>
    <s v="Lead Generation"/>
    <n v="0.41666666666666669"/>
    <n v="0.79166666666666663"/>
    <n v="8"/>
    <s v="Working Day"/>
    <x v="0"/>
  </r>
  <r>
    <s v="ATD00620"/>
    <d v="2025-04-04T00:00:00"/>
    <x v="1"/>
    <s v="Q2"/>
    <s v="Friday"/>
    <s v="EMP044"/>
    <s v="Employee 44"/>
    <x v="4"/>
    <s v="HR Executive"/>
    <s v="Hyderabad"/>
    <s v="Morning Shift"/>
    <d v="1899-12-30T09:00:00"/>
    <d v="1899-12-30T18:00:00"/>
    <n v="8"/>
    <n v="0"/>
    <x v="0"/>
    <m/>
    <n v="4"/>
    <s v="L1"/>
    <s v="P. Priya"/>
    <x v="0"/>
    <s v="Client Visit"/>
    <n v="30"/>
    <x v="0"/>
    <n v="44089"/>
    <n v="18000000"/>
    <s v="&lt;30 Days Hiring Cycle"/>
    <n v="560000"/>
    <s v="Medium"/>
    <s v="Hiring &amp; Retention"/>
    <n v="0.25"/>
    <n v="0.625"/>
    <n v="8"/>
    <s v="Working Day"/>
    <x v="0"/>
  </r>
  <r>
    <s v="ATD00621"/>
    <d v="2025-03-06T00:00:00"/>
    <x v="4"/>
    <s v="Q1"/>
    <s v="Thursday"/>
    <s v="EMP047"/>
    <s v="Employee 47"/>
    <x v="1"/>
    <s v="Operations Executive"/>
    <s v="Chennai"/>
    <s v="Night Shift"/>
    <d v="1899-12-30T22:00:00"/>
    <d v="1899-12-30T07:00:00"/>
    <n v="10"/>
    <n v="2"/>
    <x v="0"/>
    <m/>
    <n v="3"/>
    <s v="L1"/>
    <s v="D. Dinesh"/>
    <x v="2"/>
    <s v="Late Login"/>
    <n v="33"/>
    <x v="1"/>
    <n v="45275"/>
    <n v="34000000"/>
    <s v="95% Process Efficiency"/>
    <n v="610000"/>
    <s v="High"/>
    <s v="Operational Efficiency"/>
    <n v="0.91666666666666663"/>
    <n v="0.29166666666666669"/>
    <n v="8"/>
    <s v="Working Day"/>
    <x v="0"/>
  </r>
  <r>
    <s v="ATD00622"/>
    <d v="2025-04-22T00:00:00"/>
    <x v="1"/>
    <s v="Q2"/>
    <s v="Tuesday"/>
    <s v="EMP047"/>
    <s v="Employee 47"/>
    <x v="1"/>
    <s v="Operations Executive"/>
    <s v="Chennai"/>
    <s v="Afternoon Shift"/>
    <d v="1899-12-30T09:00:00"/>
    <d v="1899-12-30T18:00:00"/>
    <n v="8"/>
    <n v="0"/>
    <x v="0"/>
    <m/>
    <n v="3"/>
    <s v="L3"/>
    <s v="D. Dinesh"/>
    <x v="3"/>
    <s v="Work From Home"/>
    <n v="33"/>
    <x v="1"/>
    <n v="45275"/>
    <n v="34000000"/>
    <s v="95% Process Efficiency"/>
    <n v="610000"/>
    <s v="High"/>
    <s v="Operational Efficiency"/>
    <n v="0.58333333333333337"/>
    <n v="0.95833333333333337"/>
    <n v="8"/>
    <s v="Working Day"/>
    <x v="0"/>
  </r>
  <r>
    <s v="ATD00623"/>
    <d v="2025-04-05T00:00:00"/>
    <x v="1"/>
    <s v="Q2"/>
    <s v="Saturday"/>
    <s v="EMP038"/>
    <s v="Employee 38"/>
    <x v="6"/>
    <s v="Sales Executive"/>
    <s v="Bengaluru"/>
    <s v="Night Shift"/>
    <m/>
    <d v="1899-12-30T07:00:00"/>
    <n v="9"/>
    <n v="1"/>
    <x v="0"/>
    <m/>
    <n v="3"/>
    <s v="L2"/>
    <s v="V. Vivek"/>
    <x v="2"/>
    <s v="Work From Home"/>
    <n v="24"/>
    <x v="1"/>
    <n v="44270"/>
    <n v="42000000"/>
    <s v="₹2.5 Cr Monthly Sales"/>
    <n v="680000"/>
    <s v="High"/>
    <s v="Revenue Achievement"/>
    <n v="0.91666666666666663"/>
    <n v="0.29166666666666669"/>
    <n v="8"/>
    <s v="Working Day"/>
    <x v="0"/>
  </r>
  <r>
    <s v="ATD00624"/>
    <d v="2025-05-22T00:00:00"/>
    <x v="3"/>
    <s v="Q2"/>
    <s v="Thursday"/>
    <s v="EMP014"/>
    <s v="Employee 14"/>
    <x v="0"/>
    <s v="Support Executive"/>
    <s v="Hyderabad"/>
    <s v="Morning Shift"/>
    <d v="1899-12-30T09:00:00"/>
    <d v="1899-12-30T18:00:00"/>
    <n v="8"/>
    <n v="0"/>
    <x v="0"/>
    <m/>
    <n v="4"/>
    <s v="L2"/>
    <s v="V. Vinoth"/>
    <x v="3"/>
    <s v="Client Visit"/>
    <n v="36"/>
    <x v="0"/>
    <n v="43174"/>
    <n v="24000000"/>
    <s v="90% Customer Satisfaction"/>
    <n v="520000"/>
    <s v="High"/>
    <s v="Customer Satisfaction"/>
    <n v="0.25"/>
    <n v="0.625"/>
    <n v="8"/>
    <s v="Working Day"/>
    <x v="0"/>
  </r>
  <r>
    <s v="ATD00625"/>
    <d v="2025-06-08T00:00:00"/>
    <x v="0"/>
    <s v="Q2"/>
    <s v="Sunday"/>
    <s v="EMP023"/>
    <s v="Employee 23"/>
    <x v="4"/>
    <s v="HR Executive"/>
    <s v="Bengaluru"/>
    <s v="Morning Shift"/>
    <d v="1899-12-30T09:00:00"/>
    <d v="1899-12-30T18:00:00"/>
    <n v="8"/>
    <n v="0"/>
    <x v="0"/>
    <m/>
    <n v="3"/>
    <s v="L1"/>
    <s v="P. Priya"/>
    <x v="1"/>
    <m/>
    <n v="27"/>
    <x v="1"/>
    <n v="44180"/>
    <n v="18000000"/>
    <s v="&lt;30 Days Hiring Cycle"/>
    <n v="560000"/>
    <s v="Medium"/>
    <s v="Hiring &amp; Retention"/>
    <n v="0.25"/>
    <n v="0.625"/>
    <n v="8"/>
    <s v="Working Day"/>
    <x v="0"/>
  </r>
  <r>
    <s v="ATD00626"/>
    <d v="2025-03-11T00:00:00"/>
    <x v="4"/>
    <s v="Q1"/>
    <s v="Tuesday"/>
    <s v="EMP042"/>
    <s v="Employee 42"/>
    <x v="0"/>
    <s v="Support Executive"/>
    <s v="Chennai"/>
    <s v="Flexible Shift"/>
    <d v="1899-12-30T09:00:00"/>
    <d v="1899-12-30T18:00:00"/>
    <n v="8"/>
    <n v="0"/>
    <x v="0"/>
    <m/>
    <n v="3"/>
    <s v="L3"/>
    <s v="V. Vinoth"/>
    <x v="0"/>
    <s v="Client Visit"/>
    <n v="28"/>
    <x v="0"/>
    <n v="43296"/>
    <n v="24000000"/>
    <s v="90% Customer Satisfaction"/>
    <n v="520000"/>
    <s v="High"/>
    <s v="Customer Satisfaction"/>
    <n v="0.41666666666666669"/>
    <n v="0.79166666666666663"/>
    <n v="8"/>
    <s v="Working Day"/>
    <x v="0"/>
  </r>
  <r>
    <s v="ATD00627"/>
    <d v="2025-06-23T00:00:00"/>
    <x v="0"/>
    <s v="Q2"/>
    <s v="Monday"/>
    <s v="EMP016"/>
    <s v="Employee 16"/>
    <x v="4"/>
    <s v="HR Executive"/>
    <s v="Coimbatore"/>
    <s v="Morning Shift"/>
    <m/>
    <m/>
    <m/>
    <m/>
    <x v="2"/>
    <m/>
    <m/>
    <s v="L4"/>
    <s v="P. Priya"/>
    <x v="2"/>
    <s v="Work From Home"/>
    <n v="38"/>
    <x v="0"/>
    <n v="43966"/>
    <n v="18000000"/>
    <s v="&lt;30 Days Hiring Cycle"/>
    <n v="560000"/>
    <s v="Medium"/>
    <s v="Hiring &amp; Retention"/>
    <n v="0.25"/>
    <n v="0.625"/>
    <n v="8"/>
    <s v="Working Day"/>
    <x v="0"/>
  </r>
  <r>
    <s v="ATD00628"/>
    <d v="2025-01-07T00:00:00"/>
    <x v="2"/>
    <s v="Q1"/>
    <s v="Tuesday"/>
    <s v="EMP027"/>
    <s v="Employee 27"/>
    <x v="5"/>
    <s v="Marketing Executive"/>
    <s v="Chennai"/>
    <s v="Night Shift"/>
    <d v="1899-12-30T22:00:00"/>
    <d v="1899-12-30T07:00:00"/>
    <n v="10"/>
    <n v="2"/>
    <x v="0"/>
    <m/>
    <n v="4"/>
    <s v="L4"/>
    <s v="S. Swetha"/>
    <x v="3"/>
    <s v="Late Login"/>
    <n v="31"/>
    <x v="1"/>
    <n v="45397"/>
    <n v="22000000"/>
    <s v="2500 Qualified Leads"/>
    <n v="590000"/>
    <s v="Medium"/>
    <s v="Lead Generation"/>
    <n v="0.91666666666666663"/>
    <n v="0.29166666666666669"/>
    <n v="8"/>
    <s v="Working Day"/>
    <x v="0"/>
  </r>
  <r>
    <s v="ATD00629"/>
    <d v="2025-05-19T00:00:00"/>
    <x v="3"/>
    <s v="Q2"/>
    <s v="Monday"/>
    <s v="EMP008"/>
    <s v="Employee 8"/>
    <x v="2"/>
    <s v="Software Engineer"/>
    <s v="Bengaluru"/>
    <s v="General Shift"/>
    <d v="1899-12-30T09:00:00"/>
    <d v="1899-12-30T18:00:00"/>
    <n v="8"/>
    <n v="0"/>
    <x v="0"/>
    <m/>
    <n v="3"/>
    <s v="L3"/>
    <s v="R. Karthikeyan"/>
    <x v="2"/>
    <m/>
    <n v="30"/>
    <x v="0"/>
    <n v="43723"/>
    <n v="85000000"/>
    <s v="99.5% System Uptime"/>
    <n v="720000"/>
    <s v="High"/>
    <s v="Project Delivery"/>
    <n v="0.375"/>
    <n v="0.75"/>
    <n v="8"/>
    <s v="Working Day"/>
    <x v="0"/>
  </r>
  <r>
    <s v="ATD00630"/>
    <d v="2025-06-07T00:00:00"/>
    <x v="0"/>
    <s v="Q2"/>
    <s v="Saturday"/>
    <s v="EMP038"/>
    <s v="Employee 38"/>
    <x v="6"/>
    <s v="Sales Executive"/>
    <s v="Bengaluru"/>
    <s v="Afternoon Shift"/>
    <d v="1899-12-30T09:00:00"/>
    <d v="1899-12-30T18:00:00"/>
    <n v="8"/>
    <n v="0"/>
    <x v="0"/>
    <m/>
    <n v="4"/>
    <s v="L1"/>
    <s v="V. Vivek"/>
    <x v="1"/>
    <s v="Late Login"/>
    <n v="24"/>
    <x v="1"/>
    <n v="44270"/>
    <n v="42000000"/>
    <s v="₹2.5 Cr Monthly Sales"/>
    <n v="680000"/>
    <s v="High"/>
    <s v="Revenue Achievement"/>
    <n v="0.58333333333333337"/>
    <n v="0.95833333333333337"/>
    <n v="8"/>
    <s v="Bakrid"/>
    <x v="3"/>
  </r>
  <r>
    <s v="ATD00631"/>
    <d v="2025-02-12T00:00:00"/>
    <x v="5"/>
    <s v="Q1"/>
    <s v="Wednesday"/>
    <s v="EMP032"/>
    <s v="Employee 32"/>
    <x v="3"/>
    <s v="Accountant"/>
    <s v="Chennai"/>
    <s v="Flexible Shift"/>
    <d v="1899-12-30T09:00:00"/>
    <d v="1899-12-30T18:00:00"/>
    <n v="8"/>
    <n v="0"/>
    <x v="0"/>
    <m/>
    <n v="3"/>
    <s v="L1"/>
    <s v="M. Mahesh"/>
    <x v="3"/>
    <m/>
    <n v="36"/>
    <x v="0"/>
    <n v="44819"/>
    <n v="26000000"/>
    <s v="100% Payroll Accuracy"/>
    <n v="640000"/>
    <s v="High"/>
    <s v="Financial Compliance"/>
    <n v="0.41666666666666669"/>
    <n v="0.79166666666666663"/>
    <n v="8"/>
    <s v="Working Day"/>
    <x v="0"/>
  </r>
  <r>
    <s v="ATD00632"/>
    <d v="2025-04-29T00:00:00"/>
    <x v="1"/>
    <s v="Q2"/>
    <s v="Tuesday"/>
    <s v="EMP039"/>
    <s v="Employee 39"/>
    <x v="3"/>
    <s v="Accountant"/>
    <s v="Hyderabad"/>
    <s v="General Shift"/>
    <d v="1899-12-30T09:00:00"/>
    <d v="1899-12-30T18:00:00"/>
    <n v="8"/>
    <n v="0"/>
    <x v="0"/>
    <m/>
    <m/>
    <s v="L3"/>
    <s v="M. Mahesh"/>
    <x v="2"/>
    <m/>
    <n v="25"/>
    <x v="0"/>
    <n v="44666"/>
    <n v="26000000"/>
    <s v="100% Payroll Accuracy"/>
    <n v="640000"/>
    <s v="High"/>
    <s v="Financial Compliance"/>
    <n v="0.375"/>
    <n v="0.75"/>
    <n v="8"/>
    <s v="Working Day"/>
    <x v="0"/>
  </r>
  <r>
    <s v="ATD00633"/>
    <d v="2025-06-23T00:00:00"/>
    <x v="0"/>
    <s v="Q2"/>
    <s v="Monday"/>
    <s v="EMP049"/>
    <s v="Employee 49"/>
    <x v="0"/>
    <s v="Support Executive"/>
    <s v="Hyderabad"/>
    <s v="Afternoon Shift"/>
    <m/>
    <d v="1899-12-30T18:00:00"/>
    <n v="8"/>
    <n v="0"/>
    <x v="0"/>
    <m/>
    <n v="3"/>
    <s v="L2"/>
    <s v="V. Vinoth"/>
    <x v="3"/>
    <s v="Late Login"/>
    <n v="35"/>
    <x v="1"/>
    <n v="43146"/>
    <n v="24000000"/>
    <s v="90% Customer Satisfaction"/>
    <n v="520000"/>
    <s v="High"/>
    <s v="Customer Satisfaction"/>
    <n v="0.58333333333333337"/>
    <n v="0.95833333333333337"/>
    <n v="8"/>
    <s v="Working Day"/>
    <x v="0"/>
  </r>
  <r>
    <s v="ATD00634"/>
    <d v="2025-03-07T00:00:00"/>
    <x v="4"/>
    <s v="Q1"/>
    <s v="Friday"/>
    <s v="EMP002"/>
    <s v="Employee 2"/>
    <x v="4"/>
    <s v="HR Executive"/>
    <s v="Chennai"/>
    <s v="Flexible Shift"/>
    <d v="1899-12-30T09:00:00"/>
    <d v="1899-12-30T18:00:00"/>
    <n v="8"/>
    <n v="0"/>
    <x v="0"/>
    <m/>
    <n v="5"/>
    <s v="L1"/>
    <s v="P. Priya"/>
    <x v="2"/>
    <s v="Work From Home"/>
    <n v="24"/>
    <x v="0"/>
    <n v="43905"/>
    <n v="18000000"/>
    <s v="&lt;30 Days Hiring Cycle"/>
    <n v="560000"/>
    <s v="Medium"/>
    <s v="Hiring &amp; Retention"/>
    <n v="0.41666666666666669"/>
    <n v="0.79166666666666663"/>
    <n v="8"/>
    <s v="Working Day"/>
    <x v="0"/>
  </r>
  <r>
    <s v="ATD00635"/>
    <d v="2025-03-30T00:00:00"/>
    <x v="4"/>
    <s v="Q1"/>
    <s v="Sunday"/>
    <s v="EMP015"/>
    <s v="Employee 15"/>
    <x v="2"/>
    <s v="Software Engineer"/>
    <s v="Madurai"/>
    <s v="General Shift"/>
    <d v="1899-12-30T09:00:00"/>
    <d v="1899-12-30T18:00:00"/>
    <n v="9"/>
    <n v="1"/>
    <x v="0"/>
    <m/>
    <n v="3"/>
    <s v="L3"/>
    <s v="R. Karthikeyan"/>
    <x v="2"/>
    <m/>
    <n v="37"/>
    <x v="1"/>
    <n v="43570"/>
    <n v="85000000"/>
    <s v="99.5% System Uptime"/>
    <n v="720000"/>
    <s v="High"/>
    <s v="Project Delivery"/>
    <n v="0.375"/>
    <n v="0.75"/>
    <n v="8"/>
    <s v="Working Day"/>
    <x v="0"/>
  </r>
  <r>
    <s v="ATD00636"/>
    <d v="2025-02-14T00:00:00"/>
    <x v="5"/>
    <s v="Q1"/>
    <s v="Friday"/>
    <s v="EMP020"/>
    <s v="Employee 20"/>
    <x v="5"/>
    <s v="Marketing Executive"/>
    <s v="Madurai"/>
    <s v="Flexible Shift"/>
    <d v="1899-12-30T09:00:00"/>
    <d v="1899-12-30T18:00:00"/>
    <n v="8"/>
    <n v="0"/>
    <x v="0"/>
    <m/>
    <n v="3"/>
    <s v="L2"/>
    <s v="S. Swetha"/>
    <x v="1"/>
    <s v="Client Visit"/>
    <n v="24"/>
    <x v="1"/>
    <n v="45550"/>
    <n v="22000000"/>
    <s v="2500 Qualified Leads"/>
    <n v="590000"/>
    <s v="Medium"/>
    <s v="Lead Generation"/>
    <n v="0.41666666666666669"/>
    <n v="0.79166666666666663"/>
    <n v="8"/>
    <s v="Working Day"/>
    <x v="0"/>
  </r>
  <r>
    <s v="ATD00637"/>
    <d v="2025-01-17T00:00:00"/>
    <x v="2"/>
    <s v="Q1"/>
    <s v="Friday"/>
    <s v="EMP037"/>
    <s v="Employee 37"/>
    <x v="4"/>
    <s v="HR Executive"/>
    <s v="Chennai"/>
    <s v="Flexible Shift"/>
    <m/>
    <m/>
    <m/>
    <m/>
    <x v="2"/>
    <m/>
    <m/>
    <s v="L2"/>
    <s v="P. Priya"/>
    <x v="1"/>
    <m/>
    <n v="23"/>
    <x v="0"/>
    <n v="43876"/>
    <n v="18000000"/>
    <s v="&lt;30 Days Hiring Cycle"/>
    <n v="560000"/>
    <s v="Medium"/>
    <s v="Hiring &amp; Retention"/>
    <n v="0.41666666666666669"/>
    <n v="0.79166666666666663"/>
    <n v="8"/>
    <s v="Working Day"/>
    <x v="0"/>
  </r>
  <r>
    <s v="ATD00638"/>
    <d v="2025-02-21T00:00:00"/>
    <x v="5"/>
    <s v="Q1"/>
    <s v="Friday"/>
    <s v="EMP009"/>
    <s v="Employee 9"/>
    <x v="4"/>
    <s v="HR Executive"/>
    <s v="Hyderabad"/>
    <s v="Night Shift"/>
    <d v="1899-12-30T22:00:00"/>
    <d v="1899-12-30T07:00:00"/>
    <n v="8.5"/>
    <n v="0.5"/>
    <x v="0"/>
    <m/>
    <n v="3"/>
    <s v="L2"/>
    <s v="P. Priya"/>
    <x v="2"/>
    <s v="Work From Home"/>
    <n v="31"/>
    <x v="1"/>
    <n v="44119"/>
    <n v="18000000"/>
    <s v="&lt;30 Days Hiring Cycle"/>
    <n v="560000"/>
    <s v="Medium"/>
    <s v="Hiring &amp; Retention"/>
    <n v="0.91666666666666663"/>
    <n v="0.29166666666666669"/>
    <n v="8"/>
    <s v="Working Day"/>
    <x v="0"/>
  </r>
  <r>
    <s v="ATD00639"/>
    <d v="2025-03-08T00:00:00"/>
    <x v="4"/>
    <s v="Q1"/>
    <s v="Saturday"/>
    <s v="EMP050"/>
    <s v="Employee 50"/>
    <x v="2"/>
    <s v="Software Engineer"/>
    <s v="Madurai"/>
    <s v="Flexible Shift"/>
    <d v="1899-12-30T09:00:00"/>
    <d v="1899-12-30T18:00:00"/>
    <n v="8.5"/>
    <n v="0.5"/>
    <x v="0"/>
    <m/>
    <n v="5"/>
    <s v="L4"/>
    <s v="R. Karthikeyan"/>
    <x v="2"/>
    <s v="Late Login"/>
    <n v="36"/>
    <x v="0"/>
    <n v="43539"/>
    <n v="85000000"/>
    <s v="99.5% System Uptime"/>
    <n v="720000"/>
    <s v="High"/>
    <s v="Project Delivery"/>
    <n v="0.41666666666666669"/>
    <n v="0.79166666666666663"/>
    <n v="8"/>
    <s v="Working Day"/>
    <x v="0"/>
  </r>
  <r>
    <s v="ATD00640"/>
    <d v="2025-05-13T00:00:00"/>
    <x v="3"/>
    <s v="Q2"/>
    <s v="Tuesday"/>
    <s v="EMP047"/>
    <s v="Employee 47"/>
    <x v="1"/>
    <s v="Operations Executive"/>
    <s v="Chennai"/>
    <s v="Flexible Shift"/>
    <d v="1899-12-30T09:00:00"/>
    <d v="1899-12-30T18:00:00"/>
    <n v="8"/>
    <n v="0"/>
    <x v="0"/>
    <m/>
    <n v="4"/>
    <s v="L1"/>
    <s v="D. Dinesh"/>
    <x v="2"/>
    <s v="Work From Home"/>
    <n v="33"/>
    <x v="1"/>
    <n v="45275"/>
    <n v="34000000"/>
    <s v="95% Process Efficiency"/>
    <n v="610000"/>
    <s v="High"/>
    <s v="Operational Efficiency"/>
    <n v="0.41666666666666669"/>
    <n v="0.79166666666666663"/>
    <n v="8"/>
    <s v="Working Day"/>
    <x v="0"/>
  </r>
  <r>
    <s v="ATD00641"/>
    <d v="2025-01-29T00:00:00"/>
    <x v="2"/>
    <s v="Q1"/>
    <s v="Wednesday"/>
    <s v="EMP005"/>
    <s v="Employee 5"/>
    <x v="1"/>
    <s v="Operations Executive"/>
    <s v="Madurai"/>
    <s v="Flexible Shift"/>
    <d v="1899-12-30T09:00:00"/>
    <d v="1899-12-30T18:00:00"/>
    <n v="8"/>
    <n v="0"/>
    <x v="0"/>
    <m/>
    <n v="4"/>
    <s v="L1"/>
    <s v="D. Dinesh"/>
    <x v="0"/>
    <s v="Late Login"/>
    <n v="27"/>
    <x v="1"/>
    <n v="45092"/>
    <n v="34000000"/>
    <s v="95% Process Efficiency"/>
    <n v="610000"/>
    <s v="High"/>
    <s v="Operational Efficiency"/>
    <n v="0.41666666666666669"/>
    <n v="0.79166666666666663"/>
    <n v="8"/>
    <s v="Working Day"/>
    <x v="0"/>
  </r>
  <r>
    <s v="ATD00642"/>
    <d v="2025-04-24T00:00:00"/>
    <x v="1"/>
    <s v="Q2"/>
    <s v="Thursday"/>
    <s v="EMP045"/>
    <s v="Employee 45"/>
    <x v="6"/>
    <s v="Sales Executive"/>
    <s v="Madurai"/>
    <s v="Afternoon Shift"/>
    <d v="1899-12-30T09:35:00"/>
    <d v="1899-12-30T18:00:00"/>
    <n v="8"/>
    <n v="0"/>
    <x v="0"/>
    <m/>
    <n v="5"/>
    <s v="L2"/>
    <s v="V. Vivek"/>
    <x v="3"/>
    <s v="Late Login"/>
    <n v="31"/>
    <x v="1"/>
    <n v="44484"/>
    <n v="42000000"/>
    <s v="₹2.5 Cr Monthly Sales"/>
    <n v="680000"/>
    <s v="High"/>
    <s v="Revenue Achievement"/>
    <n v="0.58333333333333337"/>
    <n v="0.95833333333333337"/>
    <n v="8"/>
    <s v="Working Day"/>
    <x v="0"/>
  </r>
  <r>
    <s v="ATD00643"/>
    <d v="2025-02-21T00:00:00"/>
    <x v="5"/>
    <s v="Q1"/>
    <s v="Friday"/>
    <s v="EMP034"/>
    <s v="Employee 34"/>
    <x v="5"/>
    <s v="Marketing Executive"/>
    <s v="Hyderabad"/>
    <s v="Night Shift"/>
    <d v="1899-12-30T22:00:00"/>
    <d v="1899-12-30T07:00:00"/>
    <n v="10"/>
    <n v="2"/>
    <x v="0"/>
    <m/>
    <m/>
    <s v="L4"/>
    <s v="S. Swetha"/>
    <x v="0"/>
    <s v="Late Login"/>
    <n v="38"/>
    <x v="0"/>
    <n v="45611"/>
    <n v="22000000"/>
    <s v="2500 Qualified Leads"/>
    <n v="590000"/>
    <s v="Medium"/>
    <s v="Lead Generation"/>
    <n v="0.91666666666666663"/>
    <n v="0.29166666666666669"/>
    <n v="8"/>
    <s v="Working Day"/>
    <x v="0"/>
  </r>
  <r>
    <s v="ATD00644"/>
    <d v="2025-05-24T00:00:00"/>
    <x v="3"/>
    <s v="Q2"/>
    <s v="Saturday"/>
    <s v="EMP032"/>
    <s v="Employee 32"/>
    <x v="3"/>
    <s v="Accountant"/>
    <s v="Chennai"/>
    <s v="Night Shift"/>
    <d v="1899-12-30T22:00:00"/>
    <d v="1899-12-30T07:00:00"/>
    <n v="10"/>
    <n v="2"/>
    <x v="0"/>
    <m/>
    <n v="5"/>
    <s v="L2"/>
    <s v="M. Mahesh"/>
    <x v="1"/>
    <s v="Work From Home"/>
    <n v="36"/>
    <x v="0"/>
    <n v="44819"/>
    <n v="26000000"/>
    <s v="100% Payroll Accuracy"/>
    <n v="640000"/>
    <s v="High"/>
    <s v="Financial Compliance"/>
    <n v="0.91666666666666663"/>
    <n v="0.29166666666666669"/>
    <n v="8"/>
    <s v="Working Day"/>
    <x v="0"/>
  </r>
  <r>
    <s v="ATD00645"/>
    <d v="2025-01-04T00:00:00"/>
    <x v="2"/>
    <s v="Q1"/>
    <s v="Saturday"/>
    <s v="EMP034"/>
    <s v="Employee 34"/>
    <x v="5"/>
    <s v="Marketing Executive"/>
    <s v="Hyderabad"/>
    <s v="Afternoon Shift"/>
    <d v="1899-12-30T09:00:00"/>
    <d v="1899-12-30T18:00:00"/>
    <n v="8"/>
    <n v="0"/>
    <x v="0"/>
    <m/>
    <n v="3"/>
    <s v="L3"/>
    <s v="S. Swetha"/>
    <x v="3"/>
    <s v="Late Login"/>
    <n v="38"/>
    <x v="0"/>
    <n v="45611"/>
    <n v="22000000"/>
    <s v="2500 Qualified Leads"/>
    <n v="590000"/>
    <s v="Medium"/>
    <s v="Lead Generation"/>
    <n v="0.58333333333333337"/>
    <n v="0.95833333333333337"/>
    <n v="8"/>
    <s v="Working Day"/>
    <x v="0"/>
  </r>
  <r>
    <s v="ATD00646"/>
    <d v="2025-04-30T00:00:00"/>
    <x v="1"/>
    <s v="Q2"/>
    <s v="Wednesday"/>
    <s v="EMP041"/>
    <s v="Employee 41"/>
    <x v="5"/>
    <s v="Marketing Executive"/>
    <s v="Coimbatore"/>
    <s v="Afternoon Shift"/>
    <d v="1899-12-30T09:00:00"/>
    <d v="1899-12-30T18:00:00"/>
    <n v="8"/>
    <n v="0"/>
    <x v="0"/>
    <m/>
    <n v="4"/>
    <s v="L2"/>
    <s v="S. Swetha"/>
    <x v="2"/>
    <s v="Late Login"/>
    <n v="27"/>
    <x v="1"/>
    <n v="45458"/>
    <n v="22000000"/>
    <s v="2500 Qualified Leads"/>
    <n v="590000"/>
    <s v="Medium"/>
    <s v="Lead Generation"/>
    <n v="0.58333333333333337"/>
    <n v="0.95833333333333337"/>
    <n v="8"/>
    <s v="Working Day"/>
    <x v="0"/>
  </r>
  <r>
    <s v="ATD00647"/>
    <d v="2025-03-25T00:00:00"/>
    <x v="4"/>
    <s v="Q1"/>
    <s v="Tuesday"/>
    <s v="EMP022"/>
    <s v="Employee 22"/>
    <x v="2"/>
    <s v="Software Engineer"/>
    <s v="Chennai"/>
    <s v="General Shift"/>
    <d v="1899-12-30T09:00:00"/>
    <d v="1899-12-30T18:00:00"/>
    <n v="10"/>
    <n v="2"/>
    <x v="0"/>
    <m/>
    <n v="3"/>
    <s v="L3"/>
    <s v="R. Karthikeyan"/>
    <x v="1"/>
    <s v="Work From Home"/>
    <n v="26"/>
    <x v="0"/>
    <n v="43784"/>
    <n v="85000000"/>
    <s v="99.5% System Uptime"/>
    <n v="720000"/>
    <s v="High"/>
    <s v="Project Delivery"/>
    <n v="0.375"/>
    <n v="0.75"/>
    <n v="8"/>
    <s v="Working Day"/>
    <x v="0"/>
  </r>
  <r>
    <s v="ATD00648"/>
    <d v="2025-02-20T00:00:00"/>
    <x v="5"/>
    <s v="Q1"/>
    <s v="Thursday"/>
    <s v="EMP034"/>
    <s v="Employee 34"/>
    <x v="5"/>
    <s v="Marketing Executive"/>
    <s v="Hyderabad"/>
    <s v="General Shift"/>
    <d v="1899-12-30T09:00:00"/>
    <d v="1899-12-30T18:00:00"/>
    <n v="8"/>
    <n v="0"/>
    <x v="0"/>
    <m/>
    <n v="4"/>
    <s v="L2"/>
    <s v="S. Swetha"/>
    <x v="0"/>
    <s v="Late Login"/>
    <n v="38"/>
    <x v="0"/>
    <n v="45611"/>
    <n v="22000000"/>
    <s v="2500 Qualified Leads"/>
    <n v="590000"/>
    <s v="Medium"/>
    <s v="Lead Generation"/>
    <n v="0.375"/>
    <n v="0.75"/>
    <n v="8"/>
    <s v="Working Day"/>
    <x v="0"/>
  </r>
  <r>
    <s v="ATD00649"/>
    <d v="2025-02-19T00:00:00"/>
    <x v="5"/>
    <s v="Q1"/>
    <s v="Wednesday"/>
    <s v="EMP012"/>
    <s v="Employee 12"/>
    <x v="1"/>
    <s v="Operations Executive"/>
    <s v="Chennai"/>
    <s v="Flexible Shift"/>
    <d v="1899-12-30T09:00:00"/>
    <d v="1899-12-30T18:00:00"/>
    <n v="8"/>
    <n v="0"/>
    <x v="0"/>
    <m/>
    <n v="4"/>
    <s v="L2"/>
    <s v="D. Dinesh"/>
    <x v="2"/>
    <s v="Late Login"/>
    <n v="34"/>
    <x v="0"/>
    <n v="44941"/>
    <n v="34000000"/>
    <s v="95% Process Efficiency"/>
    <n v="610000"/>
    <s v="High"/>
    <s v="Operational Efficiency"/>
    <n v="0.41666666666666669"/>
    <n v="0.79166666666666663"/>
    <n v="8"/>
    <s v="Working Day"/>
    <x v="0"/>
  </r>
  <r>
    <s v="ATD00650"/>
    <d v="2025-04-23T00:00:00"/>
    <x v="1"/>
    <s v="Q2"/>
    <s v="Wednesday"/>
    <s v="EMP028"/>
    <s v="Employee 28"/>
    <x v="0"/>
    <s v="Support Executive"/>
    <s v="Bengaluru"/>
    <s v="Flexible Shift"/>
    <m/>
    <d v="1899-12-30T18:00:00"/>
    <n v="8"/>
    <n v="0"/>
    <x v="0"/>
    <m/>
    <m/>
    <s v="L3"/>
    <s v="V. Vinoth"/>
    <x v="1"/>
    <s v="Work From Home"/>
    <n v="32"/>
    <x v="0"/>
    <n v="43235"/>
    <n v="24000000"/>
    <s v="90% Customer Satisfaction"/>
    <n v="520000"/>
    <s v="High"/>
    <s v="Customer Satisfaction"/>
    <n v="0.41666666666666669"/>
    <n v="0.79166666666666663"/>
    <n v="8"/>
    <s v="Working Day"/>
    <x v="0"/>
  </r>
  <r>
    <s v="ATD00651"/>
    <d v="2025-06-17T00:00:00"/>
    <x v="0"/>
    <s v="Q2"/>
    <s v="Tuesday"/>
    <s v="EMP024"/>
    <s v="Employee 24"/>
    <x v="6"/>
    <s v="Sales Executive"/>
    <s v="Hyderabad"/>
    <s v="Morning Shift"/>
    <d v="1899-12-30T09:10:00"/>
    <d v="1899-12-30T18:00:00"/>
    <n v="8"/>
    <n v="0"/>
    <x v="0"/>
    <m/>
    <n v="5"/>
    <s v="L4"/>
    <s v="V. Vivek"/>
    <x v="1"/>
    <s v="Late Login"/>
    <n v="28"/>
    <x v="1"/>
    <n v="44211"/>
    <n v="42000000"/>
    <s v="₹2.5 Cr Monthly Sales"/>
    <n v="680000"/>
    <s v="High"/>
    <s v="Revenue Achievement"/>
    <n v="0.25"/>
    <n v="0.625"/>
    <n v="8"/>
    <s v="Working Day"/>
    <x v="0"/>
  </r>
  <r>
    <s v="ATD00652"/>
    <d v="2025-02-20T00:00:00"/>
    <x v="5"/>
    <s v="Q1"/>
    <s v="Thursday"/>
    <s v="EMP039"/>
    <s v="Employee 39"/>
    <x v="3"/>
    <s v="Accountant"/>
    <s v="Hyderabad"/>
    <s v="Flexible Shift"/>
    <d v="1899-12-30T09:00:00"/>
    <d v="1899-12-30T18:00:00"/>
    <n v="8"/>
    <n v="0"/>
    <x v="0"/>
    <m/>
    <m/>
    <s v="L3"/>
    <s v="M. Mahesh"/>
    <x v="2"/>
    <s v="Late Login"/>
    <n v="25"/>
    <x v="0"/>
    <n v="44666"/>
    <n v="26000000"/>
    <s v="100% Payroll Accuracy"/>
    <n v="640000"/>
    <s v="High"/>
    <s v="Financial Compliance"/>
    <n v="0.41666666666666669"/>
    <n v="0.79166666666666663"/>
    <n v="8"/>
    <s v="Working Day"/>
    <x v="0"/>
  </r>
  <r>
    <s v="ATD00653"/>
    <d v="2025-04-20T00:00:00"/>
    <x v="1"/>
    <s v="Q2"/>
    <s v="Sunday"/>
    <s v="EMP027"/>
    <s v="Employee 27"/>
    <x v="5"/>
    <s v="Marketing Executive"/>
    <s v="Chennai"/>
    <s v="General Shift"/>
    <d v="1899-12-30T09:00:00"/>
    <d v="1899-12-30T18:00:00"/>
    <n v="8"/>
    <n v="0"/>
    <x v="0"/>
    <m/>
    <n v="4"/>
    <s v="L3"/>
    <s v="S. Swetha"/>
    <x v="1"/>
    <s v="Late Login"/>
    <n v="31"/>
    <x v="1"/>
    <n v="45397"/>
    <n v="22000000"/>
    <s v="2500 Qualified Leads"/>
    <n v="590000"/>
    <s v="Medium"/>
    <s v="Lead Generation"/>
    <n v="0.375"/>
    <n v="0.75"/>
    <n v="8"/>
    <s v="Working Day"/>
    <x v="0"/>
  </r>
  <r>
    <s v="ATD00654"/>
    <d v="2025-02-24T00:00:00"/>
    <x v="5"/>
    <s v="Q1"/>
    <s v="Monday"/>
    <s v="EMP001"/>
    <s v="Employee 1"/>
    <x v="2"/>
    <s v="Software Engineer"/>
    <s v="Coimbatore"/>
    <s v="Afternoon Shift"/>
    <d v="1899-12-30T09:00:00"/>
    <d v="1899-12-30T18:00:00"/>
    <n v="8"/>
    <n v="0"/>
    <x v="0"/>
    <m/>
    <n v="4"/>
    <s v="L1"/>
    <s v="R. Karthikeyan"/>
    <x v="0"/>
    <s v="Late Login"/>
    <n v="23"/>
    <x v="1"/>
    <n v="43511"/>
    <n v="85000000"/>
    <s v="99.5% System Uptime"/>
    <n v="720000"/>
    <s v="High"/>
    <s v="Project Delivery"/>
    <n v="0.58333333333333337"/>
    <n v="0.95833333333333337"/>
    <n v="8"/>
    <s v="Working Day"/>
    <x v="0"/>
  </r>
  <r>
    <s v="ATD00655"/>
    <d v="2025-03-20T00:00:00"/>
    <x v="4"/>
    <s v="Q1"/>
    <s v="Thursday"/>
    <s v="EMP034"/>
    <s v="Employee 34"/>
    <x v="5"/>
    <s v="Marketing Executive"/>
    <s v="Hyderabad"/>
    <s v="Night Shift"/>
    <d v="1899-12-30T22:00:00"/>
    <d v="1899-12-30T07:00:00"/>
    <n v="10"/>
    <n v="2"/>
    <x v="0"/>
    <m/>
    <n v="3"/>
    <s v="L2"/>
    <s v="S. Swetha"/>
    <x v="0"/>
    <s v="Client Visit"/>
    <n v="38"/>
    <x v="0"/>
    <n v="45611"/>
    <n v="22000000"/>
    <s v="2500 Qualified Leads"/>
    <n v="590000"/>
    <s v="Medium"/>
    <s v="Lead Generation"/>
    <n v="0.91666666666666663"/>
    <n v="0.29166666666666669"/>
    <n v="8"/>
    <s v="Working Day"/>
    <x v="0"/>
  </r>
  <r>
    <s v="ATD00656"/>
    <d v="2025-04-14T00:00:00"/>
    <x v="1"/>
    <s v="Q2"/>
    <s v="Monday"/>
    <s v="EMP034"/>
    <s v="Employee 34"/>
    <x v="5"/>
    <s v="Marketing Executive"/>
    <s v="Hyderabad"/>
    <s v="Afternoon Shift"/>
    <d v="1899-12-30T09:00:00"/>
    <d v="1899-12-30T18:00:00"/>
    <n v="8"/>
    <n v="0"/>
    <x v="0"/>
    <m/>
    <n v="3"/>
    <s v="L1"/>
    <s v="S. Swetha"/>
    <x v="2"/>
    <m/>
    <n v="38"/>
    <x v="0"/>
    <n v="45611"/>
    <n v="22000000"/>
    <s v="2500 Qualified Leads"/>
    <n v="590000"/>
    <s v="Medium"/>
    <s v="Lead Generation"/>
    <n v="0.58333333333333337"/>
    <n v="0.95833333333333337"/>
    <n v="8"/>
    <s v="Tamil New Year"/>
    <x v="2"/>
  </r>
  <r>
    <s v="ATD00657"/>
    <d v="2025-04-05T00:00:00"/>
    <x v="1"/>
    <s v="Q2"/>
    <s v="Saturday"/>
    <s v="EMP039"/>
    <s v="Employee 39"/>
    <x v="3"/>
    <s v="Accountant"/>
    <s v="Hyderabad"/>
    <s v="Night Shift"/>
    <d v="1899-12-30T22:00:00"/>
    <d v="1899-12-30T07:00:00"/>
    <n v="10"/>
    <n v="2"/>
    <x v="0"/>
    <m/>
    <n v="3"/>
    <s v="L3"/>
    <s v="M. Mahesh"/>
    <x v="3"/>
    <s v="Client Visit"/>
    <n v="25"/>
    <x v="0"/>
    <n v="44666"/>
    <n v="26000000"/>
    <s v="100% Payroll Accuracy"/>
    <n v="640000"/>
    <s v="High"/>
    <s v="Financial Compliance"/>
    <n v="0.91666666666666663"/>
    <n v="0.29166666666666669"/>
    <n v="8"/>
    <s v="Working Day"/>
    <x v="0"/>
  </r>
  <r>
    <s v="ATD00658"/>
    <d v="2025-06-15T00:00:00"/>
    <x v="0"/>
    <s v="Q2"/>
    <s v="Sunday"/>
    <s v="EMP046"/>
    <s v="Employee 46"/>
    <x v="3"/>
    <s v="Accountant"/>
    <s v="Coimbatore"/>
    <s v="General Shift"/>
    <d v="1899-12-30T09:00:00"/>
    <d v="1899-12-30T18:00:00"/>
    <n v="8"/>
    <n v="0"/>
    <x v="0"/>
    <m/>
    <m/>
    <s v="L1"/>
    <s v="M. Mahesh"/>
    <x v="0"/>
    <s v="Late Login"/>
    <n v="32"/>
    <x v="0"/>
    <n v="44880"/>
    <n v="26000000"/>
    <s v="100% Payroll Accuracy"/>
    <n v="640000"/>
    <s v="High"/>
    <s v="Financial Compliance"/>
    <n v="0.375"/>
    <n v="0.75"/>
    <n v="8"/>
    <s v="Working Day"/>
    <x v="0"/>
  </r>
  <r>
    <s v="ATD00659"/>
    <d v="2025-05-23T00:00:00"/>
    <x v="3"/>
    <s v="Q2"/>
    <s v="Friday"/>
    <s v="EMP047"/>
    <s v="Employee 47"/>
    <x v="1"/>
    <s v="Operations Executive"/>
    <s v="Chennai"/>
    <s v="Flexible Shift"/>
    <d v="1899-12-30T09:00:00"/>
    <d v="1899-12-30T18:00:00"/>
    <n v="8"/>
    <n v="0"/>
    <x v="0"/>
    <m/>
    <m/>
    <s v="L4"/>
    <s v="D. Dinesh"/>
    <x v="2"/>
    <m/>
    <n v="33"/>
    <x v="1"/>
    <n v="45275"/>
    <n v="34000000"/>
    <s v="95% Process Efficiency"/>
    <n v="610000"/>
    <s v="High"/>
    <s v="Operational Efficiency"/>
    <n v="0.41666666666666669"/>
    <n v="0.79166666666666663"/>
    <n v="8"/>
    <s v="Working Day"/>
    <x v="0"/>
  </r>
  <r>
    <s v="ATD00660"/>
    <d v="2025-06-21T00:00:00"/>
    <x v="0"/>
    <s v="Q2"/>
    <s v="Saturday"/>
    <s v="EMP030"/>
    <s v="Employee 30"/>
    <x v="4"/>
    <s v="HR Executive"/>
    <s v="Madurai"/>
    <s v="Afternoon Shift"/>
    <d v="1899-12-30T09:00:00"/>
    <d v="1899-12-30T18:00:00"/>
    <n v="8"/>
    <n v="0"/>
    <x v="0"/>
    <m/>
    <m/>
    <s v="L2"/>
    <s v="P. Priya"/>
    <x v="0"/>
    <s v="Work From Home"/>
    <n v="34"/>
    <x v="0"/>
    <n v="44027"/>
    <n v="18000000"/>
    <s v="&lt;30 Days Hiring Cycle"/>
    <n v="560000"/>
    <s v="Medium"/>
    <s v="Hiring &amp; Retention"/>
    <n v="0.58333333333333337"/>
    <n v="0.95833333333333337"/>
    <n v="8"/>
    <s v="Working Day"/>
    <x v="0"/>
  </r>
  <r>
    <s v="ATD00661"/>
    <d v="2025-01-06T00:00:00"/>
    <x v="2"/>
    <s v="Q1"/>
    <s v="Monday"/>
    <s v="EMP046"/>
    <s v="Employee 46"/>
    <x v="3"/>
    <s v="Accountant"/>
    <s v="Coimbatore"/>
    <s v="General Shift"/>
    <m/>
    <m/>
    <m/>
    <m/>
    <x v="2"/>
    <m/>
    <m/>
    <s v="L2"/>
    <s v="M. Mahesh"/>
    <x v="1"/>
    <s v="Late Login"/>
    <n v="32"/>
    <x v="0"/>
    <n v="44880"/>
    <n v="26000000"/>
    <s v="100% Payroll Accuracy"/>
    <n v="640000"/>
    <s v="High"/>
    <s v="Financial Compliance"/>
    <n v="0.375"/>
    <n v="0.75"/>
    <n v="8"/>
    <s v="Working Day"/>
    <x v="0"/>
  </r>
  <r>
    <s v="ATD00662"/>
    <d v="2025-02-21T00:00:00"/>
    <x v="5"/>
    <s v="Q1"/>
    <s v="Friday"/>
    <s v="EMP043"/>
    <s v="Employee 43"/>
    <x v="2"/>
    <s v="Software Engineer"/>
    <s v="Bengaluru"/>
    <s v="Flexible Shift"/>
    <d v="1899-12-30T09:00:00"/>
    <d v="1899-12-30T18:00:00"/>
    <n v="8"/>
    <n v="0"/>
    <x v="0"/>
    <m/>
    <n v="4"/>
    <s v="L2"/>
    <s v="R. Karthikeyan"/>
    <x v="3"/>
    <m/>
    <n v="29"/>
    <x v="1"/>
    <n v="43692"/>
    <n v="85000000"/>
    <s v="99.5% System Uptime"/>
    <n v="720000"/>
    <s v="High"/>
    <s v="Project Delivery"/>
    <n v="0.41666666666666669"/>
    <n v="0.79166666666666663"/>
    <n v="8"/>
    <s v="Working Day"/>
    <x v="0"/>
  </r>
  <r>
    <s v="ATD00663"/>
    <d v="2025-04-24T00:00:00"/>
    <x v="1"/>
    <s v="Q2"/>
    <s v="Thursday"/>
    <s v="EMP015"/>
    <s v="Employee 15"/>
    <x v="2"/>
    <s v="Software Engineer"/>
    <s v="Madurai"/>
    <s v="General Shift"/>
    <d v="1899-12-30T09:00:00"/>
    <d v="1899-12-30T18:00:00"/>
    <n v="9"/>
    <n v="1"/>
    <x v="0"/>
    <m/>
    <n v="5"/>
    <s v="L2"/>
    <s v="R. Karthikeyan"/>
    <x v="0"/>
    <m/>
    <n v="37"/>
    <x v="1"/>
    <n v="43570"/>
    <n v="85000000"/>
    <s v="99.5% System Uptime"/>
    <n v="720000"/>
    <s v="High"/>
    <s v="Project Delivery"/>
    <n v="0.375"/>
    <n v="0.75"/>
    <n v="8"/>
    <s v="Working Day"/>
    <x v="0"/>
  </r>
  <r>
    <s v="ATD00664"/>
    <d v="2025-01-31T00:00:00"/>
    <x v="2"/>
    <s v="Q1"/>
    <s v="Friday"/>
    <s v="EMP050"/>
    <s v="Employee 50"/>
    <x v="2"/>
    <s v="Software Engineer"/>
    <s v="Madurai"/>
    <s v="Flexible Shift"/>
    <d v="1899-12-30T09:00:00"/>
    <d v="1899-12-30T18:00:00"/>
    <n v="9"/>
    <n v="1"/>
    <x v="0"/>
    <m/>
    <m/>
    <s v="L3"/>
    <s v="R. Karthikeyan"/>
    <x v="0"/>
    <s v="Work From Home"/>
    <n v="36"/>
    <x v="0"/>
    <n v="43539"/>
    <n v="85000000"/>
    <s v="99.5% System Uptime"/>
    <n v="720000"/>
    <s v="High"/>
    <s v="Project Delivery"/>
    <n v="0.41666666666666669"/>
    <n v="0.79166666666666663"/>
    <n v="8"/>
    <s v="Working Day"/>
    <x v="0"/>
  </r>
  <r>
    <s v="ATD00665"/>
    <d v="2025-02-15T00:00:00"/>
    <x v="5"/>
    <s v="Q1"/>
    <s v="Saturday"/>
    <s v="EMP005"/>
    <s v="Employee 5"/>
    <x v="1"/>
    <s v="Operations Executive"/>
    <s v="Madurai"/>
    <s v="Night Shift"/>
    <d v="1899-12-30T22:00:00"/>
    <d v="1899-12-30T07:00:00"/>
    <n v="9"/>
    <n v="1"/>
    <x v="0"/>
    <m/>
    <m/>
    <s v="L1"/>
    <s v="D. Dinesh"/>
    <x v="3"/>
    <s v="Work From Home"/>
    <n v="27"/>
    <x v="1"/>
    <n v="45092"/>
    <n v="34000000"/>
    <s v="95% Process Efficiency"/>
    <n v="610000"/>
    <s v="High"/>
    <s v="Operational Efficiency"/>
    <n v="0.91666666666666663"/>
    <n v="0.29166666666666669"/>
    <n v="8"/>
    <s v="Working Day"/>
    <x v="0"/>
  </r>
  <r>
    <s v="ATD00666"/>
    <d v="2025-03-11T00:00:00"/>
    <x v="4"/>
    <s v="Q1"/>
    <s v="Tuesday"/>
    <s v="EMP035"/>
    <s v="Employee 35"/>
    <x v="0"/>
    <s v="Support Executive"/>
    <s v="Madurai"/>
    <s v="Morning Shift"/>
    <d v="1899-12-30T09:00:00"/>
    <d v="1899-12-30T18:00:00"/>
    <n v="8"/>
    <n v="0"/>
    <x v="0"/>
    <m/>
    <n v="4"/>
    <s v="L3"/>
    <s v="V. Vinoth"/>
    <x v="0"/>
    <s v="Client Visit"/>
    <n v="39"/>
    <x v="1"/>
    <n v="43449"/>
    <n v="24000000"/>
    <s v="90% Customer Satisfaction"/>
    <n v="520000"/>
    <s v="High"/>
    <s v="Customer Satisfaction"/>
    <n v="0.25"/>
    <n v="0.625"/>
    <n v="8"/>
    <s v="Working Day"/>
    <x v="0"/>
  </r>
  <r>
    <s v="ATD00667"/>
    <d v="2025-03-02T00:00:00"/>
    <x v="4"/>
    <s v="Q1"/>
    <s v="Sunday"/>
    <s v="EMP035"/>
    <s v="Employee 35"/>
    <x v="0"/>
    <s v="Support Executive"/>
    <s v="Madurai"/>
    <s v="Morning Shift"/>
    <d v="1899-12-30T09:00:00"/>
    <d v="1899-12-30T18:00:00"/>
    <n v="8"/>
    <n v="0"/>
    <x v="0"/>
    <m/>
    <n v="3"/>
    <s v="L1"/>
    <s v="V. Vinoth"/>
    <x v="1"/>
    <s v="Client Visit"/>
    <n v="39"/>
    <x v="1"/>
    <n v="43449"/>
    <n v="24000000"/>
    <s v="90% Customer Satisfaction"/>
    <n v="520000"/>
    <s v="High"/>
    <s v="Customer Satisfaction"/>
    <n v="0.25"/>
    <n v="0.625"/>
    <n v="8"/>
    <s v="Working Day"/>
    <x v="0"/>
  </r>
  <r>
    <s v="ATD00668"/>
    <d v="2025-05-11T00:00:00"/>
    <x v="3"/>
    <s v="Q2"/>
    <s v="Sunday"/>
    <s v="EMP040"/>
    <s v="Employee 40"/>
    <x v="1"/>
    <s v="Operations Executive"/>
    <s v="Madurai"/>
    <s v="Flexible Shift"/>
    <d v="1899-12-30T09:00:00"/>
    <d v="1899-12-30T18:00:00"/>
    <n v="8"/>
    <n v="0"/>
    <x v="0"/>
    <m/>
    <n v="4"/>
    <s v="L1"/>
    <s v="D. Dinesh"/>
    <x v="0"/>
    <s v="Late Login"/>
    <n v="26"/>
    <x v="1"/>
    <n v="45061"/>
    <n v="34000000"/>
    <s v="95% Process Efficiency"/>
    <n v="610000"/>
    <s v="High"/>
    <s v="Operational Efficiency"/>
    <n v="0.41666666666666669"/>
    <n v="0.79166666666666663"/>
    <n v="8"/>
    <s v="Working Day"/>
    <x v="0"/>
  </r>
  <r>
    <s v="ATD00669"/>
    <d v="2025-05-24T00:00:00"/>
    <x v="3"/>
    <s v="Q2"/>
    <s v="Saturday"/>
    <s v="EMP039"/>
    <s v="Employee 39"/>
    <x v="3"/>
    <s v="Accountant"/>
    <s v="Hyderabad"/>
    <s v="General Shift"/>
    <d v="1899-12-30T09:00:00"/>
    <d v="1899-12-30T18:00:00"/>
    <n v="8"/>
    <n v="0"/>
    <x v="0"/>
    <m/>
    <n v="4"/>
    <s v="L2"/>
    <s v="M. Mahesh"/>
    <x v="2"/>
    <s v="Client Visit"/>
    <n v="25"/>
    <x v="0"/>
    <n v="44666"/>
    <n v="26000000"/>
    <s v="100% Payroll Accuracy"/>
    <n v="640000"/>
    <s v="High"/>
    <s v="Financial Compliance"/>
    <n v="0.375"/>
    <n v="0.75"/>
    <n v="8"/>
    <s v="Working Day"/>
    <x v="0"/>
  </r>
  <r>
    <s v="ATD00670"/>
    <d v="2025-02-09T00:00:00"/>
    <x v="5"/>
    <s v="Q1"/>
    <s v="Sunday"/>
    <s v="EMP034"/>
    <s v="Employee 34"/>
    <x v="5"/>
    <s v="Marketing Executive"/>
    <s v="Hyderabad"/>
    <s v="Afternoon Shift"/>
    <d v="1899-12-30T09:00:00"/>
    <d v="1899-12-30T18:00:00"/>
    <n v="8"/>
    <n v="0"/>
    <x v="0"/>
    <m/>
    <n v="4"/>
    <s v="L2"/>
    <s v="S. Swetha"/>
    <x v="3"/>
    <s v="Work From Home"/>
    <n v="38"/>
    <x v="0"/>
    <n v="45611"/>
    <n v="22000000"/>
    <s v="2500 Qualified Leads"/>
    <n v="590000"/>
    <s v="Medium"/>
    <s v="Lead Generation"/>
    <n v="0.58333333333333337"/>
    <n v="0.95833333333333337"/>
    <n v="8"/>
    <s v="Working Day"/>
    <x v="0"/>
  </r>
  <r>
    <s v="ATD00671"/>
    <d v="2025-06-21T00:00:00"/>
    <x v="0"/>
    <s v="Q2"/>
    <s v="Saturday"/>
    <s v="EMP048"/>
    <s v="Employee 48"/>
    <x v="5"/>
    <s v="Marketing Executive"/>
    <s v="Bengaluru"/>
    <s v="General Shift"/>
    <d v="1899-12-30T09:00:00"/>
    <d v="1899-12-30T18:00:00"/>
    <n v="8"/>
    <n v="0"/>
    <x v="0"/>
    <m/>
    <n v="4"/>
    <s v="L3"/>
    <s v="S. Swetha"/>
    <x v="1"/>
    <s v="Work From Home"/>
    <n v="34"/>
    <x v="0"/>
    <n v="45306"/>
    <n v="22000000"/>
    <s v="2500 Qualified Leads"/>
    <n v="590000"/>
    <s v="Medium"/>
    <s v="Lead Generation"/>
    <n v="0.375"/>
    <n v="0.75"/>
    <n v="8"/>
    <s v="Working Day"/>
    <x v="0"/>
  </r>
  <r>
    <s v="ATD00672"/>
    <d v="2025-01-03T00:00:00"/>
    <x v="2"/>
    <s v="Q1"/>
    <s v="Friday"/>
    <s v="EMP002"/>
    <s v="Employee 2"/>
    <x v="4"/>
    <s v="HR Executive"/>
    <s v="Chennai"/>
    <s v="Flexible Shift"/>
    <d v="1899-12-30T09:00:00"/>
    <d v="1899-12-30T18:00:00"/>
    <n v="8"/>
    <n v="0"/>
    <x v="0"/>
    <m/>
    <n v="5"/>
    <s v="L2"/>
    <s v="P. Priya"/>
    <x v="3"/>
    <s v="Work From Home"/>
    <n v="24"/>
    <x v="0"/>
    <n v="43905"/>
    <n v="18000000"/>
    <s v="&lt;30 Days Hiring Cycle"/>
    <n v="560000"/>
    <s v="Medium"/>
    <s v="Hiring &amp; Retention"/>
    <n v="0.41666666666666669"/>
    <n v="0.79166666666666663"/>
    <n v="8"/>
    <s v="Working Day"/>
    <x v="0"/>
  </r>
  <r>
    <s v="ATD00673"/>
    <d v="2025-05-19T00:00:00"/>
    <x v="3"/>
    <s v="Q2"/>
    <s v="Monday"/>
    <s v="EMP033"/>
    <s v="Employee 33"/>
    <x v="1"/>
    <s v="Operations Executive"/>
    <s v="Bengaluru"/>
    <s v="Night Shift"/>
    <d v="1899-12-30T22:00:00"/>
    <d v="1899-12-30T07:00:00"/>
    <n v="9"/>
    <n v="1"/>
    <x v="0"/>
    <m/>
    <n v="5"/>
    <s v="L3"/>
    <s v="D. Dinesh"/>
    <x v="1"/>
    <s v="Late Login"/>
    <n v="37"/>
    <x v="1"/>
    <n v="45214"/>
    <n v="34000000"/>
    <s v="95% Process Efficiency"/>
    <n v="610000"/>
    <s v="High"/>
    <s v="Operational Efficiency"/>
    <n v="0.91666666666666663"/>
    <n v="0.29166666666666669"/>
    <n v="8"/>
    <s v="Working Day"/>
    <x v="0"/>
  </r>
  <r>
    <s v="ATD00674"/>
    <d v="2025-04-08T00:00:00"/>
    <x v="1"/>
    <s v="Q2"/>
    <s v="Tuesday"/>
    <s v="EMP044"/>
    <s v="Employee 44"/>
    <x v="4"/>
    <s v="HR Executive"/>
    <s v="Hyderabad"/>
    <s v="Flexible Shift"/>
    <d v="1899-12-30T09:00:00"/>
    <d v="1899-12-30T18:00:00"/>
    <n v="8"/>
    <n v="0"/>
    <x v="0"/>
    <m/>
    <m/>
    <s v="L2"/>
    <s v="P. Priya"/>
    <x v="0"/>
    <s v="Work From Home"/>
    <n v="30"/>
    <x v="0"/>
    <n v="44089"/>
    <n v="18000000"/>
    <s v="&lt;30 Days Hiring Cycle"/>
    <n v="560000"/>
    <s v="Medium"/>
    <s v="Hiring &amp; Retention"/>
    <n v="0.41666666666666669"/>
    <n v="0.79166666666666663"/>
    <n v="8"/>
    <s v="Working Day"/>
    <x v="0"/>
  </r>
  <r>
    <s v="ATD00675"/>
    <d v="2025-03-31T00:00:00"/>
    <x v="4"/>
    <s v="Q1"/>
    <s v="Monday"/>
    <s v="EMP008"/>
    <s v="Employee 8"/>
    <x v="2"/>
    <s v="Software Engineer"/>
    <s v="Bengaluru"/>
    <s v="Morning Shift"/>
    <d v="1899-12-30T09:00:00"/>
    <d v="1899-12-30T18:00:00"/>
    <n v="9"/>
    <n v="1"/>
    <x v="0"/>
    <m/>
    <m/>
    <s v="L1"/>
    <s v="R. Karthikeyan"/>
    <x v="0"/>
    <s v="Late Login"/>
    <n v="30"/>
    <x v="0"/>
    <n v="43723"/>
    <n v="85000000"/>
    <s v="99.5% System Uptime"/>
    <n v="720000"/>
    <s v="High"/>
    <s v="Project Delivery"/>
    <n v="0.25"/>
    <n v="0.625"/>
    <n v="8"/>
    <s v="Working Day"/>
    <x v="0"/>
  </r>
  <r>
    <s v="ATD00676"/>
    <d v="2025-01-02T00:00:00"/>
    <x v="2"/>
    <s v="Q1"/>
    <s v="Thursday"/>
    <s v="EMP031"/>
    <s v="Employee 31"/>
    <x v="6"/>
    <s v="Sales Executive"/>
    <s v="Coimbatore"/>
    <s v="Flexible Shift"/>
    <d v="1899-12-30T09:00:00"/>
    <d v="1899-12-30T18:00:00"/>
    <n v="8"/>
    <n v="0"/>
    <x v="0"/>
    <m/>
    <m/>
    <s v="L1"/>
    <s v="V. Vivek"/>
    <x v="1"/>
    <m/>
    <n v="35"/>
    <x v="1"/>
    <n v="44423"/>
    <n v="42000000"/>
    <s v="₹2.5 Cr Monthly Sales"/>
    <n v="680000"/>
    <s v="High"/>
    <s v="Revenue Achievement"/>
    <n v="0.41666666666666669"/>
    <n v="0.79166666666666663"/>
    <n v="8"/>
    <s v="Working Day"/>
    <x v="0"/>
  </r>
  <r>
    <s v="ATD00677"/>
    <d v="2025-04-07T00:00:00"/>
    <x v="1"/>
    <s v="Q2"/>
    <s v="Monday"/>
    <s v="EMP029"/>
    <s v="Employee 29"/>
    <x v="2"/>
    <s v="Software Engineer"/>
    <s v="Hyderabad"/>
    <s v="Flexible Shift"/>
    <m/>
    <d v="1899-12-30T18:00:00"/>
    <n v="8.5"/>
    <n v="0.5"/>
    <x v="0"/>
    <m/>
    <n v="5"/>
    <s v="L3"/>
    <s v="R. Karthikeyan"/>
    <x v="2"/>
    <s v="Client Visit"/>
    <n v="33"/>
    <x v="1"/>
    <n v="43631"/>
    <n v="85000000"/>
    <s v="99.5% System Uptime"/>
    <n v="720000"/>
    <s v="High"/>
    <s v="Project Delivery"/>
    <n v="0.41666666666666669"/>
    <n v="0.79166666666666663"/>
    <n v="8"/>
    <s v="Working Day"/>
    <x v="0"/>
  </r>
  <r>
    <s v="ATD00678"/>
    <d v="2025-03-27T00:00:00"/>
    <x v="4"/>
    <s v="Q1"/>
    <s v="Thursday"/>
    <s v="EMP028"/>
    <s v="Employee 28"/>
    <x v="0"/>
    <s v="Support Executive"/>
    <s v="Bengaluru"/>
    <s v="Afternoon Shift"/>
    <d v="1899-12-30T09:00:00"/>
    <d v="1899-12-30T18:00:00"/>
    <n v="8"/>
    <n v="0"/>
    <x v="0"/>
    <m/>
    <n v="4"/>
    <s v="L3"/>
    <s v="V. Vinoth"/>
    <x v="0"/>
    <s v="Client Visit"/>
    <n v="32"/>
    <x v="0"/>
    <n v="43235"/>
    <n v="24000000"/>
    <s v="90% Customer Satisfaction"/>
    <n v="520000"/>
    <s v="High"/>
    <s v="Customer Satisfaction"/>
    <n v="0.58333333333333337"/>
    <n v="0.95833333333333337"/>
    <n v="8"/>
    <s v="Working Day"/>
    <x v="0"/>
  </r>
  <r>
    <s v="ATD00679"/>
    <d v="2025-04-10T00:00:00"/>
    <x v="1"/>
    <s v="Q2"/>
    <s v="Thursday"/>
    <s v="EMP002"/>
    <s v="Employee 2"/>
    <x v="4"/>
    <s v="HR Executive"/>
    <s v="Chennai"/>
    <s v="General Shift"/>
    <d v="1899-12-30T09:00:00"/>
    <d v="1899-12-30T18:00:00"/>
    <n v="8"/>
    <n v="0"/>
    <x v="0"/>
    <m/>
    <n v="4"/>
    <s v="L3"/>
    <s v="P. Priya"/>
    <x v="1"/>
    <s v="Late Login"/>
    <n v="24"/>
    <x v="0"/>
    <n v="43905"/>
    <n v="18000000"/>
    <s v="&lt;30 Days Hiring Cycle"/>
    <n v="560000"/>
    <s v="Medium"/>
    <s v="Hiring &amp; Retention"/>
    <n v="0.375"/>
    <n v="0.75"/>
    <n v="8"/>
    <s v="Working Day"/>
    <x v="0"/>
  </r>
  <r>
    <s v="ATD00680"/>
    <d v="2025-03-29T00:00:00"/>
    <x v="4"/>
    <s v="Q1"/>
    <s v="Saturday"/>
    <s v="EMP050"/>
    <s v="Employee 50"/>
    <x v="2"/>
    <s v="Software Engineer"/>
    <s v="Madurai"/>
    <s v="Night Shift"/>
    <d v="1899-12-30T22:00:00"/>
    <d v="1899-12-30T07:00:00"/>
    <n v="8.5"/>
    <n v="0.5"/>
    <x v="0"/>
    <m/>
    <n v="5"/>
    <s v="L3"/>
    <s v="R. Karthikeyan"/>
    <x v="1"/>
    <m/>
    <n v="36"/>
    <x v="0"/>
    <n v="43539"/>
    <n v="85000000"/>
    <s v="99.5% System Uptime"/>
    <n v="720000"/>
    <s v="High"/>
    <s v="Project Delivery"/>
    <n v="0.91666666666666663"/>
    <n v="0.29166666666666669"/>
    <n v="8"/>
    <s v="Working Day"/>
    <x v="0"/>
  </r>
  <r>
    <s v="ATD00681"/>
    <d v="2025-01-01T00:00:00"/>
    <x v="2"/>
    <s v="Q1"/>
    <s v="Wednesday"/>
    <s v="EMP049"/>
    <s v="Employee 49"/>
    <x v="0"/>
    <s v="Support Executive"/>
    <s v="Hyderabad"/>
    <s v="Flexible Shift"/>
    <d v="1899-12-30T09:00:00"/>
    <d v="1899-12-30T18:00:00"/>
    <n v="8"/>
    <n v="0"/>
    <x v="0"/>
    <m/>
    <n v="4"/>
    <s v="L4"/>
    <s v="V. Vinoth"/>
    <x v="2"/>
    <s v="Late Login"/>
    <n v="35"/>
    <x v="1"/>
    <n v="43146"/>
    <n v="24000000"/>
    <s v="90% Customer Satisfaction"/>
    <n v="520000"/>
    <s v="High"/>
    <s v="Customer Satisfaction"/>
    <n v="0.41666666666666669"/>
    <n v="0.79166666666666663"/>
    <n v="8"/>
    <s v="New Year's Day"/>
    <x v="1"/>
  </r>
  <r>
    <s v="ATD00682"/>
    <d v="2025-04-13T00:00:00"/>
    <x v="1"/>
    <s v="Q2"/>
    <s v="Sunday"/>
    <s v="EMP027"/>
    <s v="Employee 27"/>
    <x v="5"/>
    <s v="Marketing Executive"/>
    <s v="Chennai"/>
    <s v="Morning Shift"/>
    <d v="1899-12-30T09:00:00"/>
    <d v="1899-12-30T18:00:00"/>
    <n v="8"/>
    <n v="0"/>
    <x v="0"/>
    <m/>
    <n v="3"/>
    <s v="L2"/>
    <s v="S. Swetha"/>
    <x v="2"/>
    <s v="Work From Home"/>
    <n v="31"/>
    <x v="1"/>
    <n v="45397"/>
    <n v="22000000"/>
    <s v="2500 Qualified Leads"/>
    <n v="590000"/>
    <s v="Medium"/>
    <s v="Lead Generation"/>
    <n v="0.25"/>
    <n v="0.625"/>
    <n v="8"/>
    <s v="Working Day"/>
    <x v="0"/>
  </r>
  <r>
    <s v="ATD00683"/>
    <d v="2025-04-08T00:00:00"/>
    <x v="1"/>
    <s v="Q2"/>
    <s v="Tuesday"/>
    <s v="EMP046"/>
    <s v="Employee 46"/>
    <x v="3"/>
    <s v="Accountant"/>
    <s v="Coimbatore"/>
    <s v="Morning Shift"/>
    <d v="1899-12-30T09:00:00"/>
    <d v="1899-12-30T18:00:00"/>
    <n v="8"/>
    <n v="0"/>
    <x v="0"/>
    <m/>
    <n v="5"/>
    <s v="L2"/>
    <s v="M. Mahesh"/>
    <x v="3"/>
    <m/>
    <n v="32"/>
    <x v="0"/>
    <n v="44880"/>
    <n v="26000000"/>
    <s v="100% Payroll Accuracy"/>
    <n v="640000"/>
    <s v="High"/>
    <s v="Financial Compliance"/>
    <n v="0.25"/>
    <n v="0.625"/>
    <n v="8"/>
    <s v="Working Day"/>
    <x v="0"/>
  </r>
  <r>
    <s v="ATD00684"/>
    <d v="2025-02-24T00:00:00"/>
    <x v="5"/>
    <s v="Q1"/>
    <s v="Monday"/>
    <s v="EMP016"/>
    <s v="Employee 16"/>
    <x v="4"/>
    <s v="HR Executive"/>
    <s v="Coimbatore"/>
    <s v="Night Shift"/>
    <d v="1899-12-30T22:00:00"/>
    <d v="1899-12-30T07:00:00"/>
    <n v="9.5"/>
    <n v="1.5"/>
    <x v="0"/>
    <m/>
    <n v="5"/>
    <s v="L2"/>
    <s v="P. Priya"/>
    <x v="0"/>
    <m/>
    <n v="38"/>
    <x v="0"/>
    <n v="43966"/>
    <n v="18000000"/>
    <s v="&lt;30 Days Hiring Cycle"/>
    <n v="560000"/>
    <s v="Medium"/>
    <s v="Hiring &amp; Retention"/>
    <n v="0.91666666666666663"/>
    <n v="0.29166666666666669"/>
    <n v="8"/>
    <s v="Working Day"/>
    <x v="0"/>
  </r>
  <r>
    <s v="ATD00685"/>
    <d v="2025-02-24T00:00:00"/>
    <x v="5"/>
    <s v="Q1"/>
    <s v="Monday"/>
    <s v="EMP014"/>
    <s v="Employee 14"/>
    <x v="0"/>
    <s v="Support Executive"/>
    <s v="Hyderabad"/>
    <s v="Morning Shift"/>
    <d v="1899-12-30T09:00:00"/>
    <d v="1899-12-30T18:00:00"/>
    <n v="8"/>
    <n v="0"/>
    <x v="0"/>
    <m/>
    <m/>
    <s v="L2"/>
    <s v="V. Vinoth"/>
    <x v="3"/>
    <m/>
    <n v="36"/>
    <x v="0"/>
    <n v="43174"/>
    <n v="24000000"/>
    <s v="90% Customer Satisfaction"/>
    <n v="520000"/>
    <s v="High"/>
    <s v="Customer Satisfaction"/>
    <n v="0.25"/>
    <n v="0.625"/>
    <n v="8"/>
    <s v="Working Day"/>
    <x v="0"/>
  </r>
  <r>
    <s v="ATD00686"/>
    <d v="2025-03-12T00:00:00"/>
    <x v="4"/>
    <s v="Q1"/>
    <s v="Wednesday"/>
    <s v="EMP007"/>
    <s v="Employee 7"/>
    <x v="0"/>
    <s v="Support Executive"/>
    <s v="Chennai"/>
    <s v="General Shift"/>
    <m/>
    <m/>
    <m/>
    <m/>
    <x v="1"/>
    <s v="Sick Leave"/>
    <m/>
    <s v="L4"/>
    <s v="V. Vinoth"/>
    <x v="2"/>
    <s v="Work From Home"/>
    <n v="29"/>
    <x v="1"/>
    <n v="43327"/>
    <n v="24000000"/>
    <s v="90% Customer Satisfaction"/>
    <n v="520000"/>
    <s v="High"/>
    <s v="Customer Satisfaction"/>
    <n v="0.375"/>
    <n v="0.75"/>
    <n v="8"/>
    <s v="Working Day"/>
    <x v="0"/>
  </r>
  <r>
    <s v="ATD00687"/>
    <d v="2025-01-17T00:00:00"/>
    <x v="2"/>
    <s v="Q1"/>
    <s v="Friday"/>
    <s v="EMP010"/>
    <s v="Employee 10"/>
    <x v="6"/>
    <s v="Sales Executive"/>
    <s v="Madurai"/>
    <s v="General Shift"/>
    <d v="1899-12-30T09:00:00"/>
    <d v="1899-12-30T18:00:00"/>
    <n v="8"/>
    <n v="0"/>
    <x v="0"/>
    <m/>
    <n v="3"/>
    <s v="L3"/>
    <s v="V. Vivek"/>
    <x v="0"/>
    <s v="Client Visit"/>
    <n v="32"/>
    <x v="0"/>
    <n v="44515"/>
    <n v="42000000"/>
    <s v="₹2.5 Cr Monthly Sales"/>
    <n v="680000"/>
    <s v="High"/>
    <s v="Revenue Achievement"/>
    <n v="0.375"/>
    <n v="0.75"/>
    <n v="8"/>
    <s v="Working Day"/>
    <x v="0"/>
  </r>
  <r>
    <s v="ATD00688"/>
    <d v="2025-06-16T00:00:00"/>
    <x v="0"/>
    <s v="Q2"/>
    <s v="Monday"/>
    <s v="EMP032"/>
    <s v="Employee 32"/>
    <x v="3"/>
    <s v="Accountant"/>
    <s v="Chennai"/>
    <s v="General Shift"/>
    <d v="1899-12-30T09:00:00"/>
    <d v="1899-12-30T18:00:00"/>
    <n v="8"/>
    <n v="0"/>
    <x v="0"/>
    <m/>
    <m/>
    <s v="L2"/>
    <s v="M. Mahesh"/>
    <x v="0"/>
    <s v="Work From Home"/>
    <n v="36"/>
    <x v="0"/>
    <n v="44819"/>
    <n v="26000000"/>
    <s v="100% Payroll Accuracy"/>
    <n v="640000"/>
    <s v="High"/>
    <s v="Financial Compliance"/>
    <n v="0.375"/>
    <n v="0.75"/>
    <n v="8"/>
    <s v="Working Day"/>
    <x v="0"/>
  </r>
  <r>
    <s v="ATD00689"/>
    <d v="2025-04-28T00:00:00"/>
    <x v="1"/>
    <s v="Q2"/>
    <s v="Monday"/>
    <s v="EMP027"/>
    <s v="Employee 27"/>
    <x v="5"/>
    <s v="Marketing Executive"/>
    <s v="Chennai"/>
    <s v="Night Shift"/>
    <d v="1899-12-30T22:00:00"/>
    <d v="1899-12-30T07:00:00"/>
    <n v="8.5"/>
    <n v="0.5"/>
    <x v="0"/>
    <m/>
    <n v="4"/>
    <s v="L1"/>
    <s v="S. Swetha"/>
    <x v="2"/>
    <s v="Late Login"/>
    <n v="31"/>
    <x v="1"/>
    <n v="45397"/>
    <n v="22000000"/>
    <s v="2500 Qualified Leads"/>
    <n v="590000"/>
    <s v="Medium"/>
    <s v="Lead Generation"/>
    <n v="0.91666666666666663"/>
    <n v="0.29166666666666669"/>
    <n v="8"/>
    <s v="Working Day"/>
    <x v="0"/>
  </r>
  <r>
    <s v="ATD00690"/>
    <d v="2025-03-09T00:00:00"/>
    <x v="4"/>
    <s v="Q1"/>
    <s v="Sunday"/>
    <s v="EMP029"/>
    <s v="Employee 29"/>
    <x v="2"/>
    <s v="Software Engineer"/>
    <s v="Hyderabad"/>
    <s v="Night Shift"/>
    <d v="1899-12-30T22:00:00"/>
    <m/>
    <n v="9.5"/>
    <n v="1.5"/>
    <x v="0"/>
    <m/>
    <n v="5"/>
    <s v="L3"/>
    <s v="R. Karthikeyan"/>
    <x v="1"/>
    <m/>
    <n v="33"/>
    <x v="1"/>
    <n v="43631"/>
    <n v="85000000"/>
    <s v="99.5% System Uptime"/>
    <n v="720000"/>
    <s v="High"/>
    <s v="Project Delivery"/>
    <n v="0.91666666666666663"/>
    <n v="0.29166666666666669"/>
    <n v="8"/>
    <s v="Working Day"/>
    <x v="0"/>
  </r>
  <r>
    <s v="ATD00691"/>
    <d v="2025-06-15T00:00:00"/>
    <x v="0"/>
    <s v="Q2"/>
    <s v="Sunday"/>
    <s v="EMP017"/>
    <s v="Employee 17"/>
    <x v="6"/>
    <s v="Sales Executive"/>
    <s v="Chennai"/>
    <s v="Afternoon Shift"/>
    <m/>
    <m/>
    <m/>
    <m/>
    <x v="2"/>
    <m/>
    <m/>
    <s v="L1"/>
    <s v="V. Vivek"/>
    <x v="2"/>
    <s v="Client Visit"/>
    <n v="39"/>
    <x v="1"/>
    <n v="44362"/>
    <n v="42000000"/>
    <s v="₹2.5 Cr Monthly Sales"/>
    <n v="680000"/>
    <s v="High"/>
    <s v="Revenue Achievement"/>
    <n v="0.58333333333333337"/>
    <n v="0.95833333333333337"/>
    <n v="8"/>
    <s v="Working Day"/>
    <x v="0"/>
  </r>
  <r>
    <s v="ATD00692"/>
    <d v="2025-04-10T00:00:00"/>
    <x v="1"/>
    <s v="Q2"/>
    <s v="Thursday"/>
    <s v="EMP032"/>
    <s v="Employee 32"/>
    <x v="3"/>
    <s v="Accountant"/>
    <s v="Chennai"/>
    <s v="General Shift"/>
    <m/>
    <m/>
    <m/>
    <m/>
    <x v="2"/>
    <m/>
    <m/>
    <s v="L4"/>
    <s v="M. Mahesh"/>
    <x v="2"/>
    <s v="Work From Home"/>
    <n v="36"/>
    <x v="0"/>
    <n v="44819"/>
    <n v="26000000"/>
    <s v="100% Payroll Accuracy"/>
    <n v="640000"/>
    <s v="High"/>
    <s v="Financial Compliance"/>
    <n v="0.375"/>
    <n v="0.75"/>
    <n v="8"/>
    <s v="Working Day"/>
    <x v="0"/>
  </r>
  <r>
    <s v="ATD00693"/>
    <d v="2025-06-30T00:00:00"/>
    <x v="0"/>
    <s v="Q2"/>
    <s v="Monday"/>
    <s v="EMP010"/>
    <s v="Employee 10"/>
    <x v="6"/>
    <s v="Sales Executive"/>
    <s v="Madurai"/>
    <s v="General Shift"/>
    <d v="1899-12-30T09:35:00"/>
    <d v="1899-12-30T18:00:00"/>
    <n v="8"/>
    <n v="0"/>
    <x v="0"/>
    <m/>
    <m/>
    <s v="L2"/>
    <s v="V. Vivek"/>
    <x v="0"/>
    <s v="Client Visit"/>
    <n v="32"/>
    <x v="0"/>
    <n v="44515"/>
    <n v="42000000"/>
    <s v="₹2.5 Cr Monthly Sales"/>
    <n v="680000"/>
    <s v="High"/>
    <s v="Revenue Achievement"/>
    <n v="0.375"/>
    <n v="0.75"/>
    <n v="8"/>
    <s v="Working Day"/>
    <x v="0"/>
  </r>
  <r>
    <s v="ATD00694"/>
    <d v="2025-02-11T00:00:00"/>
    <x v="5"/>
    <s v="Q1"/>
    <s v="Tuesday"/>
    <s v="EMP036"/>
    <s v="Employee 36"/>
    <x v="2"/>
    <s v="Software Engineer"/>
    <s v="Coimbatore"/>
    <s v="Afternoon Shift"/>
    <d v="1899-12-30T09:00:00"/>
    <d v="1899-12-30T18:00:00"/>
    <n v="9.5"/>
    <n v="1.5"/>
    <x v="0"/>
    <m/>
    <n v="3"/>
    <s v="L2"/>
    <s v="R. Karthikeyan"/>
    <x v="0"/>
    <m/>
    <n v="22"/>
    <x v="1"/>
    <n v="43480"/>
    <n v="85000000"/>
    <s v="99.5% System Uptime"/>
    <n v="720000"/>
    <s v="High"/>
    <s v="Project Delivery"/>
    <n v="0.58333333333333337"/>
    <n v="0.95833333333333337"/>
    <n v="8"/>
    <s v="Working Day"/>
    <x v="0"/>
  </r>
  <r>
    <s v="ATD00695"/>
    <d v="2025-02-17T00:00:00"/>
    <x v="5"/>
    <s v="Q1"/>
    <s v="Monday"/>
    <s v="EMP024"/>
    <s v="Employee 24"/>
    <x v="6"/>
    <s v="Sales Executive"/>
    <s v="Hyderabad"/>
    <s v="Afternoon Shift"/>
    <d v="1899-12-30T09:00:00"/>
    <d v="1899-12-30T18:00:00"/>
    <n v="8"/>
    <n v="0"/>
    <x v="0"/>
    <m/>
    <m/>
    <s v="L1"/>
    <s v="V. Vivek"/>
    <x v="2"/>
    <s v="Work From Home"/>
    <n v="28"/>
    <x v="1"/>
    <n v="44211"/>
    <n v="42000000"/>
    <s v="₹2.5 Cr Monthly Sales"/>
    <n v="680000"/>
    <s v="High"/>
    <s v="Revenue Achievement"/>
    <n v="0.58333333333333337"/>
    <n v="0.95833333333333337"/>
    <n v="8"/>
    <s v="Working Day"/>
    <x v="0"/>
  </r>
  <r>
    <s v="ATD00696"/>
    <d v="2025-02-09T00:00:00"/>
    <x v="5"/>
    <s v="Q1"/>
    <s v="Sunday"/>
    <s v="EMP014"/>
    <s v="Employee 14"/>
    <x v="0"/>
    <s v="Support Executive"/>
    <s v="Hyderabad"/>
    <s v="General Shift"/>
    <d v="1899-12-30T09:00:00"/>
    <d v="1899-12-30T18:00:00"/>
    <n v="8"/>
    <n v="0"/>
    <x v="0"/>
    <m/>
    <n v="4"/>
    <s v="L2"/>
    <s v="V. Vinoth"/>
    <x v="1"/>
    <s v="Work From Home"/>
    <n v="36"/>
    <x v="0"/>
    <n v="43174"/>
    <n v="24000000"/>
    <s v="90% Customer Satisfaction"/>
    <n v="520000"/>
    <s v="High"/>
    <s v="Customer Satisfaction"/>
    <n v="0.375"/>
    <n v="0.75"/>
    <n v="8"/>
    <s v="Working Day"/>
    <x v="0"/>
  </r>
  <r>
    <s v="ATD00697"/>
    <d v="2025-03-02T00:00:00"/>
    <x v="4"/>
    <s v="Q1"/>
    <s v="Sunday"/>
    <s v="EMP039"/>
    <s v="Employee 39"/>
    <x v="3"/>
    <s v="Accountant"/>
    <s v="Hyderabad"/>
    <s v="Flexible Shift"/>
    <d v="1899-12-30T09:00:00"/>
    <d v="1899-12-30T18:00:00"/>
    <n v="8"/>
    <n v="0"/>
    <x v="0"/>
    <m/>
    <n v="4"/>
    <s v="L4"/>
    <s v="M. Mahesh"/>
    <x v="0"/>
    <m/>
    <n v="25"/>
    <x v="0"/>
    <n v="44666"/>
    <n v="26000000"/>
    <s v="100% Payroll Accuracy"/>
    <n v="640000"/>
    <s v="High"/>
    <s v="Financial Compliance"/>
    <n v="0.41666666666666669"/>
    <n v="0.79166666666666663"/>
    <n v="8"/>
    <s v="Working Day"/>
    <x v="0"/>
  </r>
  <r>
    <s v="ATD00698"/>
    <d v="2025-01-03T00:00:00"/>
    <x v="2"/>
    <s v="Q1"/>
    <s v="Friday"/>
    <s v="EMP001"/>
    <s v="Employee 1"/>
    <x v="2"/>
    <s v="Software Engineer"/>
    <s v="Coimbatore"/>
    <s v="Morning Shift"/>
    <m/>
    <m/>
    <m/>
    <m/>
    <x v="2"/>
    <m/>
    <m/>
    <s v="L3"/>
    <s v="R. Karthikeyan"/>
    <x v="2"/>
    <s v="Work From Home"/>
    <n v="23"/>
    <x v="1"/>
    <n v="43511"/>
    <n v="85000000"/>
    <s v="99.5% System Uptime"/>
    <n v="720000"/>
    <s v="High"/>
    <s v="Project Delivery"/>
    <n v="0.25"/>
    <n v="0.625"/>
    <n v="8"/>
    <s v="Working Day"/>
    <x v="0"/>
  </r>
  <r>
    <s v="ATD00699"/>
    <d v="2025-03-04T00:00:00"/>
    <x v="4"/>
    <s v="Q1"/>
    <s v="Tuesday"/>
    <s v="EMP031"/>
    <s v="Employee 31"/>
    <x v="6"/>
    <s v="Sales Executive"/>
    <s v="Coimbatore"/>
    <s v="Night Shift"/>
    <d v="1899-12-30T09:20:00"/>
    <d v="1899-12-30T07:00:00"/>
    <n v="10"/>
    <n v="2"/>
    <x v="0"/>
    <m/>
    <m/>
    <s v="L1"/>
    <s v="V. Vivek"/>
    <x v="2"/>
    <s v="Late Login"/>
    <n v="35"/>
    <x v="1"/>
    <n v="44423"/>
    <n v="42000000"/>
    <s v="₹2.5 Cr Monthly Sales"/>
    <n v="680000"/>
    <s v="High"/>
    <s v="Revenue Achievement"/>
    <n v="0.91666666666666663"/>
    <n v="0.29166666666666669"/>
    <n v="8"/>
    <s v="Working Day"/>
    <x v="0"/>
  </r>
  <r>
    <s v="ATD00700"/>
    <d v="2025-04-18T00:00:00"/>
    <x v="1"/>
    <s v="Q2"/>
    <s v="Friday"/>
    <s v="EMP006"/>
    <s v="Employee 6"/>
    <x v="5"/>
    <s v="Marketing Executive"/>
    <s v="Coimbatore"/>
    <s v="General Shift"/>
    <d v="1899-12-30T09:00:00"/>
    <d v="1899-12-30T18:00:00"/>
    <n v="8"/>
    <n v="0"/>
    <x v="0"/>
    <m/>
    <n v="5"/>
    <s v="L1"/>
    <s v="S. Swetha"/>
    <x v="0"/>
    <s v="Client Visit"/>
    <n v="28"/>
    <x v="0"/>
    <n v="45488"/>
    <n v="22000000"/>
    <s v="2500 Qualified Leads"/>
    <n v="590000"/>
    <s v="Medium"/>
    <s v="Lead Generation"/>
    <n v="0.375"/>
    <n v="0.75"/>
    <n v="8"/>
    <s v="Good Friday"/>
    <x v="3"/>
  </r>
  <r>
    <s v="ATD00701"/>
    <d v="2025-05-04T00:00:00"/>
    <x v="3"/>
    <s v="Q2"/>
    <s v="Sunday"/>
    <s v="EMP007"/>
    <s v="Employee 7"/>
    <x v="0"/>
    <s v="Support Executive"/>
    <s v="Chennai"/>
    <s v="Flexible Shift"/>
    <m/>
    <d v="1899-12-30T18:00:00"/>
    <n v="8"/>
    <n v="0"/>
    <x v="0"/>
    <m/>
    <n v="4"/>
    <s v="L1"/>
    <s v="V. Vinoth"/>
    <x v="2"/>
    <s v="Work From Home"/>
    <n v="29"/>
    <x v="1"/>
    <n v="43327"/>
    <n v="24000000"/>
    <s v="90% Customer Satisfaction"/>
    <n v="520000"/>
    <s v="High"/>
    <s v="Customer Satisfaction"/>
    <n v="0.41666666666666669"/>
    <n v="0.79166666666666663"/>
    <n v="8"/>
    <s v="Working Day"/>
    <x v="0"/>
  </r>
  <r>
    <s v="ATD00702"/>
    <d v="2025-06-06T00:00:00"/>
    <x v="0"/>
    <s v="Q2"/>
    <s v="Friday"/>
    <s v="EMP035"/>
    <s v="Employee 35"/>
    <x v="0"/>
    <s v="Support Executive"/>
    <s v="Madurai"/>
    <s v="General Shift"/>
    <d v="1899-12-30T09:00:00"/>
    <d v="1899-12-30T18:00:00"/>
    <n v="8"/>
    <n v="0"/>
    <x v="0"/>
    <m/>
    <n v="4"/>
    <s v="L3"/>
    <s v="V. Vinoth"/>
    <x v="0"/>
    <s v="Late Login"/>
    <n v="39"/>
    <x v="1"/>
    <n v="43449"/>
    <n v="24000000"/>
    <s v="90% Customer Satisfaction"/>
    <n v="520000"/>
    <s v="High"/>
    <s v="Customer Satisfaction"/>
    <n v="0.375"/>
    <n v="0.75"/>
    <n v="8"/>
    <s v="Working Day"/>
    <x v="0"/>
  </r>
  <r>
    <s v="ATD00703"/>
    <d v="2025-06-23T00:00:00"/>
    <x v="0"/>
    <s v="Q2"/>
    <s v="Monday"/>
    <s v="EMP050"/>
    <s v="Employee 50"/>
    <x v="2"/>
    <s v="Software Engineer"/>
    <s v="Madurai"/>
    <s v="Morning Shift"/>
    <m/>
    <m/>
    <m/>
    <m/>
    <x v="2"/>
    <m/>
    <m/>
    <s v="L3"/>
    <s v="R. Karthikeyan"/>
    <x v="1"/>
    <s v="Client Visit"/>
    <n v="36"/>
    <x v="0"/>
    <n v="43539"/>
    <n v="85000000"/>
    <s v="99.5% System Uptime"/>
    <n v="720000"/>
    <s v="High"/>
    <s v="Project Delivery"/>
    <n v="0.25"/>
    <n v="0.625"/>
    <n v="8"/>
    <s v="Working Day"/>
    <x v="0"/>
  </r>
  <r>
    <s v="ATD00704"/>
    <d v="2025-06-19T00:00:00"/>
    <x v="0"/>
    <s v="Q2"/>
    <s v="Thursday"/>
    <s v="EMP022"/>
    <s v="Employee 22"/>
    <x v="2"/>
    <s v="Software Engineer"/>
    <s v="Chennai"/>
    <s v="General Shift"/>
    <d v="1899-12-30T09:00:00"/>
    <d v="1899-12-30T18:00:00"/>
    <n v="8"/>
    <n v="0"/>
    <x v="0"/>
    <m/>
    <n v="4"/>
    <s v="L2"/>
    <s v="R. Karthikeyan"/>
    <x v="3"/>
    <s v="Late Login"/>
    <n v="26"/>
    <x v="0"/>
    <n v="43784"/>
    <n v="85000000"/>
    <s v="99.5% System Uptime"/>
    <n v="720000"/>
    <s v="High"/>
    <s v="Project Delivery"/>
    <n v="0.375"/>
    <n v="0.75"/>
    <n v="8"/>
    <s v="Working Day"/>
    <x v="0"/>
  </r>
  <r>
    <s v="ATD00705"/>
    <d v="2025-03-12T00:00:00"/>
    <x v="4"/>
    <s v="Q1"/>
    <s v="Wednesday"/>
    <s v="EMP034"/>
    <s v="Employee 34"/>
    <x v="5"/>
    <s v="Marketing Executive"/>
    <s v="Hyderabad"/>
    <s v="Morning Shift"/>
    <d v="1899-12-30T09:00:00"/>
    <d v="1899-12-30T18:00:00"/>
    <n v="8"/>
    <n v="0"/>
    <x v="0"/>
    <m/>
    <n v="4"/>
    <s v="L4"/>
    <s v="S. Swetha"/>
    <x v="1"/>
    <s v="Work From Home"/>
    <n v="38"/>
    <x v="0"/>
    <n v="45611"/>
    <n v="22000000"/>
    <s v="2500 Qualified Leads"/>
    <n v="590000"/>
    <s v="Medium"/>
    <s v="Lead Generation"/>
    <n v="0.25"/>
    <n v="0.625"/>
    <n v="8"/>
    <s v="Working Day"/>
    <x v="0"/>
  </r>
  <r>
    <s v="ATD00706"/>
    <d v="2025-06-24T00:00:00"/>
    <x v="0"/>
    <s v="Q2"/>
    <s v="Tuesday"/>
    <s v="EMP015"/>
    <s v="Employee 15"/>
    <x v="2"/>
    <s v="Software Engineer"/>
    <s v="Madurai"/>
    <s v="Flexible Shift"/>
    <d v="1899-12-30T09:00:00"/>
    <d v="1899-12-30T18:00:00"/>
    <n v="8"/>
    <n v="0"/>
    <x v="0"/>
    <m/>
    <n v="4"/>
    <s v="L3"/>
    <s v="R. Karthikeyan"/>
    <x v="0"/>
    <m/>
    <n v="37"/>
    <x v="1"/>
    <n v="43570"/>
    <n v="85000000"/>
    <s v="99.5% System Uptime"/>
    <n v="720000"/>
    <s v="High"/>
    <s v="Project Delivery"/>
    <n v="0.41666666666666669"/>
    <n v="0.79166666666666663"/>
    <n v="8"/>
    <s v="Working Day"/>
    <x v="0"/>
  </r>
  <r>
    <s v="ATD00707"/>
    <d v="2025-02-15T00:00:00"/>
    <x v="5"/>
    <s v="Q1"/>
    <s v="Saturday"/>
    <s v="EMP020"/>
    <s v="Employee 20"/>
    <x v="5"/>
    <s v="Marketing Executive"/>
    <s v="Madurai"/>
    <s v="Flexible Shift"/>
    <d v="1899-12-30T09:00:00"/>
    <d v="1899-12-30T18:00:00"/>
    <n v="8"/>
    <n v="0"/>
    <x v="0"/>
    <m/>
    <n v="5"/>
    <s v="L1"/>
    <s v="S. Swetha"/>
    <x v="1"/>
    <s v="Client Visit"/>
    <n v="24"/>
    <x v="1"/>
    <n v="45550"/>
    <n v="22000000"/>
    <s v="2500 Qualified Leads"/>
    <n v="590000"/>
    <s v="Medium"/>
    <s v="Lead Generation"/>
    <n v="0.41666666666666669"/>
    <n v="0.79166666666666663"/>
    <n v="8"/>
    <s v="Working Day"/>
    <x v="0"/>
  </r>
  <r>
    <s v="ATD00708"/>
    <d v="2025-04-18T00:00:00"/>
    <x v="1"/>
    <s v="Q2"/>
    <s v="Friday"/>
    <s v="EMP005"/>
    <s v="Employee 5"/>
    <x v="1"/>
    <s v="Operations Executive"/>
    <s v="Madurai"/>
    <s v="Afternoon Shift"/>
    <m/>
    <m/>
    <m/>
    <m/>
    <x v="1"/>
    <s v="Sick Leave"/>
    <m/>
    <s v="L3"/>
    <s v="D. Dinesh"/>
    <x v="3"/>
    <s v="Work From Home"/>
    <n v="27"/>
    <x v="1"/>
    <n v="45092"/>
    <n v="34000000"/>
    <s v="95% Process Efficiency"/>
    <n v="610000"/>
    <s v="High"/>
    <s v="Operational Efficiency"/>
    <n v="0.58333333333333337"/>
    <n v="0.95833333333333337"/>
    <n v="8"/>
    <s v="Good Friday"/>
    <x v="3"/>
  </r>
  <r>
    <s v="ATD00709"/>
    <d v="2025-03-31T00:00:00"/>
    <x v="4"/>
    <s v="Q1"/>
    <s v="Monday"/>
    <s v="EMP021"/>
    <s v="Employee 21"/>
    <x v="0"/>
    <s v="Support Executive"/>
    <s v="Coimbatore"/>
    <s v="General Shift"/>
    <d v="1899-12-30T09:00:00"/>
    <d v="1899-12-30T18:00:00"/>
    <n v="8"/>
    <n v="0"/>
    <x v="0"/>
    <m/>
    <n v="4"/>
    <s v="L4"/>
    <s v="V. Vinoth"/>
    <x v="2"/>
    <m/>
    <n v="25"/>
    <x v="1"/>
    <n v="43388"/>
    <n v="24000000"/>
    <s v="90% Customer Satisfaction"/>
    <n v="520000"/>
    <s v="High"/>
    <s v="Customer Satisfaction"/>
    <n v="0.375"/>
    <n v="0.75"/>
    <n v="8"/>
    <s v="Working Day"/>
    <x v="0"/>
  </r>
  <r>
    <s v="ATD00710"/>
    <d v="2025-05-10T00:00:00"/>
    <x v="3"/>
    <s v="Q2"/>
    <s v="Saturday"/>
    <s v="EMP049"/>
    <s v="Employee 49"/>
    <x v="0"/>
    <s v="Support Executive"/>
    <s v="Hyderabad"/>
    <s v="Morning Shift"/>
    <d v="1899-12-30T09:00:00"/>
    <d v="1899-12-30T18:00:00"/>
    <n v="8"/>
    <n v="0"/>
    <x v="0"/>
    <m/>
    <n v="4"/>
    <s v="L4"/>
    <s v="V. Vinoth"/>
    <x v="2"/>
    <m/>
    <n v="35"/>
    <x v="1"/>
    <n v="43146"/>
    <n v="24000000"/>
    <s v="90% Customer Satisfaction"/>
    <n v="520000"/>
    <s v="High"/>
    <s v="Customer Satisfaction"/>
    <n v="0.25"/>
    <n v="0.625"/>
    <n v="8"/>
    <s v="Working Day"/>
    <x v="0"/>
  </r>
  <r>
    <s v="ATD00711"/>
    <d v="2025-05-19T00:00:00"/>
    <x v="3"/>
    <s v="Q2"/>
    <s v="Monday"/>
    <s v="EMP001"/>
    <s v="Employee 1"/>
    <x v="2"/>
    <s v="Software Engineer"/>
    <s v="Coimbatore"/>
    <s v="Night Shift"/>
    <m/>
    <m/>
    <m/>
    <m/>
    <x v="2"/>
    <m/>
    <m/>
    <s v="L1"/>
    <s v="R. Karthikeyan"/>
    <x v="1"/>
    <m/>
    <n v="23"/>
    <x v="1"/>
    <n v="43511"/>
    <n v="85000000"/>
    <s v="99.5% System Uptime"/>
    <n v="720000"/>
    <s v="High"/>
    <s v="Project Delivery"/>
    <n v="0.91666666666666663"/>
    <n v="0.29166666666666669"/>
    <n v="8"/>
    <s v="Working Day"/>
    <x v="0"/>
  </r>
  <r>
    <s v="ATD00712"/>
    <d v="2025-04-09T00:00:00"/>
    <x v="1"/>
    <s v="Q2"/>
    <s v="Wednesday"/>
    <s v="EMP031"/>
    <s v="Employee 31"/>
    <x v="6"/>
    <s v="Sales Executive"/>
    <s v="Coimbatore"/>
    <s v="Morning Shift"/>
    <m/>
    <m/>
    <m/>
    <m/>
    <x v="2"/>
    <m/>
    <m/>
    <s v="L4"/>
    <s v="V. Vivek"/>
    <x v="2"/>
    <s v="Client Visit"/>
    <n v="35"/>
    <x v="1"/>
    <n v="44423"/>
    <n v="42000000"/>
    <s v="₹2.5 Cr Monthly Sales"/>
    <n v="680000"/>
    <s v="High"/>
    <s v="Revenue Achievement"/>
    <n v="0.25"/>
    <n v="0.625"/>
    <n v="8"/>
    <s v="Working Day"/>
    <x v="0"/>
  </r>
  <r>
    <s v="ATD00713"/>
    <d v="2025-03-17T00:00:00"/>
    <x v="4"/>
    <s v="Q1"/>
    <s v="Monday"/>
    <s v="EMP016"/>
    <s v="Employee 16"/>
    <x v="4"/>
    <s v="HR Executive"/>
    <s v="Coimbatore"/>
    <s v="Morning Shift"/>
    <m/>
    <d v="1899-12-30T18:00:00"/>
    <n v="8"/>
    <n v="0"/>
    <x v="0"/>
    <m/>
    <n v="5"/>
    <s v="L3"/>
    <s v="P. Priya"/>
    <x v="0"/>
    <m/>
    <n v="38"/>
    <x v="0"/>
    <n v="43966"/>
    <n v="18000000"/>
    <s v="&lt;30 Days Hiring Cycle"/>
    <n v="560000"/>
    <s v="Medium"/>
    <s v="Hiring &amp; Retention"/>
    <n v="0.25"/>
    <n v="0.625"/>
    <n v="8"/>
    <s v="Working Day"/>
    <x v="0"/>
  </r>
  <r>
    <s v="ATD00714"/>
    <d v="2025-04-19T00:00:00"/>
    <x v="1"/>
    <s v="Q2"/>
    <s v="Saturday"/>
    <s v="EMP045"/>
    <s v="Employee 45"/>
    <x v="6"/>
    <s v="Sales Executive"/>
    <s v="Madurai"/>
    <s v="Morning Shift"/>
    <d v="1899-12-30T09:35:00"/>
    <d v="1899-12-30T18:00:00"/>
    <n v="8"/>
    <n v="0"/>
    <x v="0"/>
    <m/>
    <n v="4"/>
    <s v="L1"/>
    <s v="V. Vivek"/>
    <x v="1"/>
    <s v="Late Login"/>
    <n v="31"/>
    <x v="1"/>
    <n v="44484"/>
    <n v="42000000"/>
    <s v="₹2.5 Cr Monthly Sales"/>
    <n v="680000"/>
    <s v="High"/>
    <s v="Revenue Achievement"/>
    <n v="0.25"/>
    <n v="0.625"/>
    <n v="8"/>
    <s v="Working Day"/>
    <x v="0"/>
  </r>
  <r>
    <s v="ATD00715"/>
    <d v="2025-01-15T00:00:00"/>
    <x v="2"/>
    <s v="Q1"/>
    <s v="Wednesday"/>
    <s v="EMP043"/>
    <s v="Employee 43"/>
    <x v="2"/>
    <s v="Software Engineer"/>
    <s v="Bengaluru"/>
    <s v="General Shift"/>
    <d v="1899-12-30T09:00:00"/>
    <d v="1899-12-30T18:00:00"/>
    <n v="9.5"/>
    <n v="1.5"/>
    <x v="0"/>
    <m/>
    <n v="4"/>
    <s v="L3"/>
    <s v="R. Karthikeyan"/>
    <x v="1"/>
    <s v="Late Login"/>
    <n v="29"/>
    <x v="1"/>
    <n v="43692"/>
    <n v="85000000"/>
    <s v="99.5% System Uptime"/>
    <n v="720000"/>
    <s v="High"/>
    <s v="Project Delivery"/>
    <n v="0.375"/>
    <n v="0.75"/>
    <n v="8"/>
    <s v="Working Day"/>
    <x v="0"/>
  </r>
  <r>
    <s v="ATD00716"/>
    <d v="2025-03-29T00:00:00"/>
    <x v="4"/>
    <s v="Q1"/>
    <s v="Saturday"/>
    <s v="EMP028"/>
    <s v="Employee 28"/>
    <x v="0"/>
    <s v="Support Executive"/>
    <s v="Bengaluru"/>
    <s v="Afternoon Shift"/>
    <d v="1899-12-30T09:00:00"/>
    <d v="1899-12-30T18:00:00"/>
    <n v="8"/>
    <n v="0"/>
    <x v="0"/>
    <m/>
    <m/>
    <s v="L3"/>
    <s v="V. Vinoth"/>
    <x v="0"/>
    <m/>
    <n v="32"/>
    <x v="0"/>
    <n v="43235"/>
    <n v="24000000"/>
    <s v="90% Customer Satisfaction"/>
    <n v="520000"/>
    <s v="High"/>
    <s v="Customer Satisfaction"/>
    <n v="0.58333333333333337"/>
    <n v="0.95833333333333337"/>
    <n v="8"/>
    <s v="Working Day"/>
    <x v="0"/>
  </r>
  <r>
    <s v="ATD00717"/>
    <d v="2025-05-12T00:00:00"/>
    <x v="3"/>
    <s v="Q2"/>
    <s v="Monday"/>
    <s v="EMP024"/>
    <s v="Employee 24"/>
    <x v="6"/>
    <s v="Sales Executive"/>
    <s v="Hyderabad"/>
    <s v="Afternoon Shift"/>
    <d v="1899-12-30T09:35:00"/>
    <d v="1899-12-30T18:00:00"/>
    <n v="8"/>
    <n v="0"/>
    <x v="0"/>
    <m/>
    <n v="4"/>
    <s v="L4"/>
    <s v="V. Vivek"/>
    <x v="1"/>
    <m/>
    <n v="28"/>
    <x v="1"/>
    <n v="44211"/>
    <n v="42000000"/>
    <s v="₹2.5 Cr Monthly Sales"/>
    <n v="680000"/>
    <s v="High"/>
    <s v="Revenue Achievement"/>
    <n v="0.58333333333333337"/>
    <n v="0.95833333333333337"/>
    <n v="8"/>
    <s v="Working Day"/>
    <x v="0"/>
  </r>
  <r>
    <s v="ATD00718"/>
    <d v="2025-02-18T00:00:00"/>
    <x v="5"/>
    <s v="Q1"/>
    <s v="Tuesday"/>
    <s v="EMP045"/>
    <s v="Employee 45"/>
    <x v="6"/>
    <s v="Sales Executive"/>
    <s v="Madurai"/>
    <s v="General Shift"/>
    <d v="1899-12-30T09:20:00"/>
    <d v="1899-12-30T18:00:00"/>
    <n v="8"/>
    <n v="0"/>
    <x v="0"/>
    <m/>
    <n v="3"/>
    <s v="L3"/>
    <s v="V. Vivek"/>
    <x v="1"/>
    <s v="Client Visit"/>
    <n v="31"/>
    <x v="1"/>
    <n v="44484"/>
    <n v="42000000"/>
    <s v="₹2.5 Cr Monthly Sales"/>
    <n v="680000"/>
    <s v="High"/>
    <s v="Revenue Achievement"/>
    <n v="0.375"/>
    <n v="0.75"/>
    <n v="8"/>
    <s v="Working Day"/>
    <x v="0"/>
  </r>
  <r>
    <s v="ATD00719"/>
    <d v="2025-03-07T00:00:00"/>
    <x v="4"/>
    <s v="Q1"/>
    <s v="Friday"/>
    <s v="EMP014"/>
    <s v="Employee 14"/>
    <x v="0"/>
    <s v="Support Executive"/>
    <s v="Hyderabad"/>
    <s v="Afternoon Shift"/>
    <d v="1899-12-30T09:00:00"/>
    <d v="1899-12-30T18:00:00"/>
    <n v="8"/>
    <n v="0"/>
    <x v="0"/>
    <m/>
    <n v="3"/>
    <s v="L1"/>
    <s v="V. Vinoth"/>
    <x v="3"/>
    <s v="Client Visit"/>
    <n v="36"/>
    <x v="0"/>
    <n v="43174"/>
    <n v="24000000"/>
    <s v="90% Customer Satisfaction"/>
    <n v="520000"/>
    <s v="High"/>
    <s v="Customer Satisfaction"/>
    <n v="0.58333333333333337"/>
    <n v="0.95833333333333337"/>
    <n v="8"/>
    <s v="Working Day"/>
    <x v="0"/>
  </r>
  <r>
    <s v="ATD00720"/>
    <d v="2025-03-25T00:00:00"/>
    <x v="4"/>
    <s v="Q1"/>
    <s v="Tuesday"/>
    <s v="EMP027"/>
    <s v="Employee 27"/>
    <x v="5"/>
    <s v="Marketing Executive"/>
    <s v="Chennai"/>
    <s v="Night Shift"/>
    <d v="1899-12-30T22:00:00"/>
    <d v="1899-12-30T07:00:00"/>
    <n v="10"/>
    <n v="2"/>
    <x v="0"/>
    <m/>
    <n v="3"/>
    <s v="L4"/>
    <s v="S. Swetha"/>
    <x v="1"/>
    <s v="Client Visit"/>
    <n v="31"/>
    <x v="1"/>
    <n v="45397"/>
    <n v="22000000"/>
    <s v="2500 Qualified Leads"/>
    <n v="590000"/>
    <s v="Medium"/>
    <s v="Lead Generation"/>
    <n v="0.91666666666666663"/>
    <n v="0.29166666666666669"/>
    <n v="8"/>
    <s v="Working Day"/>
    <x v="0"/>
  </r>
  <r>
    <s v="ATD00721"/>
    <d v="2025-06-09T00:00:00"/>
    <x v="0"/>
    <s v="Q2"/>
    <s v="Monday"/>
    <s v="EMP015"/>
    <s v="Employee 15"/>
    <x v="2"/>
    <s v="Software Engineer"/>
    <s v="Madurai"/>
    <s v="Night Shift"/>
    <d v="1899-12-30T22:00:00"/>
    <d v="1899-12-30T07:00:00"/>
    <n v="9.5"/>
    <n v="1.5"/>
    <x v="0"/>
    <m/>
    <n v="5"/>
    <s v="L4"/>
    <s v="R. Karthikeyan"/>
    <x v="2"/>
    <s v="Client Visit"/>
    <n v="37"/>
    <x v="1"/>
    <n v="43570"/>
    <n v="85000000"/>
    <s v="99.5% System Uptime"/>
    <n v="720000"/>
    <s v="High"/>
    <s v="Project Delivery"/>
    <n v="0.91666666666666663"/>
    <n v="0.29166666666666669"/>
    <n v="8"/>
    <s v="Working Day"/>
    <x v="0"/>
  </r>
  <r>
    <s v="ATD00722"/>
    <d v="2025-04-18T00:00:00"/>
    <x v="1"/>
    <s v="Q2"/>
    <s v="Friday"/>
    <s v="EMP012"/>
    <s v="Employee 12"/>
    <x v="1"/>
    <s v="Operations Executive"/>
    <s v="Chennai"/>
    <s v="Flexible Shift"/>
    <d v="1899-12-30T09:00:00"/>
    <d v="1899-12-30T18:00:00"/>
    <n v="8"/>
    <n v="0"/>
    <x v="0"/>
    <m/>
    <n v="4"/>
    <s v="L2"/>
    <s v="D. Dinesh"/>
    <x v="0"/>
    <s v="Client Visit"/>
    <n v="34"/>
    <x v="0"/>
    <n v="44941"/>
    <n v="34000000"/>
    <s v="95% Process Efficiency"/>
    <n v="610000"/>
    <s v="High"/>
    <s v="Operational Efficiency"/>
    <n v="0.41666666666666669"/>
    <n v="0.79166666666666663"/>
    <n v="8"/>
    <s v="Good Friday"/>
    <x v="3"/>
  </r>
  <r>
    <s v="ATD00723"/>
    <d v="2025-01-09T00:00:00"/>
    <x v="2"/>
    <s v="Q1"/>
    <s v="Thursday"/>
    <s v="EMP046"/>
    <s v="Employee 46"/>
    <x v="3"/>
    <s v="Accountant"/>
    <s v="Coimbatore"/>
    <s v="Flexible Shift"/>
    <d v="1899-12-30T09:00:00"/>
    <d v="1899-12-30T18:00:00"/>
    <n v="8"/>
    <n v="0"/>
    <x v="0"/>
    <m/>
    <n v="3"/>
    <s v="L4"/>
    <s v="M. Mahesh"/>
    <x v="3"/>
    <s v="Late Login"/>
    <n v="32"/>
    <x v="0"/>
    <n v="44880"/>
    <n v="26000000"/>
    <s v="100% Payroll Accuracy"/>
    <n v="640000"/>
    <s v="High"/>
    <s v="Financial Compliance"/>
    <n v="0.41666666666666669"/>
    <n v="0.79166666666666663"/>
    <n v="8"/>
    <s v="Working Day"/>
    <x v="0"/>
  </r>
  <r>
    <s v="ATD00724"/>
    <d v="2025-02-23T00:00:00"/>
    <x v="5"/>
    <s v="Q1"/>
    <s v="Sunday"/>
    <s v="EMP001"/>
    <s v="Employee 1"/>
    <x v="2"/>
    <s v="Software Engineer"/>
    <s v="Coimbatore"/>
    <s v="Night Shift"/>
    <d v="1899-12-30T22:00:00"/>
    <d v="1899-12-30T07:00:00"/>
    <n v="10"/>
    <n v="2"/>
    <x v="0"/>
    <m/>
    <n v="4"/>
    <s v="L1"/>
    <s v="R. Karthikeyan"/>
    <x v="2"/>
    <m/>
    <n v="23"/>
    <x v="1"/>
    <n v="43511"/>
    <n v="85000000"/>
    <s v="99.5% System Uptime"/>
    <n v="720000"/>
    <s v="High"/>
    <s v="Project Delivery"/>
    <n v="0.91666666666666663"/>
    <n v="0.29166666666666669"/>
    <n v="8"/>
    <s v="Working Day"/>
    <x v="0"/>
  </r>
  <r>
    <s v="ATD00725"/>
    <d v="2025-02-06T00:00:00"/>
    <x v="5"/>
    <s v="Q1"/>
    <s v="Thursday"/>
    <s v="EMP050"/>
    <s v="Employee 50"/>
    <x v="2"/>
    <s v="Software Engineer"/>
    <s v="Madurai"/>
    <s v="General Shift"/>
    <d v="1899-12-30T09:00:00"/>
    <d v="1899-12-30T18:00:00"/>
    <n v="8.5"/>
    <n v="0.5"/>
    <x v="0"/>
    <m/>
    <n v="4"/>
    <s v="L3"/>
    <s v="R. Karthikeyan"/>
    <x v="1"/>
    <m/>
    <n v="36"/>
    <x v="0"/>
    <n v="43539"/>
    <n v="85000000"/>
    <s v="99.5% System Uptime"/>
    <n v="720000"/>
    <s v="High"/>
    <s v="Project Delivery"/>
    <n v="0.375"/>
    <n v="0.75"/>
    <n v="8"/>
    <s v="Working Day"/>
    <x v="0"/>
  </r>
  <r>
    <s v="ATD00726"/>
    <d v="2025-02-21T00:00:00"/>
    <x v="5"/>
    <s v="Q1"/>
    <s v="Friday"/>
    <s v="EMP020"/>
    <s v="Employee 20"/>
    <x v="5"/>
    <s v="Marketing Executive"/>
    <s v="Madurai"/>
    <s v="Flexible Shift"/>
    <d v="1899-12-30T09:00:00"/>
    <d v="1899-12-30T18:00:00"/>
    <n v="8"/>
    <n v="0"/>
    <x v="0"/>
    <m/>
    <m/>
    <s v="L1"/>
    <s v="S. Swetha"/>
    <x v="0"/>
    <m/>
    <n v="24"/>
    <x v="1"/>
    <n v="45550"/>
    <n v="22000000"/>
    <s v="2500 Qualified Leads"/>
    <n v="590000"/>
    <s v="Medium"/>
    <s v="Lead Generation"/>
    <n v="0.41666666666666669"/>
    <n v="0.79166666666666663"/>
    <n v="8"/>
    <s v="Working Day"/>
    <x v="0"/>
  </r>
  <r>
    <s v="ATD00727"/>
    <d v="2025-01-22T00:00:00"/>
    <x v="2"/>
    <s v="Q1"/>
    <s v="Wednesday"/>
    <s v="EMP004"/>
    <s v="Employee 4"/>
    <x v="3"/>
    <s v="Accountant"/>
    <s v="Hyderabad"/>
    <s v="Afternoon Shift"/>
    <d v="1899-12-30T09:00:00"/>
    <m/>
    <n v="8"/>
    <n v="0"/>
    <x v="0"/>
    <m/>
    <n v="4"/>
    <s v="L4"/>
    <s v="M. Mahesh"/>
    <x v="0"/>
    <s v="Client Visit"/>
    <n v="26"/>
    <x v="0"/>
    <n v="44696"/>
    <n v="26000000"/>
    <s v="100% Payroll Accuracy"/>
    <n v="640000"/>
    <s v="High"/>
    <s v="Financial Compliance"/>
    <n v="0.58333333333333337"/>
    <n v="0.95833333333333337"/>
    <n v="8"/>
    <s v="Working Day"/>
    <x v="0"/>
  </r>
  <r>
    <s v="ATD00728"/>
    <d v="2025-05-30T00:00:00"/>
    <x v="3"/>
    <s v="Q2"/>
    <s v="Friday"/>
    <s v="EMP030"/>
    <s v="Employee 30"/>
    <x v="4"/>
    <s v="HR Executive"/>
    <s v="Madurai"/>
    <s v="Flexible Shift"/>
    <d v="1899-12-30T09:00:00"/>
    <d v="1899-12-30T18:00:00"/>
    <n v="8"/>
    <n v="0"/>
    <x v="0"/>
    <m/>
    <m/>
    <s v="L1"/>
    <s v="P. Priya"/>
    <x v="2"/>
    <s v="Late Login"/>
    <n v="34"/>
    <x v="0"/>
    <n v="44027"/>
    <n v="18000000"/>
    <s v="&lt;30 Days Hiring Cycle"/>
    <n v="560000"/>
    <s v="Medium"/>
    <s v="Hiring &amp; Retention"/>
    <n v="0.41666666666666669"/>
    <n v="0.79166666666666663"/>
    <n v="8"/>
    <s v="Working Day"/>
    <x v="0"/>
  </r>
  <r>
    <s v="ATD00729"/>
    <d v="2025-01-26T00:00:00"/>
    <x v="2"/>
    <s v="Q1"/>
    <s v="Sunday"/>
    <s v="EMP033"/>
    <s v="Employee 33"/>
    <x v="1"/>
    <s v="Operations Executive"/>
    <s v="Bengaluru"/>
    <s v="Morning Shift"/>
    <d v="1899-12-30T09:00:00"/>
    <d v="1899-12-30T18:00:00"/>
    <n v="8"/>
    <n v="0"/>
    <x v="0"/>
    <m/>
    <m/>
    <s v="L1"/>
    <s v="D. Dinesh"/>
    <x v="2"/>
    <s v="Late Login"/>
    <n v="37"/>
    <x v="1"/>
    <n v="45214"/>
    <n v="34000000"/>
    <s v="95% Process Efficiency"/>
    <n v="610000"/>
    <s v="High"/>
    <s v="Operational Efficiency"/>
    <n v="0.25"/>
    <n v="0.625"/>
    <n v="8"/>
    <s v="Republic Day"/>
    <x v="1"/>
  </r>
  <r>
    <s v="ATD00730"/>
    <d v="2025-02-18T00:00:00"/>
    <x v="5"/>
    <s v="Q1"/>
    <s v="Tuesday"/>
    <s v="EMP003"/>
    <s v="Employee 3"/>
    <x v="6"/>
    <s v="Sales Executive"/>
    <s v="Bengaluru"/>
    <s v="Morning Shift"/>
    <d v="1899-12-30T09:20:00"/>
    <d v="1899-12-30T18:00:00"/>
    <n v="8"/>
    <n v="0"/>
    <x v="0"/>
    <m/>
    <n v="4"/>
    <s v="L3"/>
    <s v="V. Vivek"/>
    <x v="1"/>
    <m/>
    <n v="25"/>
    <x v="1"/>
    <n v="44301"/>
    <n v="42000000"/>
    <s v="₹2.5 Cr Monthly Sales"/>
    <n v="680000"/>
    <s v="High"/>
    <s v="Revenue Achievement"/>
    <n v="0.25"/>
    <n v="0.625"/>
    <n v="8"/>
    <s v="Working Day"/>
    <x v="0"/>
  </r>
  <r>
    <s v="ATD00731"/>
    <d v="2025-04-04T00:00:00"/>
    <x v="1"/>
    <s v="Q2"/>
    <s v="Friday"/>
    <s v="EMP043"/>
    <s v="Employee 43"/>
    <x v="2"/>
    <s v="Software Engineer"/>
    <s v="Bengaluru"/>
    <s v="Morning Shift"/>
    <d v="1899-12-30T09:00:00"/>
    <d v="1899-12-30T18:00:00"/>
    <n v="8.5"/>
    <n v="0.5"/>
    <x v="0"/>
    <m/>
    <n v="4"/>
    <s v="L1"/>
    <s v="R. Karthikeyan"/>
    <x v="1"/>
    <s v="Work From Home"/>
    <n v="29"/>
    <x v="1"/>
    <n v="43692"/>
    <n v="85000000"/>
    <s v="99.5% System Uptime"/>
    <n v="720000"/>
    <s v="High"/>
    <s v="Project Delivery"/>
    <n v="0.25"/>
    <n v="0.625"/>
    <n v="8"/>
    <s v="Working Day"/>
    <x v="0"/>
  </r>
  <r>
    <s v="ATD00732"/>
    <d v="2025-04-24T00:00:00"/>
    <x v="1"/>
    <s v="Q2"/>
    <s v="Thursday"/>
    <s v="EMP004"/>
    <s v="Employee 4"/>
    <x v="3"/>
    <s v="Accountant"/>
    <s v="Hyderabad"/>
    <s v="Flexible Shift"/>
    <m/>
    <m/>
    <m/>
    <m/>
    <x v="1"/>
    <m/>
    <m/>
    <s v="L3"/>
    <s v="M. Mahesh"/>
    <x v="1"/>
    <m/>
    <n v="26"/>
    <x v="0"/>
    <n v="44696"/>
    <n v="26000000"/>
    <s v="100% Payroll Accuracy"/>
    <n v="640000"/>
    <s v="High"/>
    <s v="Financial Compliance"/>
    <n v="0.41666666666666669"/>
    <n v="0.79166666666666663"/>
    <n v="8"/>
    <s v="Working Day"/>
    <x v="0"/>
  </r>
  <r>
    <s v="ATD00733"/>
    <d v="2025-03-20T00:00:00"/>
    <x v="4"/>
    <s v="Q1"/>
    <s v="Thursday"/>
    <s v="EMP039"/>
    <s v="Employee 39"/>
    <x v="3"/>
    <s v="Accountant"/>
    <s v="Hyderabad"/>
    <s v="Night Shift"/>
    <d v="1899-12-30T22:00:00"/>
    <d v="1899-12-30T07:00:00"/>
    <n v="9.5"/>
    <n v="1.5"/>
    <x v="0"/>
    <m/>
    <n v="4"/>
    <s v="L1"/>
    <s v="M. Mahesh"/>
    <x v="2"/>
    <s v="Late Login"/>
    <n v="25"/>
    <x v="0"/>
    <n v="44666"/>
    <n v="26000000"/>
    <s v="100% Payroll Accuracy"/>
    <n v="640000"/>
    <s v="High"/>
    <s v="Financial Compliance"/>
    <n v="0.91666666666666663"/>
    <n v="0.29166666666666669"/>
    <n v="8"/>
    <s v="Working Day"/>
    <x v="0"/>
  </r>
  <r>
    <s v="ATD00734"/>
    <d v="2025-05-12T00:00:00"/>
    <x v="3"/>
    <s v="Q2"/>
    <s v="Monday"/>
    <s v="EMP015"/>
    <s v="Employee 15"/>
    <x v="2"/>
    <s v="Software Engineer"/>
    <s v="Madurai"/>
    <s v="Flexible Shift"/>
    <d v="1899-12-30T09:00:00"/>
    <d v="1899-12-30T18:00:00"/>
    <n v="8"/>
    <n v="0"/>
    <x v="0"/>
    <m/>
    <n v="4"/>
    <s v="L3"/>
    <s v="R. Karthikeyan"/>
    <x v="2"/>
    <s v="Late Login"/>
    <n v="37"/>
    <x v="1"/>
    <n v="43570"/>
    <n v="85000000"/>
    <s v="99.5% System Uptime"/>
    <n v="720000"/>
    <s v="High"/>
    <s v="Project Delivery"/>
    <n v="0.41666666666666669"/>
    <n v="0.79166666666666663"/>
    <n v="8"/>
    <s v="Working Day"/>
    <x v="0"/>
  </r>
  <r>
    <s v="ATD00735"/>
    <d v="2025-04-05T00:00:00"/>
    <x v="1"/>
    <s v="Q2"/>
    <s v="Saturday"/>
    <s v="EMP003"/>
    <s v="Employee 3"/>
    <x v="6"/>
    <s v="Sales Executive"/>
    <s v="Bengaluru"/>
    <s v="Morning Shift"/>
    <d v="1899-12-30T09:35:00"/>
    <d v="1899-12-30T18:00:00"/>
    <n v="8"/>
    <n v="0"/>
    <x v="0"/>
    <m/>
    <m/>
    <s v="L4"/>
    <s v="V. Vivek"/>
    <x v="1"/>
    <s v="Late Login"/>
    <n v="25"/>
    <x v="1"/>
    <n v="44301"/>
    <n v="42000000"/>
    <s v="₹2.5 Cr Monthly Sales"/>
    <n v="680000"/>
    <s v="High"/>
    <s v="Revenue Achievement"/>
    <n v="0.25"/>
    <n v="0.625"/>
    <n v="8"/>
    <s v="Working Day"/>
    <x v="0"/>
  </r>
  <r>
    <s v="ATD00736"/>
    <d v="2025-01-23T00:00:00"/>
    <x v="2"/>
    <s v="Q1"/>
    <s v="Thursday"/>
    <s v="EMP015"/>
    <s v="Employee 15"/>
    <x v="2"/>
    <s v="Software Engineer"/>
    <s v="Madurai"/>
    <s v="Night Shift"/>
    <d v="1899-12-30T22:00:00"/>
    <d v="1899-12-30T07:00:00"/>
    <n v="8.5"/>
    <n v="0.5"/>
    <x v="0"/>
    <m/>
    <m/>
    <s v="L1"/>
    <s v="R. Karthikeyan"/>
    <x v="2"/>
    <s v="Late Login"/>
    <n v="37"/>
    <x v="1"/>
    <n v="43570"/>
    <n v="85000000"/>
    <s v="99.5% System Uptime"/>
    <n v="720000"/>
    <s v="High"/>
    <s v="Project Delivery"/>
    <n v="0.91666666666666663"/>
    <n v="0.29166666666666669"/>
    <n v="8"/>
    <s v="Working Day"/>
    <x v="0"/>
  </r>
  <r>
    <s v="ATD00737"/>
    <d v="2025-06-23T00:00:00"/>
    <x v="0"/>
    <s v="Q2"/>
    <s v="Monday"/>
    <s v="EMP038"/>
    <s v="Employee 38"/>
    <x v="6"/>
    <s v="Sales Executive"/>
    <s v="Bengaluru"/>
    <s v="Flexible Shift"/>
    <d v="1899-12-30T09:10:00"/>
    <d v="1899-12-30T18:00:00"/>
    <n v="8"/>
    <n v="0"/>
    <x v="0"/>
    <m/>
    <n v="4"/>
    <s v="L4"/>
    <s v="V. Vivek"/>
    <x v="0"/>
    <m/>
    <n v="24"/>
    <x v="1"/>
    <n v="44270"/>
    <n v="42000000"/>
    <s v="₹2.5 Cr Monthly Sales"/>
    <n v="680000"/>
    <s v="High"/>
    <s v="Revenue Achievement"/>
    <n v="0.41666666666666669"/>
    <n v="0.79166666666666663"/>
    <n v="8"/>
    <s v="Working Day"/>
    <x v="0"/>
  </r>
  <r>
    <s v="ATD00738"/>
    <d v="2025-03-24T00:00:00"/>
    <x v="4"/>
    <s v="Q1"/>
    <s v="Monday"/>
    <s v="EMP006"/>
    <s v="Employee 6"/>
    <x v="5"/>
    <s v="Marketing Executive"/>
    <s v="Coimbatore"/>
    <s v="Flexible Shift"/>
    <m/>
    <m/>
    <m/>
    <m/>
    <x v="2"/>
    <m/>
    <m/>
    <s v="L3"/>
    <s v="S. Swetha"/>
    <x v="2"/>
    <m/>
    <n v="28"/>
    <x v="0"/>
    <n v="45488"/>
    <n v="22000000"/>
    <s v="2500 Qualified Leads"/>
    <n v="590000"/>
    <s v="Medium"/>
    <s v="Lead Generation"/>
    <n v="0.41666666666666669"/>
    <n v="0.79166666666666663"/>
    <n v="8"/>
    <s v="Working Day"/>
    <x v="0"/>
  </r>
  <r>
    <s v="ATD00739"/>
    <d v="2025-05-04T00:00:00"/>
    <x v="3"/>
    <s v="Q2"/>
    <s v="Sunday"/>
    <s v="EMP004"/>
    <s v="Employee 4"/>
    <x v="3"/>
    <s v="Accountant"/>
    <s v="Hyderabad"/>
    <s v="Morning Shift"/>
    <d v="1899-12-30T09:00:00"/>
    <d v="1899-12-30T18:00:00"/>
    <n v="8"/>
    <n v="0"/>
    <x v="0"/>
    <m/>
    <n v="4"/>
    <s v="L3"/>
    <s v="M. Mahesh"/>
    <x v="1"/>
    <m/>
    <n v="26"/>
    <x v="0"/>
    <n v="44696"/>
    <n v="26000000"/>
    <s v="100% Payroll Accuracy"/>
    <n v="640000"/>
    <s v="High"/>
    <s v="Financial Compliance"/>
    <n v="0.25"/>
    <n v="0.625"/>
    <n v="8"/>
    <s v="Working Day"/>
    <x v="0"/>
  </r>
  <r>
    <s v="ATD00740"/>
    <d v="2025-06-20T00:00:00"/>
    <x v="0"/>
    <s v="Q2"/>
    <s v="Friday"/>
    <s v="EMP038"/>
    <s v="Employee 38"/>
    <x v="6"/>
    <s v="Sales Executive"/>
    <s v="Bengaluru"/>
    <s v="Morning Shift"/>
    <m/>
    <m/>
    <m/>
    <m/>
    <x v="1"/>
    <s v="Earned Leave"/>
    <m/>
    <s v="L2"/>
    <s v="V. Vivek"/>
    <x v="2"/>
    <s v="Client Visit"/>
    <n v="24"/>
    <x v="1"/>
    <n v="44270"/>
    <n v="42000000"/>
    <s v="₹2.5 Cr Monthly Sales"/>
    <n v="680000"/>
    <s v="High"/>
    <s v="Revenue Achievement"/>
    <n v="0.25"/>
    <n v="0.625"/>
    <n v="8"/>
    <s v="Working Day"/>
    <x v="0"/>
  </r>
  <r>
    <s v="ATD00741"/>
    <d v="2025-05-07T00:00:00"/>
    <x v="3"/>
    <s v="Q2"/>
    <s v="Wednesday"/>
    <s v="EMP010"/>
    <s v="Employee 10"/>
    <x v="6"/>
    <s v="Sales Executive"/>
    <s v="Madurai"/>
    <s v="Night Shift"/>
    <m/>
    <m/>
    <m/>
    <m/>
    <x v="2"/>
    <m/>
    <m/>
    <s v="L1"/>
    <s v="V. Vivek"/>
    <x v="1"/>
    <s v="Client Visit"/>
    <n v="32"/>
    <x v="0"/>
    <n v="44515"/>
    <n v="42000000"/>
    <s v="₹2.5 Cr Monthly Sales"/>
    <n v="680000"/>
    <s v="High"/>
    <s v="Revenue Achievement"/>
    <n v="0.91666666666666663"/>
    <n v="0.29166666666666669"/>
    <n v="8"/>
    <s v="Working Day"/>
    <x v="0"/>
  </r>
  <r>
    <s v="ATD00742"/>
    <d v="2025-06-07T00:00:00"/>
    <x v="0"/>
    <s v="Q2"/>
    <s v="Saturday"/>
    <s v="EMP037"/>
    <s v="Employee 37"/>
    <x v="4"/>
    <s v="HR Executive"/>
    <s v="Chennai"/>
    <s v="Afternoon Shift"/>
    <d v="1899-12-30T09:00:00"/>
    <d v="1899-12-30T18:00:00"/>
    <n v="8"/>
    <n v="0"/>
    <x v="0"/>
    <m/>
    <m/>
    <s v="L1"/>
    <s v="P. Priya"/>
    <x v="3"/>
    <s v="Late Login"/>
    <n v="23"/>
    <x v="0"/>
    <n v="43876"/>
    <n v="18000000"/>
    <s v="&lt;30 Days Hiring Cycle"/>
    <n v="560000"/>
    <s v="Medium"/>
    <s v="Hiring &amp; Retention"/>
    <n v="0.58333333333333337"/>
    <n v="0.95833333333333337"/>
    <n v="8"/>
    <s v="Bakrid"/>
    <x v="3"/>
  </r>
  <r>
    <s v="ATD00743"/>
    <d v="2025-06-05T00:00:00"/>
    <x v="0"/>
    <s v="Q2"/>
    <s v="Thursday"/>
    <s v="EMP004"/>
    <s v="Employee 4"/>
    <x v="3"/>
    <s v="Accountant"/>
    <s v="Hyderabad"/>
    <s v="Afternoon Shift"/>
    <d v="1899-12-30T09:00:00"/>
    <d v="1899-12-30T18:00:00"/>
    <n v="8"/>
    <n v="0"/>
    <x v="0"/>
    <m/>
    <n v="3"/>
    <s v="L4"/>
    <s v="M. Mahesh"/>
    <x v="0"/>
    <s v="Work From Home"/>
    <n v="26"/>
    <x v="0"/>
    <n v="44696"/>
    <n v="26000000"/>
    <s v="100% Payroll Accuracy"/>
    <n v="640000"/>
    <s v="High"/>
    <s v="Financial Compliance"/>
    <n v="0.58333333333333337"/>
    <n v="0.95833333333333337"/>
    <n v="8"/>
    <s v="Working Day"/>
    <x v="0"/>
  </r>
  <r>
    <s v="ATD00744"/>
    <d v="2025-06-12T00:00:00"/>
    <x v="0"/>
    <s v="Q2"/>
    <s v="Thursday"/>
    <s v="EMP048"/>
    <s v="Employee 48"/>
    <x v="5"/>
    <s v="Marketing Executive"/>
    <s v="Bengaluru"/>
    <s v="General Shift"/>
    <d v="1899-12-30T09:00:00"/>
    <d v="1899-12-30T18:00:00"/>
    <n v="8"/>
    <n v="0"/>
    <x v="0"/>
    <m/>
    <n v="4"/>
    <s v="L1"/>
    <s v="S. Swetha"/>
    <x v="0"/>
    <s v="Late Login"/>
    <n v="34"/>
    <x v="0"/>
    <n v="45306"/>
    <n v="22000000"/>
    <s v="2500 Qualified Leads"/>
    <n v="590000"/>
    <s v="Medium"/>
    <s v="Lead Generation"/>
    <n v="0.375"/>
    <n v="0.75"/>
    <n v="8"/>
    <s v="Working Day"/>
    <x v="0"/>
  </r>
  <r>
    <s v="ATD00745"/>
    <d v="2025-02-16T00:00:00"/>
    <x v="5"/>
    <s v="Q1"/>
    <s v="Sunday"/>
    <s v="EMP031"/>
    <s v="Employee 31"/>
    <x v="6"/>
    <s v="Sales Executive"/>
    <s v="Coimbatore"/>
    <s v="Afternoon Shift"/>
    <m/>
    <m/>
    <m/>
    <m/>
    <x v="1"/>
    <s v="Earned Leave"/>
    <m/>
    <s v="L3"/>
    <s v="V. Vivek"/>
    <x v="0"/>
    <s v="Work From Home"/>
    <n v="35"/>
    <x v="1"/>
    <n v="44423"/>
    <n v="42000000"/>
    <s v="₹2.5 Cr Monthly Sales"/>
    <n v="680000"/>
    <s v="High"/>
    <s v="Revenue Achievement"/>
    <n v="0.58333333333333337"/>
    <n v="0.95833333333333337"/>
    <n v="8"/>
    <s v="Working Day"/>
    <x v="0"/>
  </r>
  <r>
    <s v="ATD00746"/>
    <d v="2025-03-08T00:00:00"/>
    <x v="4"/>
    <s v="Q1"/>
    <s v="Saturday"/>
    <s v="EMP032"/>
    <s v="Employee 32"/>
    <x v="3"/>
    <s v="Accountant"/>
    <s v="Chennai"/>
    <s v="General Shift"/>
    <d v="1899-12-30T09:00:00"/>
    <d v="1899-12-30T18:00:00"/>
    <n v="8"/>
    <n v="0"/>
    <x v="0"/>
    <m/>
    <n v="5"/>
    <s v="L4"/>
    <s v="M. Mahesh"/>
    <x v="1"/>
    <s v="Late Login"/>
    <n v="36"/>
    <x v="0"/>
    <n v="44819"/>
    <n v="26000000"/>
    <s v="100% Payroll Accuracy"/>
    <n v="640000"/>
    <s v="High"/>
    <s v="Financial Compliance"/>
    <n v="0.375"/>
    <n v="0.75"/>
    <n v="8"/>
    <s v="Working Day"/>
    <x v="0"/>
  </r>
  <r>
    <s v="ATD00747"/>
    <d v="2025-03-26T00:00:00"/>
    <x v="4"/>
    <s v="Q1"/>
    <s v="Wednesday"/>
    <s v="EMP029"/>
    <s v="Employee 29"/>
    <x v="2"/>
    <s v="Software Engineer"/>
    <s v="Hyderabad"/>
    <s v="General Shift"/>
    <d v="1899-12-30T09:00:00"/>
    <d v="1899-12-30T18:00:00"/>
    <n v="9"/>
    <n v="1"/>
    <x v="0"/>
    <m/>
    <n v="5"/>
    <s v="L2"/>
    <s v="R. Karthikeyan"/>
    <x v="0"/>
    <s v="Late Login"/>
    <n v="33"/>
    <x v="1"/>
    <n v="43631"/>
    <n v="85000000"/>
    <s v="99.5% System Uptime"/>
    <n v="720000"/>
    <s v="High"/>
    <s v="Project Delivery"/>
    <n v="0.375"/>
    <n v="0.75"/>
    <n v="8"/>
    <s v="Working Day"/>
    <x v="0"/>
  </r>
  <r>
    <s v="ATD00748"/>
    <d v="2025-02-26T00:00:00"/>
    <x v="5"/>
    <s v="Q1"/>
    <s v="Wednesday"/>
    <s v="EMP007"/>
    <s v="Employee 7"/>
    <x v="0"/>
    <s v="Support Executive"/>
    <s v="Chennai"/>
    <s v="Night Shift"/>
    <d v="1899-12-30T22:00:00"/>
    <d v="1899-12-30T07:00:00"/>
    <n v="9.5"/>
    <n v="1.5"/>
    <x v="0"/>
    <m/>
    <n v="4"/>
    <s v="L2"/>
    <s v="V. Vinoth"/>
    <x v="1"/>
    <s v="Client Visit"/>
    <n v="29"/>
    <x v="1"/>
    <n v="43327"/>
    <n v="24000000"/>
    <s v="90% Customer Satisfaction"/>
    <n v="520000"/>
    <s v="High"/>
    <s v="Customer Satisfaction"/>
    <n v="0.91666666666666663"/>
    <n v="0.29166666666666669"/>
    <n v="8"/>
    <s v="Mahashivratri"/>
    <x v="3"/>
  </r>
  <r>
    <s v="ATD00749"/>
    <d v="2025-04-03T00:00:00"/>
    <x v="1"/>
    <s v="Q2"/>
    <s v="Thursday"/>
    <s v="EMP045"/>
    <s v="Employee 45"/>
    <x v="6"/>
    <s v="Sales Executive"/>
    <s v="Madurai"/>
    <s v="General Shift"/>
    <d v="1899-12-30T09:20:00"/>
    <d v="1899-12-30T18:00:00"/>
    <n v="8"/>
    <n v="0"/>
    <x v="0"/>
    <m/>
    <n v="4"/>
    <s v="L1"/>
    <s v="V. Vivek"/>
    <x v="3"/>
    <m/>
    <n v="31"/>
    <x v="1"/>
    <n v="44484"/>
    <n v="42000000"/>
    <s v="₹2.5 Cr Monthly Sales"/>
    <n v="680000"/>
    <s v="High"/>
    <s v="Revenue Achievement"/>
    <n v="0.375"/>
    <n v="0.75"/>
    <n v="8"/>
    <s v="Working Day"/>
    <x v="0"/>
  </r>
  <r>
    <s v="ATD00750"/>
    <d v="2025-03-09T00:00:00"/>
    <x v="4"/>
    <s v="Q1"/>
    <s v="Sunday"/>
    <s v="EMP009"/>
    <s v="Employee 9"/>
    <x v="4"/>
    <s v="HR Executive"/>
    <s v="Hyderabad"/>
    <s v="Afternoon Shift"/>
    <d v="1899-12-30T09:00:00"/>
    <d v="1899-12-30T18:00:00"/>
    <n v="8"/>
    <n v="0"/>
    <x v="0"/>
    <m/>
    <n v="4"/>
    <s v="L1"/>
    <s v="P. Priya"/>
    <x v="3"/>
    <s v="Late Login"/>
    <n v="31"/>
    <x v="1"/>
    <n v="44119"/>
    <n v="18000000"/>
    <s v="&lt;30 Days Hiring Cycle"/>
    <n v="560000"/>
    <s v="Medium"/>
    <s v="Hiring &amp; Retention"/>
    <n v="0.58333333333333337"/>
    <n v="0.95833333333333337"/>
    <n v="8"/>
    <s v="Working Day"/>
    <x v="0"/>
  </r>
  <r>
    <s v="ATD00751"/>
    <d v="2025-01-08T00:00:00"/>
    <x v="2"/>
    <s v="Q1"/>
    <s v="Wednesday"/>
    <s v="EMP044"/>
    <s v="Employee 44"/>
    <x v="4"/>
    <s v="HR Executive"/>
    <s v="Hyderabad"/>
    <s v="Afternoon Shift"/>
    <d v="1899-12-30T09:00:00"/>
    <d v="1899-12-30T18:00:00"/>
    <n v="8"/>
    <n v="0"/>
    <x v="0"/>
    <m/>
    <n v="5"/>
    <s v="L3"/>
    <s v="P. Priya"/>
    <x v="0"/>
    <s v="Late Login"/>
    <n v="30"/>
    <x v="0"/>
    <n v="44089"/>
    <n v="18000000"/>
    <s v="&lt;30 Days Hiring Cycle"/>
    <n v="560000"/>
    <s v="Medium"/>
    <s v="Hiring &amp; Retention"/>
    <n v="0.58333333333333337"/>
    <n v="0.95833333333333337"/>
    <n v="8"/>
    <s v="Working Day"/>
    <x v="0"/>
  </r>
  <r>
    <s v="ATD00752"/>
    <d v="2025-04-21T00:00:00"/>
    <x v="1"/>
    <s v="Q2"/>
    <s v="Monday"/>
    <s v="EMP029"/>
    <s v="Employee 29"/>
    <x v="2"/>
    <s v="Software Engineer"/>
    <s v="Hyderabad"/>
    <s v="Morning Shift"/>
    <d v="1899-12-30T09:00:00"/>
    <d v="1899-12-30T18:00:00"/>
    <n v="9.5"/>
    <n v="1.5"/>
    <x v="0"/>
    <m/>
    <m/>
    <s v="L1"/>
    <s v="R. Karthikeyan"/>
    <x v="1"/>
    <m/>
    <n v="33"/>
    <x v="1"/>
    <n v="43631"/>
    <n v="85000000"/>
    <s v="99.5% System Uptime"/>
    <n v="720000"/>
    <s v="High"/>
    <s v="Project Delivery"/>
    <n v="0.25"/>
    <n v="0.625"/>
    <n v="8"/>
    <s v="Working Day"/>
    <x v="0"/>
  </r>
  <r>
    <s v="ATD00753"/>
    <d v="2025-04-21T00:00:00"/>
    <x v="1"/>
    <s v="Q2"/>
    <s v="Monday"/>
    <s v="EMP002"/>
    <s v="Employee 2"/>
    <x v="4"/>
    <s v="HR Executive"/>
    <s v="Chennai"/>
    <s v="General Shift"/>
    <d v="1899-12-30T09:00:00"/>
    <d v="1899-12-30T18:00:00"/>
    <n v="8"/>
    <n v="0"/>
    <x v="0"/>
    <m/>
    <m/>
    <s v="L1"/>
    <s v="P. Priya"/>
    <x v="3"/>
    <m/>
    <n v="24"/>
    <x v="0"/>
    <n v="43905"/>
    <n v="18000000"/>
    <s v="&lt;30 Days Hiring Cycle"/>
    <n v="560000"/>
    <s v="Medium"/>
    <s v="Hiring &amp; Retention"/>
    <n v="0.375"/>
    <n v="0.75"/>
    <n v="8"/>
    <s v="Working Day"/>
    <x v="0"/>
  </r>
  <r>
    <s v="ATD00754"/>
    <d v="2025-05-25T00:00:00"/>
    <x v="3"/>
    <s v="Q2"/>
    <s v="Sunday"/>
    <s v="EMP048"/>
    <s v="Employee 48"/>
    <x v="5"/>
    <s v="Marketing Executive"/>
    <s v="Bengaluru"/>
    <s v="Flexible Shift"/>
    <d v="1899-12-30T09:00:00"/>
    <d v="1899-12-30T18:00:00"/>
    <n v="8"/>
    <n v="0"/>
    <x v="0"/>
    <m/>
    <n v="5"/>
    <s v="L4"/>
    <s v="S. Swetha"/>
    <x v="2"/>
    <s v="Client Visit"/>
    <n v="34"/>
    <x v="0"/>
    <n v="45306"/>
    <n v="22000000"/>
    <s v="2500 Qualified Leads"/>
    <n v="590000"/>
    <s v="Medium"/>
    <s v="Lead Generation"/>
    <n v="0.41666666666666669"/>
    <n v="0.79166666666666663"/>
    <n v="8"/>
    <s v="Working Day"/>
    <x v="0"/>
  </r>
  <r>
    <s v="ATD00755"/>
    <d v="2025-06-21T00:00:00"/>
    <x v="0"/>
    <s v="Q2"/>
    <s v="Saturday"/>
    <s v="EMP003"/>
    <s v="Employee 3"/>
    <x v="6"/>
    <s v="Sales Executive"/>
    <s v="Bengaluru"/>
    <s v="Morning Shift"/>
    <d v="1899-12-30T09:10:00"/>
    <d v="1899-12-30T18:00:00"/>
    <n v="8"/>
    <n v="0"/>
    <x v="0"/>
    <m/>
    <n v="3"/>
    <s v="L2"/>
    <s v="V. Vivek"/>
    <x v="3"/>
    <s v="Client Visit"/>
    <n v="25"/>
    <x v="1"/>
    <n v="44301"/>
    <n v="42000000"/>
    <s v="₹2.5 Cr Monthly Sales"/>
    <n v="680000"/>
    <s v="High"/>
    <s v="Revenue Achievement"/>
    <n v="0.25"/>
    <n v="0.625"/>
    <n v="8"/>
    <s v="Working Day"/>
    <x v="0"/>
  </r>
  <r>
    <s v="ATD00756"/>
    <d v="2025-01-06T00:00:00"/>
    <x v="2"/>
    <s v="Q1"/>
    <s v="Monday"/>
    <s v="EMP038"/>
    <s v="Employee 38"/>
    <x v="6"/>
    <s v="Sales Executive"/>
    <s v="Bengaluru"/>
    <s v="General Shift"/>
    <d v="1899-12-30T09:35:00"/>
    <d v="1899-12-30T18:00:00"/>
    <n v="8"/>
    <n v="0"/>
    <x v="0"/>
    <m/>
    <n v="4"/>
    <s v="L1"/>
    <s v="V. Vivek"/>
    <x v="1"/>
    <s v="Work From Home"/>
    <n v="24"/>
    <x v="1"/>
    <n v="44270"/>
    <n v="42000000"/>
    <s v="₹2.5 Cr Monthly Sales"/>
    <n v="680000"/>
    <s v="High"/>
    <s v="Revenue Achievement"/>
    <n v="0.375"/>
    <n v="0.75"/>
    <n v="8"/>
    <s v="Working Day"/>
    <x v="0"/>
  </r>
  <r>
    <s v="ATD00757"/>
    <d v="2025-02-15T00:00:00"/>
    <x v="5"/>
    <s v="Q1"/>
    <s v="Saturday"/>
    <s v="EMP019"/>
    <s v="Employee 19"/>
    <x v="1"/>
    <s v="Operations Executive"/>
    <s v="Hyderabad"/>
    <s v="General Shift"/>
    <d v="1899-12-30T09:00:00"/>
    <d v="1899-12-30T18:00:00"/>
    <n v="8"/>
    <n v="0"/>
    <x v="0"/>
    <m/>
    <n v="4"/>
    <s v="L4"/>
    <s v="D. Dinesh"/>
    <x v="2"/>
    <s v="Work From Home"/>
    <n v="23"/>
    <x v="0"/>
    <n v="45153"/>
    <n v="34000000"/>
    <s v="95% Process Efficiency"/>
    <n v="610000"/>
    <s v="High"/>
    <s v="Operational Efficiency"/>
    <n v="0.375"/>
    <n v="0.75"/>
    <n v="8"/>
    <s v="Working Day"/>
    <x v="0"/>
  </r>
  <r>
    <s v="ATD00758"/>
    <d v="2025-03-23T00:00:00"/>
    <x v="4"/>
    <s v="Q1"/>
    <s v="Sunday"/>
    <s v="EMP044"/>
    <s v="Employee 44"/>
    <x v="4"/>
    <s v="HR Executive"/>
    <s v="Hyderabad"/>
    <s v="Flexible Shift"/>
    <d v="1899-12-30T09:00:00"/>
    <d v="1899-12-30T18:00:00"/>
    <n v="8"/>
    <n v="0"/>
    <x v="0"/>
    <m/>
    <n v="4"/>
    <s v="L3"/>
    <s v="P. Priya"/>
    <x v="2"/>
    <s v="Late Login"/>
    <n v="30"/>
    <x v="0"/>
    <n v="44089"/>
    <n v="18000000"/>
    <s v="&lt;30 Days Hiring Cycle"/>
    <n v="560000"/>
    <s v="Medium"/>
    <s v="Hiring &amp; Retention"/>
    <n v="0.41666666666666669"/>
    <n v="0.79166666666666663"/>
    <n v="8"/>
    <s v="Working Day"/>
    <x v="0"/>
  </r>
  <r>
    <s v="ATD00759"/>
    <d v="2025-05-07T00:00:00"/>
    <x v="3"/>
    <s v="Q2"/>
    <s v="Wednesday"/>
    <s v="EMP016"/>
    <s v="Employee 16"/>
    <x v="4"/>
    <s v="HR Executive"/>
    <s v="Coimbatore"/>
    <s v="Night Shift"/>
    <d v="1899-12-30T22:00:00"/>
    <d v="1899-12-30T07:00:00"/>
    <n v="9"/>
    <n v="1"/>
    <x v="0"/>
    <m/>
    <n v="5"/>
    <s v="L3"/>
    <s v="P. Priya"/>
    <x v="3"/>
    <s v="Work From Home"/>
    <n v="38"/>
    <x v="0"/>
    <n v="43966"/>
    <n v="18000000"/>
    <s v="&lt;30 Days Hiring Cycle"/>
    <n v="560000"/>
    <s v="Medium"/>
    <s v="Hiring &amp; Retention"/>
    <n v="0.91666666666666663"/>
    <n v="0.29166666666666669"/>
    <n v="8"/>
    <s v="Working Day"/>
    <x v="0"/>
  </r>
  <r>
    <s v="ATD00760"/>
    <d v="2025-05-27T00:00:00"/>
    <x v="3"/>
    <s v="Q2"/>
    <s v="Tuesday"/>
    <s v="EMP010"/>
    <s v="Employee 10"/>
    <x v="6"/>
    <s v="Sales Executive"/>
    <s v="Madurai"/>
    <s v="General Shift"/>
    <d v="1899-12-30T09:20:00"/>
    <d v="1899-12-30T18:00:00"/>
    <n v="8"/>
    <n v="0"/>
    <x v="0"/>
    <m/>
    <n v="4"/>
    <s v="L1"/>
    <s v="V. Vivek"/>
    <x v="0"/>
    <s v="Late Login"/>
    <n v="32"/>
    <x v="0"/>
    <n v="44515"/>
    <n v="42000000"/>
    <s v="₹2.5 Cr Monthly Sales"/>
    <n v="680000"/>
    <s v="High"/>
    <s v="Revenue Achievement"/>
    <n v="0.375"/>
    <n v="0.75"/>
    <n v="8"/>
    <s v="Working Day"/>
    <x v="0"/>
  </r>
  <r>
    <s v="ATD00761"/>
    <d v="2025-05-30T00:00:00"/>
    <x v="3"/>
    <s v="Q2"/>
    <s v="Friday"/>
    <s v="EMP024"/>
    <s v="Employee 24"/>
    <x v="6"/>
    <s v="Sales Executive"/>
    <s v="Hyderabad"/>
    <s v="Afternoon Shift"/>
    <d v="1899-12-30T09:10:00"/>
    <d v="1899-12-30T18:00:00"/>
    <n v="8"/>
    <n v="0"/>
    <x v="0"/>
    <m/>
    <n v="3"/>
    <s v="L1"/>
    <s v="V. Vivek"/>
    <x v="1"/>
    <s v="Client Visit"/>
    <n v="28"/>
    <x v="1"/>
    <n v="44211"/>
    <n v="42000000"/>
    <s v="₹2.5 Cr Monthly Sales"/>
    <n v="680000"/>
    <s v="High"/>
    <s v="Revenue Achievement"/>
    <n v="0.58333333333333337"/>
    <n v="0.95833333333333337"/>
    <n v="8"/>
    <s v="Working Day"/>
    <x v="0"/>
  </r>
  <r>
    <s v="ATD00762"/>
    <d v="2025-04-02T00:00:00"/>
    <x v="1"/>
    <s v="Q2"/>
    <s v="Wednesday"/>
    <s v="EMP035"/>
    <s v="Employee 35"/>
    <x v="0"/>
    <s v="Support Executive"/>
    <s v="Madurai"/>
    <s v="Afternoon Shift"/>
    <m/>
    <m/>
    <m/>
    <m/>
    <x v="1"/>
    <s v="Earned Leave"/>
    <m/>
    <s v="L2"/>
    <s v="V. Vinoth"/>
    <x v="3"/>
    <m/>
    <n v="39"/>
    <x v="1"/>
    <n v="43449"/>
    <n v="24000000"/>
    <s v="90% Customer Satisfaction"/>
    <n v="520000"/>
    <s v="High"/>
    <s v="Customer Satisfaction"/>
    <n v="0.58333333333333337"/>
    <n v="0.95833333333333337"/>
    <n v="8"/>
    <s v="Working Day"/>
    <x v="0"/>
  </r>
  <r>
    <s v="ATD00763"/>
    <d v="2025-02-08T00:00:00"/>
    <x v="5"/>
    <s v="Q1"/>
    <s v="Saturday"/>
    <s v="EMP026"/>
    <s v="Employee 26"/>
    <x v="1"/>
    <s v="Operations Executive"/>
    <s v="Coimbatore"/>
    <s v="Morning Shift"/>
    <d v="1899-12-30T09:00:00"/>
    <d v="1899-12-30T18:00:00"/>
    <n v="8"/>
    <n v="0"/>
    <x v="0"/>
    <m/>
    <n v="4"/>
    <s v="L1"/>
    <s v="D. Dinesh"/>
    <x v="3"/>
    <s v="Work From Home"/>
    <n v="30"/>
    <x v="0"/>
    <n v="45000"/>
    <n v="34000000"/>
    <s v="95% Process Efficiency"/>
    <n v="610000"/>
    <s v="High"/>
    <s v="Operational Efficiency"/>
    <n v="0.25"/>
    <n v="0.625"/>
    <n v="8"/>
    <s v="Working Day"/>
    <x v="0"/>
  </r>
  <r>
    <s v="ATD00764"/>
    <d v="2025-01-14T00:00:00"/>
    <x v="2"/>
    <s v="Q1"/>
    <s v="Tuesday"/>
    <s v="EMP049"/>
    <s v="Employee 49"/>
    <x v="0"/>
    <s v="Support Executive"/>
    <s v="Hyderabad"/>
    <s v="General Shift"/>
    <d v="1899-12-30T09:00:00"/>
    <d v="1899-12-30T18:00:00"/>
    <n v="8"/>
    <n v="0"/>
    <x v="0"/>
    <m/>
    <n v="3"/>
    <s v="L3"/>
    <s v="V. Vinoth"/>
    <x v="0"/>
    <s v="Work From Home"/>
    <n v="35"/>
    <x v="1"/>
    <n v="43146"/>
    <n v="24000000"/>
    <s v="90% Customer Satisfaction"/>
    <n v="520000"/>
    <s v="High"/>
    <s v="Customer Satisfaction"/>
    <n v="0.375"/>
    <n v="0.75"/>
    <n v="8"/>
    <s v="Pongal"/>
    <x v="2"/>
  </r>
  <r>
    <s v="ATD00765"/>
    <d v="2025-03-28T00:00:00"/>
    <x v="4"/>
    <s v="Q1"/>
    <s v="Friday"/>
    <s v="EMP047"/>
    <s v="Employee 47"/>
    <x v="1"/>
    <s v="Operations Executive"/>
    <s v="Chennai"/>
    <s v="Afternoon Shift"/>
    <d v="1899-12-30T09:00:00"/>
    <d v="1899-12-30T18:00:00"/>
    <n v="8"/>
    <n v="0"/>
    <x v="0"/>
    <m/>
    <n v="5"/>
    <s v="L4"/>
    <s v="D. Dinesh"/>
    <x v="2"/>
    <s v="Work From Home"/>
    <n v="33"/>
    <x v="1"/>
    <n v="45275"/>
    <n v="34000000"/>
    <s v="95% Process Efficiency"/>
    <n v="610000"/>
    <s v="High"/>
    <s v="Operational Efficiency"/>
    <n v="0.58333333333333337"/>
    <n v="0.95833333333333337"/>
    <n v="8"/>
    <s v="Working Day"/>
    <x v="0"/>
  </r>
  <r>
    <s v="ATD00766"/>
    <d v="2025-04-29T00:00:00"/>
    <x v="1"/>
    <s v="Q2"/>
    <s v="Tuesday"/>
    <s v="EMP048"/>
    <s v="Employee 48"/>
    <x v="5"/>
    <s v="Marketing Executive"/>
    <s v="Bengaluru"/>
    <s v="Night Shift"/>
    <m/>
    <m/>
    <m/>
    <m/>
    <x v="1"/>
    <m/>
    <m/>
    <s v="L4"/>
    <s v="S. Swetha"/>
    <x v="3"/>
    <s v="Client Visit"/>
    <n v="34"/>
    <x v="0"/>
    <n v="45306"/>
    <n v="22000000"/>
    <s v="2500 Qualified Leads"/>
    <n v="590000"/>
    <s v="Medium"/>
    <s v="Lead Generation"/>
    <n v="0.91666666666666663"/>
    <n v="0.29166666666666669"/>
    <n v="8"/>
    <s v="Working Day"/>
    <x v="0"/>
  </r>
  <r>
    <s v="ATD00767"/>
    <d v="2025-03-31T00:00:00"/>
    <x v="4"/>
    <s v="Q1"/>
    <s v="Monday"/>
    <s v="EMP047"/>
    <s v="Employee 47"/>
    <x v="1"/>
    <s v="Operations Executive"/>
    <s v="Chennai"/>
    <s v="Night Shift"/>
    <d v="1899-12-30T22:00:00"/>
    <d v="1899-12-30T07:00:00"/>
    <n v="9.5"/>
    <n v="1.5"/>
    <x v="0"/>
    <m/>
    <n v="3"/>
    <s v="L1"/>
    <s v="D. Dinesh"/>
    <x v="2"/>
    <s v="Client Visit"/>
    <n v="33"/>
    <x v="1"/>
    <n v="45275"/>
    <n v="34000000"/>
    <s v="95% Process Efficiency"/>
    <n v="610000"/>
    <s v="High"/>
    <s v="Operational Efficiency"/>
    <n v="0.91666666666666663"/>
    <n v="0.29166666666666669"/>
    <n v="8"/>
    <s v="Working Day"/>
    <x v="0"/>
  </r>
  <r>
    <s v="ATD00768"/>
    <d v="2025-05-18T00:00:00"/>
    <x v="3"/>
    <s v="Q2"/>
    <s v="Sunday"/>
    <s v="EMP024"/>
    <s v="Employee 24"/>
    <x v="6"/>
    <s v="Sales Executive"/>
    <s v="Hyderabad"/>
    <s v="Night Shift"/>
    <d v="1899-12-30T09:00:00"/>
    <d v="1899-12-30T07:00:00"/>
    <n v="9"/>
    <n v="1"/>
    <x v="0"/>
    <m/>
    <n v="4"/>
    <s v="L3"/>
    <s v="V. Vivek"/>
    <x v="2"/>
    <s v="Client Visit"/>
    <n v="28"/>
    <x v="1"/>
    <n v="44211"/>
    <n v="42000000"/>
    <s v="₹2.5 Cr Monthly Sales"/>
    <n v="680000"/>
    <s v="High"/>
    <s v="Revenue Achievement"/>
    <n v="0.91666666666666663"/>
    <n v="0.29166666666666669"/>
    <n v="8"/>
    <s v="Working Day"/>
    <x v="0"/>
  </r>
  <r>
    <s v="ATD00769"/>
    <d v="2025-03-05T00:00:00"/>
    <x v="4"/>
    <s v="Q1"/>
    <s v="Wednesday"/>
    <s v="EMP034"/>
    <s v="Employee 34"/>
    <x v="5"/>
    <s v="Marketing Executive"/>
    <s v="Hyderabad"/>
    <s v="Afternoon Shift"/>
    <d v="1899-12-30T09:00:00"/>
    <d v="1899-12-30T18:00:00"/>
    <n v="8"/>
    <n v="0"/>
    <x v="0"/>
    <m/>
    <m/>
    <s v="L2"/>
    <s v="S. Swetha"/>
    <x v="3"/>
    <s v="Late Login"/>
    <n v="38"/>
    <x v="0"/>
    <n v="45611"/>
    <n v="22000000"/>
    <s v="2500 Qualified Leads"/>
    <n v="590000"/>
    <s v="Medium"/>
    <s v="Lead Generation"/>
    <n v="0.58333333333333337"/>
    <n v="0.95833333333333337"/>
    <n v="8"/>
    <s v="Working Day"/>
    <x v="0"/>
  </r>
  <r>
    <s v="ATD00770"/>
    <d v="2025-02-16T00:00:00"/>
    <x v="5"/>
    <s v="Q1"/>
    <s v="Sunday"/>
    <s v="EMP040"/>
    <s v="Employee 40"/>
    <x v="1"/>
    <s v="Operations Executive"/>
    <s v="Madurai"/>
    <s v="Flexible Shift"/>
    <d v="1899-12-30T09:00:00"/>
    <d v="1899-12-30T18:00:00"/>
    <n v="8"/>
    <n v="0"/>
    <x v="0"/>
    <m/>
    <n v="3"/>
    <s v="L3"/>
    <s v="D. Dinesh"/>
    <x v="0"/>
    <s v="Work From Home"/>
    <n v="26"/>
    <x v="1"/>
    <n v="45061"/>
    <n v="34000000"/>
    <s v="95% Process Efficiency"/>
    <n v="610000"/>
    <s v="High"/>
    <s v="Operational Efficiency"/>
    <n v="0.41666666666666669"/>
    <n v="0.79166666666666663"/>
    <n v="8"/>
    <s v="Working Day"/>
    <x v="0"/>
  </r>
  <r>
    <s v="ATD00771"/>
    <d v="2025-03-05T00:00:00"/>
    <x v="4"/>
    <s v="Q1"/>
    <s v="Wednesday"/>
    <s v="EMP031"/>
    <s v="Employee 31"/>
    <x v="6"/>
    <s v="Sales Executive"/>
    <s v="Coimbatore"/>
    <s v="Night Shift"/>
    <d v="1899-12-30T09:10:00"/>
    <d v="1899-12-30T07:00:00"/>
    <n v="8.5"/>
    <n v="0.5"/>
    <x v="0"/>
    <m/>
    <n v="4"/>
    <s v="L1"/>
    <s v="V. Vivek"/>
    <x v="3"/>
    <m/>
    <n v="35"/>
    <x v="1"/>
    <n v="44423"/>
    <n v="42000000"/>
    <s v="₹2.5 Cr Monthly Sales"/>
    <n v="680000"/>
    <s v="High"/>
    <s v="Revenue Achievement"/>
    <n v="0.91666666666666663"/>
    <n v="0.29166666666666669"/>
    <n v="8"/>
    <s v="Working Day"/>
    <x v="0"/>
  </r>
  <r>
    <s v="ATD00772"/>
    <d v="2025-01-22T00:00:00"/>
    <x v="2"/>
    <s v="Q1"/>
    <s v="Wednesday"/>
    <s v="EMP019"/>
    <s v="Employee 19"/>
    <x v="1"/>
    <s v="Operations Executive"/>
    <s v="Hyderabad"/>
    <s v="Night Shift"/>
    <d v="1899-12-30T22:00:00"/>
    <m/>
    <n v="10"/>
    <n v="2"/>
    <x v="0"/>
    <m/>
    <m/>
    <s v="L4"/>
    <s v="D. Dinesh"/>
    <x v="1"/>
    <s v="Work From Home"/>
    <n v="23"/>
    <x v="0"/>
    <n v="45153"/>
    <n v="34000000"/>
    <s v="95% Process Efficiency"/>
    <n v="610000"/>
    <s v="High"/>
    <s v="Operational Efficiency"/>
    <n v="0.91666666666666663"/>
    <n v="0.29166666666666669"/>
    <n v="8"/>
    <s v="Working Day"/>
    <x v="0"/>
  </r>
  <r>
    <s v="ATD00773"/>
    <d v="2025-01-04T00:00:00"/>
    <x v="2"/>
    <s v="Q1"/>
    <s v="Saturday"/>
    <s v="EMP048"/>
    <s v="Employee 48"/>
    <x v="5"/>
    <s v="Marketing Executive"/>
    <s v="Bengaluru"/>
    <s v="Flexible Shift"/>
    <d v="1899-12-30T09:00:00"/>
    <d v="1899-12-30T18:00:00"/>
    <n v="8"/>
    <n v="0"/>
    <x v="0"/>
    <m/>
    <m/>
    <s v="L4"/>
    <s v="S. Swetha"/>
    <x v="1"/>
    <s v="Client Visit"/>
    <n v="34"/>
    <x v="0"/>
    <n v="45306"/>
    <n v="22000000"/>
    <s v="2500 Qualified Leads"/>
    <n v="590000"/>
    <s v="Medium"/>
    <s v="Lead Generation"/>
    <n v="0.41666666666666669"/>
    <n v="0.79166666666666663"/>
    <n v="8"/>
    <s v="Working Day"/>
    <x v="0"/>
  </r>
  <r>
    <s v="ATD00774"/>
    <d v="2025-01-03T00:00:00"/>
    <x v="2"/>
    <s v="Q1"/>
    <s v="Friday"/>
    <s v="EMP012"/>
    <s v="Employee 12"/>
    <x v="1"/>
    <s v="Operations Executive"/>
    <s v="Chennai"/>
    <s v="Flexible Shift"/>
    <d v="1899-12-30T09:00:00"/>
    <d v="1899-12-30T18:00:00"/>
    <n v="8"/>
    <n v="0"/>
    <x v="0"/>
    <m/>
    <n v="3"/>
    <s v="L1"/>
    <s v="D. Dinesh"/>
    <x v="1"/>
    <m/>
    <n v="34"/>
    <x v="0"/>
    <n v="44941"/>
    <n v="34000000"/>
    <s v="95% Process Efficiency"/>
    <n v="610000"/>
    <s v="High"/>
    <s v="Operational Efficiency"/>
    <n v="0.41666666666666669"/>
    <n v="0.79166666666666663"/>
    <n v="8"/>
    <s v="Working Day"/>
    <x v="0"/>
  </r>
  <r>
    <s v="ATD00775"/>
    <d v="2025-05-26T00:00:00"/>
    <x v="3"/>
    <s v="Q2"/>
    <s v="Monday"/>
    <s v="EMP035"/>
    <s v="Employee 35"/>
    <x v="0"/>
    <s v="Support Executive"/>
    <s v="Madurai"/>
    <s v="Morning Shift"/>
    <d v="1899-12-30T09:00:00"/>
    <d v="1899-12-30T18:00:00"/>
    <n v="8"/>
    <n v="0"/>
    <x v="0"/>
    <m/>
    <n v="4"/>
    <s v="L2"/>
    <s v="V. Vinoth"/>
    <x v="2"/>
    <s v="Work From Home"/>
    <n v="39"/>
    <x v="1"/>
    <n v="43449"/>
    <n v="24000000"/>
    <s v="90% Customer Satisfaction"/>
    <n v="520000"/>
    <s v="High"/>
    <s v="Customer Satisfaction"/>
    <n v="0.25"/>
    <n v="0.625"/>
    <n v="8"/>
    <s v="Working Day"/>
    <x v="0"/>
  </r>
  <r>
    <s v="ATD00776"/>
    <d v="2025-04-20T00:00:00"/>
    <x v="1"/>
    <s v="Q2"/>
    <s v="Sunday"/>
    <s v="EMP015"/>
    <s v="Employee 15"/>
    <x v="2"/>
    <s v="Software Engineer"/>
    <s v="Madurai"/>
    <s v="Morning Shift"/>
    <d v="1899-12-30T09:00:00"/>
    <d v="1899-12-30T18:00:00"/>
    <n v="8.5"/>
    <n v="0.5"/>
    <x v="0"/>
    <m/>
    <n v="4"/>
    <s v="L1"/>
    <s v="R. Karthikeyan"/>
    <x v="3"/>
    <s v="Client Visit"/>
    <n v="37"/>
    <x v="1"/>
    <n v="43570"/>
    <n v="85000000"/>
    <s v="99.5% System Uptime"/>
    <n v="720000"/>
    <s v="High"/>
    <s v="Project Delivery"/>
    <n v="0.25"/>
    <n v="0.625"/>
    <n v="8"/>
    <s v="Working Day"/>
    <x v="0"/>
  </r>
  <r>
    <s v="ATD00777"/>
    <d v="2025-02-18T00:00:00"/>
    <x v="5"/>
    <s v="Q1"/>
    <s v="Tuesday"/>
    <s v="EMP024"/>
    <s v="Employee 24"/>
    <x v="6"/>
    <s v="Sales Executive"/>
    <s v="Hyderabad"/>
    <s v="Night Shift"/>
    <d v="1899-12-30T09:35:00"/>
    <d v="1899-12-30T07:00:00"/>
    <n v="9.5"/>
    <n v="1.5"/>
    <x v="0"/>
    <m/>
    <n v="4"/>
    <s v="L3"/>
    <s v="V. Vivek"/>
    <x v="0"/>
    <s v="Client Visit"/>
    <n v="28"/>
    <x v="1"/>
    <n v="44211"/>
    <n v="42000000"/>
    <s v="₹2.5 Cr Monthly Sales"/>
    <n v="680000"/>
    <s v="High"/>
    <s v="Revenue Achievement"/>
    <n v="0.91666666666666663"/>
    <n v="0.29166666666666669"/>
    <n v="8"/>
    <s v="Working Day"/>
    <x v="0"/>
  </r>
  <r>
    <s v="ATD00778"/>
    <d v="2025-01-10T00:00:00"/>
    <x v="2"/>
    <s v="Q1"/>
    <s v="Friday"/>
    <s v="EMP044"/>
    <s v="Employee 44"/>
    <x v="4"/>
    <s v="HR Executive"/>
    <s v="Hyderabad"/>
    <s v="Afternoon Shift"/>
    <d v="1899-12-30T09:00:00"/>
    <d v="1899-12-30T18:00:00"/>
    <n v="8"/>
    <n v="0"/>
    <x v="0"/>
    <m/>
    <n v="4"/>
    <s v="L2"/>
    <s v="P. Priya"/>
    <x v="0"/>
    <s v="Client Visit"/>
    <n v="30"/>
    <x v="0"/>
    <n v="44089"/>
    <n v="18000000"/>
    <s v="&lt;30 Days Hiring Cycle"/>
    <n v="560000"/>
    <s v="Medium"/>
    <s v="Hiring &amp; Retention"/>
    <n v="0.58333333333333337"/>
    <n v="0.95833333333333337"/>
    <n v="8"/>
    <s v="Working Day"/>
    <x v="0"/>
  </r>
  <r>
    <s v="ATD00779"/>
    <d v="2025-01-31T00:00:00"/>
    <x v="2"/>
    <s v="Q1"/>
    <s v="Friday"/>
    <s v="EMP033"/>
    <s v="Employee 33"/>
    <x v="1"/>
    <s v="Operations Executive"/>
    <s v="Bengaluru"/>
    <s v="Afternoon Shift"/>
    <d v="1899-12-30T09:00:00"/>
    <d v="1899-12-30T18:00:00"/>
    <n v="8"/>
    <n v="0"/>
    <x v="0"/>
    <m/>
    <n v="4"/>
    <s v="L3"/>
    <s v="D. Dinesh"/>
    <x v="3"/>
    <s v="Client Visit"/>
    <n v="37"/>
    <x v="1"/>
    <n v="45214"/>
    <n v="34000000"/>
    <s v="95% Process Efficiency"/>
    <n v="610000"/>
    <s v="High"/>
    <s v="Operational Efficiency"/>
    <n v="0.58333333333333337"/>
    <n v="0.95833333333333337"/>
    <n v="8"/>
    <s v="Working Day"/>
    <x v="0"/>
  </r>
  <r>
    <s v="ATD00780"/>
    <d v="2025-04-19T00:00:00"/>
    <x v="1"/>
    <s v="Q2"/>
    <s v="Saturday"/>
    <s v="EMP025"/>
    <s v="Employee 25"/>
    <x v="3"/>
    <s v="Accountant"/>
    <s v="Madurai"/>
    <s v="Morning Shift"/>
    <d v="1899-12-30T09:00:00"/>
    <d v="1899-12-30T18:00:00"/>
    <n v="8"/>
    <n v="0"/>
    <x v="0"/>
    <m/>
    <n v="3"/>
    <s v="L1"/>
    <s v="M. Mahesh"/>
    <x v="0"/>
    <s v="Late Login"/>
    <n v="29"/>
    <x v="0"/>
    <n v="44607"/>
    <n v="26000000"/>
    <s v="100% Payroll Accuracy"/>
    <n v="640000"/>
    <s v="High"/>
    <s v="Financial Compliance"/>
    <n v="0.25"/>
    <n v="0.625"/>
    <n v="8"/>
    <s v="Working Day"/>
    <x v="0"/>
  </r>
  <r>
    <s v="ATD00781"/>
    <d v="2025-01-19T00:00:00"/>
    <x v="2"/>
    <s v="Q1"/>
    <s v="Sunday"/>
    <s v="EMP038"/>
    <s v="Employee 38"/>
    <x v="6"/>
    <s v="Sales Executive"/>
    <s v="Bengaluru"/>
    <s v="Afternoon Shift"/>
    <d v="1899-12-30T09:20:00"/>
    <d v="1899-12-30T18:00:00"/>
    <n v="8"/>
    <n v="0"/>
    <x v="0"/>
    <m/>
    <n v="5"/>
    <s v="L1"/>
    <s v="V. Vivek"/>
    <x v="0"/>
    <s v="Late Login"/>
    <n v="24"/>
    <x v="1"/>
    <n v="44270"/>
    <n v="42000000"/>
    <s v="₹2.5 Cr Monthly Sales"/>
    <n v="680000"/>
    <s v="High"/>
    <s v="Revenue Achievement"/>
    <n v="0.58333333333333337"/>
    <n v="0.95833333333333337"/>
    <n v="8"/>
    <s v="Working Day"/>
    <x v="0"/>
  </r>
  <r>
    <s v="ATD00782"/>
    <d v="2025-02-16T00:00:00"/>
    <x v="5"/>
    <s v="Q1"/>
    <s v="Sunday"/>
    <s v="EMP002"/>
    <s v="Employee 2"/>
    <x v="4"/>
    <s v="HR Executive"/>
    <s v="Chennai"/>
    <s v="Morning Shift"/>
    <d v="1899-12-30T09:00:00"/>
    <d v="1899-12-30T18:00:00"/>
    <n v="8"/>
    <n v="0"/>
    <x v="0"/>
    <m/>
    <n v="5"/>
    <s v="L3"/>
    <s v="P. Priya"/>
    <x v="1"/>
    <s v="Client Visit"/>
    <n v="24"/>
    <x v="0"/>
    <n v="43905"/>
    <n v="18000000"/>
    <s v="&lt;30 Days Hiring Cycle"/>
    <n v="560000"/>
    <s v="Medium"/>
    <s v="Hiring &amp; Retention"/>
    <n v="0.25"/>
    <n v="0.625"/>
    <n v="8"/>
    <s v="Working Day"/>
    <x v="0"/>
  </r>
  <r>
    <s v="ATD00783"/>
    <d v="2025-05-08T00:00:00"/>
    <x v="3"/>
    <s v="Q2"/>
    <s v="Thursday"/>
    <s v="EMP014"/>
    <s v="Employee 14"/>
    <x v="0"/>
    <s v="Support Executive"/>
    <s v="Hyderabad"/>
    <s v="Flexible Shift"/>
    <d v="1899-12-30T09:00:00"/>
    <d v="1899-12-30T18:00:00"/>
    <n v="8"/>
    <n v="0"/>
    <x v="0"/>
    <m/>
    <m/>
    <s v="L4"/>
    <s v="V. Vinoth"/>
    <x v="3"/>
    <s v="Late Login"/>
    <n v="36"/>
    <x v="0"/>
    <n v="43174"/>
    <n v="24000000"/>
    <s v="90% Customer Satisfaction"/>
    <n v="520000"/>
    <s v="High"/>
    <s v="Customer Satisfaction"/>
    <n v="0.41666666666666669"/>
    <n v="0.79166666666666663"/>
    <n v="8"/>
    <s v="Working Day"/>
    <x v="0"/>
  </r>
  <r>
    <s v="ATD00784"/>
    <d v="2025-06-04T00:00:00"/>
    <x v="0"/>
    <s v="Q2"/>
    <s v="Wednesday"/>
    <s v="EMP018"/>
    <s v="Employee 18"/>
    <x v="3"/>
    <s v="Accountant"/>
    <s v="Bengaluru"/>
    <s v="Night Shift"/>
    <d v="1899-12-30T22:00:00"/>
    <m/>
    <n v="10"/>
    <n v="2"/>
    <x v="0"/>
    <m/>
    <m/>
    <s v="L4"/>
    <s v="M. Mahesh"/>
    <x v="1"/>
    <s v="Client Visit"/>
    <n v="22"/>
    <x v="1"/>
    <n v="44757"/>
    <n v="26000000"/>
    <s v="100% Payroll Accuracy"/>
    <n v="640000"/>
    <s v="High"/>
    <s v="Financial Compliance"/>
    <n v="0.91666666666666663"/>
    <n v="0.29166666666666669"/>
    <n v="8"/>
    <s v="Working Day"/>
    <x v="0"/>
  </r>
  <r>
    <s v="ATD00785"/>
    <d v="2025-05-11T00:00:00"/>
    <x v="3"/>
    <s v="Q2"/>
    <s v="Sunday"/>
    <s v="EMP044"/>
    <s v="Employee 44"/>
    <x v="4"/>
    <s v="HR Executive"/>
    <s v="Hyderabad"/>
    <s v="Morning Shift"/>
    <d v="1899-12-30T09:00:00"/>
    <d v="1899-12-30T18:00:00"/>
    <n v="8"/>
    <n v="0"/>
    <x v="0"/>
    <m/>
    <n v="5"/>
    <s v="L3"/>
    <s v="P. Priya"/>
    <x v="2"/>
    <s v="Work From Home"/>
    <n v="30"/>
    <x v="0"/>
    <n v="44089"/>
    <n v="18000000"/>
    <s v="&lt;30 Days Hiring Cycle"/>
    <n v="560000"/>
    <s v="Medium"/>
    <s v="Hiring &amp; Retention"/>
    <n v="0.25"/>
    <n v="0.625"/>
    <n v="8"/>
    <s v="Working Day"/>
    <x v="0"/>
  </r>
  <r>
    <s v="ATD00786"/>
    <d v="2025-06-24T00:00:00"/>
    <x v="0"/>
    <s v="Q2"/>
    <s v="Tuesday"/>
    <s v="EMP013"/>
    <s v="Employee 13"/>
    <x v="5"/>
    <s v="Marketing Executive"/>
    <s v="Bengaluru"/>
    <s v="Night Shift"/>
    <d v="1899-12-30T22:00:00"/>
    <d v="1899-12-30T07:00:00"/>
    <n v="8.5"/>
    <n v="0.5"/>
    <x v="0"/>
    <m/>
    <n v="4"/>
    <s v="L4"/>
    <s v="S. Swetha"/>
    <x v="1"/>
    <s v="Work From Home"/>
    <n v="35"/>
    <x v="1"/>
    <n v="45337"/>
    <n v="22000000"/>
    <s v="2500 Qualified Leads"/>
    <n v="590000"/>
    <s v="Medium"/>
    <s v="Lead Generation"/>
    <n v="0.91666666666666663"/>
    <n v="0.29166666666666669"/>
    <n v="8"/>
    <s v="Working Day"/>
    <x v="0"/>
  </r>
  <r>
    <s v="ATD00787"/>
    <d v="2025-06-18T00:00:00"/>
    <x v="0"/>
    <s v="Q2"/>
    <s v="Wednesday"/>
    <s v="EMP011"/>
    <s v="Employee 11"/>
    <x v="3"/>
    <s v="Accountant"/>
    <s v="Coimbatore"/>
    <s v="Flexible Shift"/>
    <d v="1899-12-30T09:00:00"/>
    <d v="1899-12-30T18:00:00"/>
    <n v="8"/>
    <n v="0"/>
    <x v="0"/>
    <m/>
    <n v="4"/>
    <s v="L2"/>
    <s v="M. Mahesh"/>
    <x v="3"/>
    <s v="Work From Home"/>
    <n v="33"/>
    <x v="1"/>
    <n v="44910"/>
    <n v="26000000"/>
    <s v="100% Payroll Accuracy"/>
    <n v="640000"/>
    <s v="High"/>
    <s v="Financial Compliance"/>
    <n v="0.41666666666666669"/>
    <n v="0.79166666666666663"/>
    <n v="8"/>
    <s v="Working Day"/>
    <x v="0"/>
  </r>
  <r>
    <s v="ATD00788"/>
    <d v="2025-06-27T00:00:00"/>
    <x v="0"/>
    <s v="Q2"/>
    <s v="Friday"/>
    <s v="EMP023"/>
    <s v="Employee 23"/>
    <x v="4"/>
    <s v="HR Executive"/>
    <s v="Bengaluru"/>
    <s v="General Shift"/>
    <d v="1899-12-30T09:00:00"/>
    <d v="1899-12-30T18:00:00"/>
    <n v="8"/>
    <n v="0"/>
    <x v="0"/>
    <m/>
    <n v="3"/>
    <s v="L1"/>
    <s v="P. Priya"/>
    <x v="1"/>
    <m/>
    <n v="27"/>
    <x v="1"/>
    <n v="44180"/>
    <n v="18000000"/>
    <s v="&lt;30 Days Hiring Cycle"/>
    <n v="560000"/>
    <s v="Medium"/>
    <s v="Hiring &amp; Retention"/>
    <n v="0.375"/>
    <n v="0.75"/>
    <n v="8"/>
    <s v="Working Day"/>
    <x v="0"/>
  </r>
  <r>
    <s v="ATD00789"/>
    <d v="2025-05-02T00:00:00"/>
    <x v="3"/>
    <s v="Q2"/>
    <s v="Friday"/>
    <s v="EMP040"/>
    <s v="Employee 40"/>
    <x v="1"/>
    <s v="Operations Executive"/>
    <s v="Madurai"/>
    <s v="Night Shift"/>
    <d v="1899-12-30T22:00:00"/>
    <d v="1899-12-30T07:00:00"/>
    <n v="9.5"/>
    <n v="1.5"/>
    <x v="0"/>
    <m/>
    <n v="3"/>
    <s v="L1"/>
    <s v="D. Dinesh"/>
    <x v="2"/>
    <s v="Late Login"/>
    <n v="26"/>
    <x v="1"/>
    <n v="45061"/>
    <n v="34000000"/>
    <s v="95% Process Efficiency"/>
    <n v="610000"/>
    <s v="High"/>
    <s v="Operational Efficiency"/>
    <n v="0.91666666666666663"/>
    <n v="0.29166666666666669"/>
    <n v="8"/>
    <s v="Working Day"/>
    <x v="0"/>
  </r>
  <r>
    <s v="ATD00790"/>
    <d v="2025-01-28T00:00:00"/>
    <x v="2"/>
    <s v="Q1"/>
    <s v="Tuesday"/>
    <s v="EMP048"/>
    <s v="Employee 48"/>
    <x v="5"/>
    <s v="Marketing Executive"/>
    <s v="Bengaluru"/>
    <s v="Morning Shift"/>
    <m/>
    <d v="1899-12-30T18:00:00"/>
    <n v="8"/>
    <n v="0"/>
    <x v="0"/>
    <m/>
    <n v="4"/>
    <s v="L3"/>
    <s v="S. Swetha"/>
    <x v="0"/>
    <s v="Late Login"/>
    <n v="34"/>
    <x v="0"/>
    <n v="45306"/>
    <n v="22000000"/>
    <s v="2500 Qualified Leads"/>
    <n v="590000"/>
    <s v="Medium"/>
    <s v="Lead Generation"/>
    <n v="0.25"/>
    <n v="0.625"/>
    <n v="8"/>
    <s v="Working Day"/>
    <x v="0"/>
  </r>
  <r>
    <s v="ATD00791"/>
    <d v="2025-03-23T00:00:00"/>
    <x v="4"/>
    <s v="Q1"/>
    <s v="Sunday"/>
    <s v="EMP004"/>
    <s v="Employee 4"/>
    <x v="3"/>
    <s v="Accountant"/>
    <s v="Hyderabad"/>
    <s v="Night Shift"/>
    <d v="1899-12-30T22:00:00"/>
    <d v="1899-12-30T07:00:00"/>
    <n v="9.5"/>
    <n v="1.5"/>
    <x v="0"/>
    <m/>
    <n v="4"/>
    <s v="L2"/>
    <s v="M. Mahesh"/>
    <x v="2"/>
    <s v="Work From Home"/>
    <n v="26"/>
    <x v="0"/>
    <n v="44696"/>
    <n v="26000000"/>
    <s v="100% Payroll Accuracy"/>
    <n v="640000"/>
    <s v="High"/>
    <s v="Financial Compliance"/>
    <n v="0.91666666666666663"/>
    <n v="0.29166666666666669"/>
    <n v="8"/>
    <s v="Working Day"/>
    <x v="0"/>
  </r>
  <r>
    <s v="ATD00792"/>
    <d v="2025-04-29T00:00:00"/>
    <x v="1"/>
    <s v="Q2"/>
    <s v="Tuesday"/>
    <s v="EMP044"/>
    <s v="Employee 44"/>
    <x v="4"/>
    <s v="HR Executive"/>
    <s v="Hyderabad"/>
    <s v="Afternoon Shift"/>
    <d v="1899-12-30T09:00:00"/>
    <d v="1899-12-30T18:00:00"/>
    <n v="8"/>
    <n v="0"/>
    <x v="0"/>
    <m/>
    <n v="4"/>
    <s v="L4"/>
    <s v="P. Priya"/>
    <x v="0"/>
    <m/>
    <n v="30"/>
    <x v="0"/>
    <n v="44089"/>
    <n v="18000000"/>
    <s v="&lt;30 Days Hiring Cycle"/>
    <n v="560000"/>
    <s v="Medium"/>
    <s v="Hiring &amp; Retention"/>
    <n v="0.58333333333333337"/>
    <n v="0.95833333333333337"/>
    <n v="8"/>
    <s v="Working Day"/>
    <x v="0"/>
  </r>
  <r>
    <s v="ATD00793"/>
    <d v="2025-04-11T00:00:00"/>
    <x v="1"/>
    <s v="Q2"/>
    <s v="Friday"/>
    <s v="EMP011"/>
    <s v="Employee 11"/>
    <x v="3"/>
    <s v="Accountant"/>
    <s v="Coimbatore"/>
    <s v="Morning Shift"/>
    <d v="1899-12-30T09:00:00"/>
    <d v="1899-12-30T18:00:00"/>
    <n v="8"/>
    <n v="0"/>
    <x v="0"/>
    <m/>
    <n v="5"/>
    <s v="L4"/>
    <s v="M. Mahesh"/>
    <x v="1"/>
    <s v="Client Visit"/>
    <n v="33"/>
    <x v="1"/>
    <n v="44910"/>
    <n v="26000000"/>
    <s v="100% Payroll Accuracy"/>
    <n v="640000"/>
    <s v="High"/>
    <s v="Financial Compliance"/>
    <n v="0.25"/>
    <n v="0.625"/>
    <n v="8"/>
    <s v="Working Day"/>
    <x v="0"/>
  </r>
  <r>
    <s v="ATD00794"/>
    <d v="2025-03-11T00:00:00"/>
    <x v="4"/>
    <s v="Q1"/>
    <s v="Tuesday"/>
    <s v="EMP003"/>
    <s v="Employee 3"/>
    <x v="6"/>
    <s v="Sales Executive"/>
    <s v="Bengaluru"/>
    <s v="Morning Shift"/>
    <d v="1899-12-30T09:00:00"/>
    <d v="1899-12-30T18:00:00"/>
    <n v="8"/>
    <n v="0"/>
    <x v="0"/>
    <m/>
    <n v="3"/>
    <s v="L3"/>
    <s v="V. Vivek"/>
    <x v="2"/>
    <s v="Client Visit"/>
    <n v="25"/>
    <x v="1"/>
    <n v="44301"/>
    <n v="42000000"/>
    <s v="₹2.5 Cr Monthly Sales"/>
    <n v="680000"/>
    <s v="High"/>
    <s v="Revenue Achievement"/>
    <n v="0.25"/>
    <n v="0.625"/>
    <n v="8"/>
    <s v="Working Day"/>
    <x v="0"/>
  </r>
  <r>
    <s v="ATD00795"/>
    <d v="2025-04-30T00:00:00"/>
    <x v="1"/>
    <s v="Q2"/>
    <s v="Wednesday"/>
    <s v="EMP027"/>
    <s v="Employee 27"/>
    <x v="5"/>
    <s v="Marketing Executive"/>
    <s v="Chennai"/>
    <s v="Morning Shift"/>
    <m/>
    <m/>
    <m/>
    <m/>
    <x v="2"/>
    <m/>
    <m/>
    <s v="L3"/>
    <s v="S. Swetha"/>
    <x v="0"/>
    <s v="Late Login"/>
    <n v="31"/>
    <x v="1"/>
    <n v="45397"/>
    <n v="22000000"/>
    <s v="2500 Qualified Leads"/>
    <n v="590000"/>
    <s v="Medium"/>
    <s v="Lead Generation"/>
    <n v="0.25"/>
    <n v="0.625"/>
    <n v="8"/>
    <s v="Working Day"/>
    <x v="0"/>
  </r>
  <r>
    <s v="ATD00796"/>
    <d v="2025-03-17T00:00:00"/>
    <x v="4"/>
    <s v="Q1"/>
    <s v="Monday"/>
    <s v="EMP043"/>
    <s v="Employee 43"/>
    <x v="2"/>
    <s v="Software Engineer"/>
    <s v="Bengaluru"/>
    <s v="Night Shift"/>
    <d v="1899-12-30T22:00:00"/>
    <d v="1899-12-30T07:00:00"/>
    <n v="10"/>
    <n v="2"/>
    <x v="0"/>
    <m/>
    <n v="5"/>
    <s v="L4"/>
    <s v="R. Karthikeyan"/>
    <x v="3"/>
    <m/>
    <n v="29"/>
    <x v="1"/>
    <n v="43692"/>
    <n v="85000000"/>
    <s v="99.5% System Uptime"/>
    <n v="720000"/>
    <s v="High"/>
    <s v="Project Delivery"/>
    <n v="0.91666666666666663"/>
    <n v="0.29166666666666669"/>
    <n v="8"/>
    <s v="Working Day"/>
    <x v="0"/>
  </r>
  <r>
    <s v="ATD00797"/>
    <d v="2025-04-19T00:00:00"/>
    <x v="1"/>
    <s v="Q2"/>
    <s v="Saturday"/>
    <s v="EMP017"/>
    <s v="Employee 17"/>
    <x v="6"/>
    <s v="Sales Executive"/>
    <s v="Chennai"/>
    <s v="Flexible Shift"/>
    <d v="1899-12-30T09:20:00"/>
    <d v="1899-12-30T18:00:00"/>
    <n v="8"/>
    <n v="0"/>
    <x v="0"/>
    <m/>
    <n v="5"/>
    <s v="L2"/>
    <s v="V. Vivek"/>
    <x v="3"/>
    <s v="Late Login"/>
    <n v="39"/>
    <x v="1"/>
    <n v="44362"/>
    <n v="42000000"/>
    <s v="₹2.5 Cr Monthly Sales"/>
    <n v="680000"/>
    <s v="High"/>
    <s v="Revenue Achievement"/>
    <n v="0.41666666666666669"/>
    <n v="0.79166666666666663"/>
    <n v="8"/>
    <s v="Working Day"/>
    <x v="0"/>
  </r>
  <r>
    <s v="ATD00798"/>
    <d v="2025-01-19T00:00:00"/>
    <x v="2"/>
    <s v="Q1"/>
    <s v="Sunday"/>
    <s v="EMP001"/>
    <s v="Employee 1"/>
    <x v="2"/>
    <s v="Software Engineer"/>
    <s v="Coimbatore"/>
    <s v="Night Shift"/>
    <d v="1899-12-30T22:00:00"/>
    <d v="1899-12-30T07:00:00"/>
    <n v="9.5"/>
    <n v="1.5"/>
    <x v="0"/>
    <m/>
    <n v="3"/>
    <s v="L1"/>
    <s v="R. Karthikeyan"/>
    <x v="1"/>
    <s v="Client Visit"/>
    <n v="23"/>
    <x v="1"/>
    <n v="43511"/>
    <n v="85000000"/>
    <s v="99.5% System Uptime"/>
    <n v="720000"/>
    <s v="High"/>
    <s v="Project Delivery"/>
    <n v="0.91666666666666663"/>
    <n v="0.29166666666666669"/>
    <n v="8"/>
    <s v="Working Day"/>
    <x v="0"/>
  </r>
  <r>
    <s v="ATD00799"/>
    <d v="2025-02-10T00:00:00"/>
    <x v="5"/>
    <s v="Q1"/>
    <s v="Monday"/>
    <s v="EMP004"/>
    <s v="Employee 4"/>
    <x v="3"/>
    <s v="Accountant"/>
    <s v="Hyderabad"/>
    <s v="General Shift"/>
    <d v="1899-12-30T09:00:00"/>
    <d v="1899-12-30T18:00:00"/>
    <n v="8"/>
    <n v="0"/>
    <x v="0"/>
    <m/>
    <n v="5"/>
    <s v="L1"/>
    <s v="M. Mahesh"/>
    <x v="3"/>
    <m/>
    <n v="26"/>
    <x v="0"/>
    <n v="44696"/>
    <n v="26000000"/>
    <s v="100% Payroll Accuracy"/>
    <n v="640000"/>
    <s v="High"/>
    <s v="Financial Compliance"/>
    <n v="0.375"/>
    <n v="0.75"/>
    <n v="8"/>
    <s v="Working Day"/>
    <x v="0"/>
  </r>
  <r>
    <s v="ATD00800"/>
    <d v="2025-04-25T00:00:00"/>
    <x v="1"/>
    <s v="Q2"/>
    <s v="Friday"/>
    <s v="EMP047"/>
    <s v="Employee 47"/>
    <x v="1"/>
    <s v="Operations Executive"/>
    <s v="Chennai"/>
    <s v="Night Shift"/>
    <m/>
    <m/>
    <m/>
    <m/>
    <x v="2"/>
    <m/>
    <m/>
    <s v="L2"/>
    <s v="D. Dinesh"/>
    <x v="1"/>
    <s v="Late Login"/>
    <n v="33"/>
    <x v="1"/>
    <n v="45275"/>
    <n v="34000000"/>
    <s v="95% Process Efficiency"/>
    <n v="610000"/>
    <s v="High"/>
    <s v="Operational Efficiency"/>
    <n v="0.91666666666666663"/>
    <n v="0.29166666666666669"/>
    <n v="8"/>
    <s v="Working Day"/>
    <x v="0"/>
  </r>
  <r>
    <s v="ATD00001"/>
    <d v="2025-06-19T00:00:00"/>
    <x v="0"/>
    <s v="Q2"/>
    <s v="Thursday"/>
    <s v="EMP014"/>
    <s v="Employee 14"/>
    <x v="0"/>
    <s v="Support Executive"/>
    <s v="Hyderabad"/>
    <s v="Morning Shift"/>
    <d v="1899-12-30T09:00:00"/>
    <d v="1899-12-30T18:00:00"/>
    <n v="8"/>
    <n v="0"/>
    <x v="0"/>
    <m/>
    <n v="4"/>
    <s v="L4"/>
    <s v="V. Vinoth"/>
    <x v="0"/>
    <s v="Client Visit"/>
    <n v="36"/>
    <x v="0"/>
    <n v="43174"/>
    <n v="24000000"/>
    <s v="90% Customer Satisfaction"/>
    <n v="520000"/>
    <s v="High"/>
    <s v="Customer Satisfaction"/>
    <n v="0.25"/>
    <n v="0.625"/>
    <n v="8"/>
    <s v="Working Day"/>
    <x v="0"/>
  </r>
  <r>
    <s v="ATD00002"/>
    <d v="2025-04-19T00:00:00"/>
    <x v="1"/>
    <s v="Q2"/>
    <s v="Saturday"/>
    <s v="EMP040"/>
    <s v="Employee 40"/>
    <x v="1"/>
    <s v="Operations Executive"/>
    <s v="Madurai"/>
    <s v="Flexible Shift"/>
    <d v="1899-12-30T09:00:00"/>
    <d v="1899-12-30T18:00:00"/>
    <n v="8"/>
    <n v="0"/>
    <x v="0"/>
    <m/>
    <n v="5"/>
    <s v="L2"/>
    <s v="D. Dinesh"/>
    <x v="1"/>
    <m/>
    <n v="26"/>
    <x v="1"/>
    <n v="45061"/>
    <n v="34000000"/>
    <s v="95% Process Efficiency"/>
    <n v="610000"/>
    <s v="High"/>
    <s v="Operational Efficiency"/>
    <n v="0.41666666666666669"/>
    <n v="0.79166666666666663"/>
    <n v="8"/>
    <s v="Working Day"/>
    <x v="0"/>
  </r>
  <r>
    <s v="ATD00003"/>
    <d v="2025-01-01T00:00:00"/>
    <x v="2"/>
    <s v="Q1"/>
    <s v="Wednesday"/>
    <s v="EMP005"/>
    <s v="Employee 5"/>
    <x v="1"/>
    <s v="Operations Executive"/>
    <s v="Madurai"/>
    <s v="Afternoon Shift"/>
    <d v="1899-12-30T09:00:00"/>
    <d v="1899-12-30T18:00:00"/>
    <n v="8"/>
    <n v="0"/>
    <x v="0"/>
    <m/>
    <n v="4"/>
    <s v="L2"/>
    <s v="D. Dinesh"/>
    <x v="2"/>
    <m/>
    <n v="27"/>
    <x v="1"/>
    <n v="45092"/>
    <n v="34000000"/>
    <s v="95% Process Efficiency"/>
    <n v="610000"/>
    <s v="High"/>
    <s v="Operational Efficiency"/>
    <n v="0.58333333333333337"/>
    <n v="0.95833333333333337"/>
    <n v="8"/>
    <s v="New Year's Day"/>
    <x v="1"/>
  </r>
  <r>
    <s v="ATD00004"/>
    <d v="2025-05-03T00:00:00"/>
    <x v="3"/>
    <s v="Q2"/>
    <s v="Saturday"/>
    <s v="EMP019"/>
    <s v="Employee 19"/>
    <x v="1"/>
    <s v="Operations Executive"/>
    <s v="Hyderabad"/>
    <s v="Afternoon Shift"/>
    <d v="1899-12-30T09:00:00"/>
    <d v="1899-12-30T18:00:00"/>
    <n v="8"/>
    <n v="0"/>
    <x v="0"/>
    <m/>
    <m/>
    <s v="L2"/>
    <s v="D. Dinesh"/>
    <x v="1"/>
    <s v="Late Login"/>
    <n v="23"/>
    <x v="0"/>
    <n v="45153"/>
    <n v="34000000"/>
    <s v="95% Process Efficiency"/>
    <n v="610000"/>
    <s v="High"/>
    <s v="Operational Efficiency"/>
    <n v="0.58333333333333337"/>
    <n v="0.95833333333333337"/>
    <n v="8"/>
    <s v="Working Day"/>
    <x v="0"/>
  </r>
  <r>
    <s v="ATD00005"/>
    <d v="2025-01-01T00:00:00"/>
    <x v="2"/>
    <s v="Q1"/>
    <s v="Wednesday"/>
    <s v="EMP001"/>
    <s v="Employee 1"/>
    <x v="2"/>
    <s v="Software Engineer"/>
    <s v="Coimbatore"/>
    <s v="Morning Shift"/>
    <d v="1899-12-30T09:00:00"/>
    <d v="1899-12-30T18:00:00"/>
    <n v="9"/>
    <n v="1"/>
    <x v="0"/>
    <m/>
    <n v="4"/>
    <s v="L3"/>
    <s v="R. Karthikeyan"/>
    <x v="0"/>
    <s v="Work From Home"/>
    <n v="23"/>
    <x v="1"/>
    <n v="43511"/>
    <n v="85000000"/>
    <s v="99.5% System Uptime"/>
    <n v="720000"/>
    <s v="High"/>
    <s v="Project Delivery"/>
    <n v="0.25"/>
    <n v="0.625"/>
    <n v="8"/>
    <s v="New Year's Day"/>
    <x v="1"/>
  </r>
  <r>
    <s v="ATD00006"/>
    <d v="2025-03-06T00:00:00"/>
    <x v="4"/>
    <s v="Q1"/>
    <s v="Thursday"/>
    <s v="EMP042"/>
    <s v="Employee 42"/>
    <x v="0"/>
    <s v="Support Executive"/>
    <s v="Chennai"/>
    <s v="General Shift"/>
    <d v="1899-12-30T09:00:00"/>
    <d v="1899-12-30T18:00:00"/>
    <n v="8"/>
    <n v="0"/>
    <x v="0"/>
    <m/>
    <n v="5"/>
    <s v="L3"/>
    <s v="V. Vinoth"/>
    <x v="2"/>
    <m/>
    <n v="28"/>
    <x v="0"/>
    <n v="43296"/>
    <n v="24000000"/>
    <s v="90% Customer Satisfaction"/>
    <n v="520000"/>
    <s v="High"/>
    <s v="Customer Satisfaction"/>
    <n v="0.375"/>
    <n v="0.75"/>
    <n v="8"/>
    <s v="Working Day"/>
    <x v="0"/>
  </r>
  <r>
    <s v="ATD00007"/>
    <d v="2025-01-30T00:00:00"/>
    <x v="2"/>
    <s v="Q1"/>
    <s v="Thursday"/>
    <s v="EMP004"/>
    <s v="Employee 4"/>
    <x v="3"/>
    <s v="Accountant"/>
    <s v="Hyderabad"/>
    <s v="Night Shift"/>
    <m/>
    <m/>
    <m/>
    <m/>
    <x v="1"/>
    <s v="Earned Leave"/>
    <m/>
    <s v="L2"/>
    <s v="M. Mahesh"/>
    <x v="3"/>
    <m/>
    <n v="26"/>
    <x v="0"/>
    <n v="44696"/>
    <n v="26000000"/>
    <s v="100% Payroll Accuracy"/>
    <n v="640000"/>
    <s v="High"/>
    <s v="Financial Compliance"/>
    <n v="0.91666666666666663"/>
    <n v="0.29166666666666669"/>
    <n v="8"/>
    <s v="Working Day"/>
    <x v="0"/>
  </r>
  <r>
    <s v="ATD00008"/>
    <d v="2025-06-24T00:00:00"/>
    <x v="0"/>
    <s v="Q2"/>
    <s v="Tuesday"/>
    <s v="EMP030"/>
    <s v="Employee 30"/>
    <x v="4"/>
    <s v="HR Executive"/>
    <s v="Madurai"/>
    <s v="Morning Shift"/>
    <d v="1899-12-30T09:00:00"/>
    <d v="1899-12-30T18:00:00"/>
    <n v="8"/>
    <n v="0"/>
    <x v="0"/>
    <m/>
    <n v="4"/>
    <s v="L1"/>
    <s v="P. Priya"/>
    <x v="0"/>
    <s v="Client Visit"/>
    <n v="34"/>
    <x v="0"/>
    <n v="44027"/>
    <n v="18000000"/>
    <s v="&lt;30 Days Hiring Cycle"/>
    <n v="560000"/>
    <s v="Medium"/>
    <s v="Hiring &amp; Retention"/>
    <n v="0.25"/>
    <n v="0.625"/>
    <n v="8"/>
    <s v="Working D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B576F-B230-4BA9-934E-97021969E5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9" firstHeaderRow="1" firstDataRow="1" firstDataCol="1"/>
  <pivotFields count="35">
    <pivotField showAll="0"/>
    <pivotField showAll="0"/>
    <pivotField showAll="0">
      <items count="7">
        <item x="2"/>
        <item x="5"/>
        <item x="4"/>
        <item x="1"/>
        <item x="3"/>
        <item x="0"/>
        <item t="default"/>
      </items>
    </pivotField>
    <pivotField showAll="0"/>
    <pivotField showAll="0"/>
    <pivotField showAll="0"/>
    <pivotField showAll="0"/>
    <pivotField axis="axisRow" showAll="0">
      <items count="8">
        <item x="0"/>
        <item x="3"/>
        <item x="4"/>
        <item x="2"/>
        <item x="5"/>
        <item x="1"/>
        <item x="6"/>
        <item t="default"/>
      </items>
    </pivotField>
    <pivotField showAll="0"/>
    <pivotField showAll="0"/>
    <pivotField showAll="0"/>
    <pivotField showAll="0"/>
    <pivotField showAll="0"/>
    <pivotField showAll="0"/>
    <pivotField showAll="0"/>
    <pivotField dataField="1" showAll="0">
      <items count="4">
        <item x="2"/>
        <item x="1"/>
        <item x="0"/>
        <item t="default"/>
      </items>
    </pivotField>
    <pivotField showAll="0"/>
    <pivotField showAll="0"/>
    <pivotField showAll="0"/>
    <pivotField showAll="0"/>
    <pivotField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Count of Attendance_Status" fld="15" subtotal="count" baseField="0" baseItem="0"/>
  </dataFields>
  <chartFormats count="16">
    <chartFormat chart="4" format="40" series="1">
      <pivotArea type="data" outline="0" fieldPosition="0">
        <references count="1">
          <reference field="4294967294" count="1" selected="0">
            <x v="0"/>
          </reference>
        </references>
      </pivotArea>
    </chartFormat>
    <chartFormat chart="4" format="41">
      <pivotArea type="data" outline="0" fieldPosition="0">
        <references count="2">
          <reference field="4294967294" count="1" selected="0">
            <x v="0"/>
          </reference>
          <reference field="7" count="1" selected="0">
            <x v="0"/>
          </reference>
        </references>
      </pivotArea>
    </chartFormat>
    <chartFormat chart="4" format="42">
      <pivotArea type="data" outline="0" fieldPosition="0">
        <references count="2">
          <reference field="4294967294" count="1" selected="0">
            <x v="0"/>
          </reference>
          <reference field="7" count="1" selected="0">
            <x v="1"/>
          </reference>
        </references>
      </pivotArea>
    </chartFormat>
    <chartFormat chart="4" format="43">
      <pivotArea type="data" outline="0" fieldPosition="0">
        <references count="2">
          <reference field="4294967294" count="1" selected="0">
            <x v="0"/>
          </reference>
          <reference field="7" count="1" selected="0">
            <x v="2"/>
          </reference>
        </references>
      </pivotArea>
    </chartFormat>
    <chartFormat chart="4" format="44">
      <pivotArea type="data" outline="0" fieldPosition="0">
        <references count="2">
          <reference field="4294967294" count="1" selected="0">
            <x v="0"/>
          </reference>
          <reference field="7" count="1" selected="0">
            <x v="3"/>
          </reference>
        </references>
      </pivotArea>
    </chartFormat>
    <chartFormat chart="4" format="45">
      <pivotArea type="data" outline="0" fieldPosition="0">
        <references count="2">
          <reference field="4294967294" count="1" selected="0">
            <x v="0"/>
          </reference>
          <reference field="7" count="1" selected="0">
            <x v="4"/>
          </reference>
        </references>
      </pivotArea>
    </chartFormat>
    <chartFormat chart="4" format="46">
      <pivotArea type="data" outline="0" fieldPosition="0">
        <references count="2">
          <reference field="4294967294" count="1" selected="0">
            <x v="0"/>
          </reference>
          <reference field="7" count="1" selected="0">
            <x v="5"/>
          </reference>
        </references>
      </pivotArea>
    </chartFormat>
    <chartFormat chart="4" format="47">
      <pivotArea type="data" outline="0" fieldPosition="0">
        <references count="2">
          <reference field="4294967294" count="1" selected="0">
            <x v="0"/>
          </reference>
          <reference field="7" count="1" selected="0">
            <x v="6"/>
          </reference>
        </references>
      </pivotArea>
    </chartFormat>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7" count="1" selected="0">
            <x v="0"/>
          </reference>
        </references>
      </pivotArea>
    </chartFormat>
    <chartFormat chart="18" format="34">
      <pivotArea type="data" outline="0" fieldPosition="0">
        <references count="2">
          <reference field="4294967294" count="1" selected="0">
            <x v="0"/>
          </reference>
          <reference field="7" count="1" selected="0">
            <x v="1"/>
          </reference>
        </references>
      </pivotArea>
    </chartFormat>
    <chartFormat chart="18" format="35">
      <pivotArea type="data" outline="0" fieldPosition="0">
        <references count="2">
          <reference field="4294967294" count="1" selected="0">
            <x v="0"/>
          </reference>
          <reference field="7" count="1" selected="0">
            <x v="2"/>
          </reference>
        </references>
      </pivotArea>
    </chartFormat>
    <chartFormat chart="18" format="36">
      <pivotArea type="data" outline="0" fieldPosition="0">
        <references count="2">
          <reference field="4294967294" count="1" selected="0">
            <x v="0"/>
          </reference>
          <reference field="7" count="1" selected="0">
            <x v="3"/>
          </reference>
        </references>
      </pivotArea>
    </chartFormat>
    <chartFormat chart="18" format="37">
      <pivotArea type="data" outline="0" fieldPosition="0">
        <references count="2">
          <reference field="4294967294" count="1" selected="0">
            <x v="0"/>
          </reference>
          <reference field="7" count="1" selected="0">
            <x v="4"/>
          </reference>
        </references>
      </pivotArea>
    </chartFormat>
    <chartFormat chart="18" format="38">
      <pivotArea type="data" outline="0" fieldPosition="0">
        <references count="2">
          <reference field="4294967294" count="1" selected="0">
            <x v="0"/>
          </reference>
          <reference field="7" count="1" selected="0">
            <x v="5"/>
          </reference>
        </references>
      </pivotArea>
    </chartFormat>
    <chartFormat chart="18" format="39">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5F98E2-B9F8-4355-84C8-5F512D9EAE7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X1:Y5" firstHeaderRow="1" firstDataRow="1" firstDataCol="1"/>
  <pivotFields count="35">
    <pivotField dataField="1" showAll="0"/>
    <pivotField showAll="0"/>
    <pivotField showAll="0">
      <items count="7">
        <item x="2"/>
        <item x="5"/>
        <item x="4"/>
        <item x="1"/>
        <item x="3"/>
        <item x="0"/>
        <item t="default"/>
      </items>
    </pivotField>
    <pivotField showAll="0"/>
    <pivotField showAll="0"/>
    <pivotField showAll="0"/>
    <pivotField showAll="0"/>
    <pivotField showAll="0">
      <items count="8">
        <item x="0"/>
        <item x="3"/>
        <item x="4"/>
        <item x="2"/>
        <item x="5"/>
        <item x="1"/>
        <item x="6"/>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Attendance_ID" fld="0"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5" count="1" selected="0">
            <x v="0"/>
          </reference>
        </references>
      </pivotArea>
    </chartFormat>
    <chartFormat chart="5" format="2">
      <pivotArea type="data" outline="0" fieldPosition="0">
        <references count="2">
          <reference field="4294967294" count="1" selected="0">
            <x v="0"/>
          </reference>
          <reference field="15" count="1" selected="0">
            <x v="1"/>
          </reference>
        </references>
      </pivotArea>
    </chartFormat>
    <chartFormat chart="5" format="3">
      <pivotArea type="data" outline="0" fieldPosition="0">
        <references count="2">
          <reference field="4294967294" count="1" selected="0">
            <x v="0"/>
          </reference>
          <reference field="15"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5" count="1" selected="0">
            <x v="0"/>
          </reference>
        </references>
      </pivotArea>
    </chartFormat>
    <chartFormat chart="9" format="10">
      <pivotArea type="data" outline="0" fieldPosition="0">
        <references count="2">
          <reference field="4294967294" count="1" selected="0">
            <x v="0"/>
          </reference>
          <reference field="15" count="1" selected="0">
            <x v="1"/>
          </reference>
        </references>
      </pivotArea>
    </chartFormat>
    <chartFormat chart="9"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D8B8C8-D753-4E80-A257-26375DAA1C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9" firstHeaderRow="1" firstDataRow="1" firstDataCol="1"/>
  <pivotFields count="35">
    <pivotField showAll="0"/>
    <pivotField showAll="0"/>
    <pivotField showAll="0">
      <items count="7">
        <item x="2"/>
        <item x="5"/>
        <item x="4"/>
        <item x="1"/>
        <item x="3"/>
        <item x="0"/>
        <item t="default"/>
      </items>
    </pivotField>
    <pivotField showAll="0"/>
    <pivotField showAll="0"/>
    <pivotField showAll="0"/>
    <pivotField showAll="0"/>
    <pivotField axis="axisRow" showAll="0">
      <items count="8">
        <item x="0"/>
        <item x="3"/>
        <item x="4"/>
        <item x="2"/>
        <item x="5"/>
        <item x="1"/>
        <item x="6"/>
        <item t="default"/>
      </items>
    </pivotField>
    <pivotField showAll="0"/>
    <pivotField showAll="0"/>
    <pivotField showAll="0"/>
    <pivotField showAll="0"/>
    <pivotField showAll="0"/>
    <pivotField showAll="0"/>
    <pivotField dataField="1" showAll="0"/>
    <pivotField showAll="0">
      <items count="4">
        <item x="2"/>
        <item x="1"/>
        <item x="0"/>
        <item t="default"/>
      </items>
    </pivotField>
    <pivotField showAll="0"/>
    <pivotField showAll="0"/>
    <pivotField showAll="0"/>
    <pivotField showAll="0"/>
    <pivotField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Average of Overtime_Hours" fld="14" subtotal="average" baseField="7" baseItem="0" numFmtId="2"/>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D0E22-8A4A-444D-A0B2-BC18F06A6F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T1:U6" firstHeaderRow="1" firstDataRow="1" firstDataCol="1"/>
  <pivotFields count="35">
    <pivotField dataField="1" showAll="0"/>
    <pivotField showAll="0"/>
    <pivotField showAll="0">
      <items count="7">
        <item x="2"/>
        <item x="5"/>
        <item x="4"/>
        <item x="1"/>
        <item x="3"/>
        <item x="0"/>
        <item t="default"/>
      </items>
    </pivotField>
    <pivotField showAll="0"/>
    <pivotField showAll="0"/>
    <pivotField showAll="0"/>
    <pivotField showAll="0"/>
    <pivotField showAll="0">
      <items count="8">
        <item x="0"/>
        <item x="3"/>
        <item x="4"/>
        <item x="2"/>
        <item x="5"/>
        <item x="1"/>
        <item x="6"/>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s>
  <rowFields count="1">
    <field x="34"/>
  </rowFields>
  <rowItems count="5">
    <i>
      <x/>
    </i>
    <i>
      <x v="1"/>
    </i>
    <i>
      <x v="2"/>
    </i>
    <i>
      <x v="3"/>
    </i>
    <i t="grand">
      <x/>
    </i>
  </rowItems>
  <colItems count="1">
    <i/>
  </colItems>
  <dataFields count="1">
    <dataField name="Count of Attendance_ID" fld="0" subtotal="count"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4" count="1" selected="0">
            <x v="0"/>
          </reference>
        </references>
      </pivotArea>
    </chartFormat>
    <chartFormat chart="3" format="2">
      <pivotArea type="data" outline="0" fieldPosition="0">
        <references count="2">
          <reference field="4294967294" count="1" selected="0">
            <x v="0"/>
          </reference>
          <reference field="34" count="1" selected="0">
            <x v="1"/>
          </reference>
        </references>
      </pivotArea>
    </chartFormat>
    <chartFormat chart="3" format="3">
      <pivotArea type="data" outline="0" fieldPosition="0">
        <references count="2">
          <reference field="4294967294" count="1" selected="0">
            <x v="0"/>
          </reference>
          <reference field="34" count="1" selected="0">
            <x v="2"/>
          </reference>
        </references>
      </pivotArea>
    </chartFormat>
    <chartFormat chart="3" format="4">
      <pivotArea type="data" outline="0" fieldPosition="0">
        <references count="2">
          <reference field="4294967294" count="1" selected="0">
            <x v="0"/>
          </reference>
          <reference field="34"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4" count="1" selected="0">
            <x v="0"/>
          </reference>
        </references>
      </pivotArea>
    </chartFormat>
    <chartFormat chart="15" format="12">
      <pivotArea type="data" outline="0" fieldPosition="0">
        <references count="2">
          <reference field="4294967294" count="1" selected="0">
            <x v="0"/>
          </reference>
          <reference field="34" count="1" selected="0">
            <x v="1"/>
          </reference>
        </references>
      </pivotArea>
    </chartFormat>
    <chartFormat chart="15" format="13">
      <pivotArea type="data" outline="0" fieldPosition="0">
        <references count="2">
          <reference field="4294967294" count="1" selected="0">
            <x v="0"/>
          </reference>
          <reference field="34" count="1" selected="0">
            <x v="2"/>
          </reference>
        </references>
      </pivotArea>
    </chartFormat>
    <chartFormat chart="15" format="14">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B8E9B4-CF0E-471E-A842-CC2C7E5B1E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8" firstHeaderRow="1" firstDataRow="1" firstDataCol="1"/>
  <pivotFields count="35">
    <pivotField dataField="1" showAll="0"/>
    <pivotField showAll="0"/>
    <pivotField axis="axisRow" showAll="0">
      <items count="7">
        <item x="2"/>
        <item x="5"/>
        <item x="4"/>
        <item x="1"/>
        <item x="3"/>
        <item x="0"/>
        <item t="default"/>
      </items>
    </pivotField>
    <pivotField showAll="0"/>
    <pivotField showAll="0"/>
    <pivotField showAll="0"/>
    <pivotField showAll="0"/>
    <pivotField showAll="0">
      <items count="8">
        <item x="0"/>
        <item x="3"/>
        <item x="4"/>
        <item x="2"/>
        <item x="5"/>
        <item x="1"/>
        <item x="6"/>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Attendance_ID" fld="0" subtotal="count"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3F5C1F-5D49-4E88-9296-6D88B0D7DC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1:N5" firstHeaderRow="1" firstDataRow="1" firstDataCol="1"/>
  <pivotFields count="35">
    <pivotField dataField="1" showAll="0"/>
    <pivotField showAll="0"/>
    <pivotField showAll="0">
      <items count="7">
        <item x="2"/>
        <item x="5"/>
        <item x="4"/>
        <item x="1"/>
        <item x="3"/>
        <item x="0"/>
        <item t="default"/>
      </items>
    </pivotField>
    <pivotField showAll="0"/>
    <pivotField showAll="0"/>
    <pivotField showAll="0"/>
    <pivotField showAll="0"/>
    <pivotField showAll="0">
      <items count="8">
        <item x="0"/>
        <item x="3"/>
        <item x="4"/>
        <item x="2"/>
        <item x="5"/>
        <item x="1"/>
        <item x="6"/>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4">
    <i>
      <x/>
    </i>
    <i>
      <x v="1"/>
    </i>
    <i>
      <x v="2"/>
    </i>
    <i t="grand">
      <x/>
    </i>
  </rowItems>
  <colItems count="1">
    <i/>
  </colItems>
  <dataFields count="1">
    <dataField name="Count of Attendance_ID" fld="0"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0" count="1" selected="0">
            <x v="2"/>
          </reference>
        </references>
      </pivotArea>
    </chartFormat>
    <chartFormat chart="2" format="2">
      <pivotArea type="data" outline="0" fieldPosition="0">
        <references count="2">
          <reference field="4294967294" count="1" selected="0">
            <x v="0"/>
          </reference>
          <reference field="20"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 chart="2" format="4">
      <pivotArea type="data" outline="0" fieldPosition="0">
        <references count="2">
          <reference field="4294967294" count="1" selected="0">
            <x v="0"/>
          </reference>
          <reference field="20" count="1" selected="0">
            <x v="3"/>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20" count="1" selected="0">
            <x v="0"/>
          </reference>
        </references>
      </pivotArea>
    </chartFormat>
    <chartFormat chart="14" format="11">
      <pivotArea type="data" outline="0" fieldPosition="0">
        <references count="2">
          <reference field="4294967294" count="1" selected="0">
            <x v="0"/>
          </reference>
          <reference field="20" count="1" selected="0">
            <x v="1"/>
          </reference>
        </references>
      </pivotArea>
    </chartFormat>
    <chartFormat chart="14" format="12">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01395E-5C79-4D8F-97DB-7113695550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Q4" firstHeaderRow="1" firstDataRow="1" firstDataCol="1"/>
  <pivotFields count="35">
    <pivotField showAll="0"/>
    <pivotField showAll="0"/>
    <pivotField showAll="0">
      <items count="7">
        <item x="2"/>
        <item x="5"/>
        <item x="4"/>
        <item x="1"/>
        <item x="3"/>
        <item x="0"/>
        <item t="default"/>
      </items>
    </pivotField>
    <pivotField showAll="0"/>
    <pivotField showAll="0"/>
    <pivotField dataField="1" showAll="0"/>
    <pivotField showAll="0"/>
    <pivotField showAll="0">
      <items count="8">
        <item x="0"/>
        <item x="3"/>
        <item x="4"/>
        <item x="2"/>
        <item x="5"/>
        <item x="1"/>
        <item x="6"/>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5">
        <item x="1"/>
        <item x="2"/>
        <item x="3"/>
        <item h="1"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3">
    <i>
      <x/>
    </i>
    <i>
      <x v="1"/>
    </i>
    <i t="grand">
      <x/>
    </i>
  </rowItems>
  <colItems count="1">
    <i/>
  </colItems>
  <dataFields count="1">
    <dataField name="Count of Employee_ID" fld="5"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0"/>
          </reference>
        </references>
      </pivotArea>
    </chartFormat>
    <chartFormat chart="1" format="2">
      <pivotArea type="data" outline="0" fieldPosition="0">
        <references count="2">
          <reference field="4294967294" count="1" selected="0">
            <x v="0"/>
          </reference>
          <reference field="2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3" count="1" selected="0">
            <x v="0"/>
          </reference>
        </references>
      </pivotArea>
    </chartFormat>
    <chartFormat chart="5" format="8">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785F3F-486D-4D38-A311-2C9597AAE7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9" firstHeaderRow="1" firstDataRow="1" firstDataCol="1"/>
  <pivotFields count="35">
    <pivotField showAll="0"/>
    <pivotField showAll="0"/>
    <pivotField showAll="0">
      <items count="7">
        <item x="2"/>
        <item x="5"/>
        <item x="4"/>
        <item x="1"/>
        <item x="3"/>
        <item x="0"/>
        <item t="default"/>
      </items>
    </pivotField>
    <pivotField showAll="0"/>
    <pivotField showAll="0"/>
    <pivotField showAll="0"/>
    <pivotField showAll="0"/>
    <pivotField axis="axisRow" showAll="0">
      <items count="8">
        <item x="0"/>
        <item x="3"/>
        <item x="4"/>
        <item x="2"/>
        <item x="5"/>
        <item x="1"/>
        <item x="6"/>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dataField="1" showAll="0"/>
    <pivotField showAll="0"/>
    <pivotField showAll="0"/>
    <pivotField showAll="0">
      <items count="5">
        <item x="1"/>
        <item x="2"/>
        <item x="3"/>
        <item h="1"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Average of Performance_Rating" fld="17" subtotal="average" baseField="7" baseItem="0" numFmtId="2"/>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EC6CD5-5028-4443-9975-49BD658B6CF9}" sourceName="Month">
  <pivotTables>
    <pivotTable tabId="8" name="PivotTable5"/>
    <pivotTable tabId="8" name="PivotTable1"/>
    <pivotTable tabId="8" name="PivotTable3"/>
    <pivotTable tabId="8" name="PivotTable4"/>
    <pivotTable tabId="8" name="PivotTable6"/>
    <pivotTable tabId="8" name="PivotTable7"/>
    <pivotTable tabId="8" name="PivotTable8"/>
    <pivotTable tabId="8" name="PivotTable9"/>
  </pivotTables>
  <data>
    <tabular pivotCacheId="322930191">
      <items count="6">
        <i x="2" s="1"/>
        <i x="5"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33DCB07-B909-46FD-B23C-C5CCCF6BF7AD}" sourceName="Department">
  <pivotTables>
    <pivotTable tabId="8" name="PivotTable5"/>
    <pivotTable tabId="8" name="PivotTable1"/>
    <pivotTable tabId="8" name="PivotTable3"/>
    <pivotTable tabId="8" name="PivotTable4"/>
    <pivotTable tabId="8" name="PivotTable6"/>
    <pivotTable tabId="8" name="PivotTable7"/>
    <pivotTable tabId="8" name="PivotTable8"/>
    <pivotTable tabId="8" name="PivotTable9"/>
  </pivotTables>
  <data>
    <tabular pivotCacheId="322930191">
      <items count="7">
        <i x="0" s="1"/>
        <i x="3" s="1"/>
        <i x="4" s="1"/>
        <i x="2" s="1"/>
        <i x="5"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Status" xr10:uid="{F6821AB8-8143-42E4-BE40-80B49010DAFF}" sourceName="Attendance_Status">
  <pivotTables>
    <pivotTable tabId="8" name="PivotTable5"/>
    <pivotTable tabId="8" name="PivotTable1"/>
    <pivotTable tabId="8" name="PivotTable3"/>
    <pivotTable tabId="8" name="PivotTable4"/>
    <pivotTable tabId="8" name="PivotTable6"/>
    <pivotTable tabId="8" name="PivotTable7"/>
    <pivotTable tabId="8" name="PivotTable8"/>
    <pivotTable tabId="8" name="PivotTable9"/>
  </pivotTables>
  <data>
    <tabular pivotCacheId="32293019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D58FD4-8F5C-4232-BF71-E11FDA7FF4C3}" sourceName="Gender">
  <pivotTables>
    <pivotTable tabId="8" name="PivotTable5"/>
    <pivotTable tabId="8" name="PivotTable1"/>
    <pivotTable tabId="8" name="PivotTable3"/>
    <pivotTable tabId="8" name="PivotTable4"/>
    <pivotTable tabId="8" name="PivotTable6"/>
    <pivotTable tabId="8" name="PivotTable7"/>
    <pivotTable tabId="8" name="PivotTable8"/>
    <pivotTable tabId="8" name="PivotTable9"/>
  </pivotTables>
  <data>
    <tabular pivotCacheId="32293019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1" xr10:uid="{DD86EB5D-F14F-44D7-A893-B4417AB587AD}" sourceName="Work_Mode">
  <pivotTables>
    <pivotTable tabId="8" name="PivotTable6"/>
    <pivotTable tabId="8" name="PivotTable1"/>
    <pivotTable tabId="8" name="PivotTable3"/>
    <pivotTable tabId="8" name="PivotTable4"/>
    <pivotTable tabId="8" name="PivotTable5"/>
    <pivotTable tabId="8" name="PivotTable7"/>
    <pivotTable tabId="8" name="PivotTable8"/>
    <pivotTable tabId="8" name="PivotTable9"/>
  </pivotTables>
  <data>
    <tabular pivotCacheId="322930191">
      <items count="4">
        <i x="1" s="1"/>
        <i x="2" s="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1A76724-3FCB-49A4-B560-A410DBA6E1AA}" cache="Slicer_Month" caption="Month" rowHeight="234950"/>
  <slicer name="Department" xr10:uid="{0CD736D1-8427-4F68-90D9-7AC2303E8F99}" cache="Slicer_Department" caption="Department" rowHeight="234950"/>
  <slicer name="Attendance_Status" xr10:uid="{8B25CA8C-13E4-474B-93E1-2936E38F4F30}" cache="Slicer_Attendance_Status" caption="Attendance_Status" rowHeight="234950"/>
  <slicer name="Gender" xr10:uid="{D9066F29-6DEE-4425-9DCF-19F33619903F}" cache="Slicer_Gender" caption="Gender" rowHeight="234950"/>
  <slicer name="Work_Mode 1" xr10:uid="{D605C8A0-1205-4AA3-ACD9-B0071D8603F2}" cache="Slicer_Work_Mode1" caption="Work_Mode" rowHeight="234950"/>
  <slicer name="Work_Mode" xr10:uid="{D96E7970-885B-4444-8790-11265D5015B6}" cache="Slicer_Work_Mode1" caption="Work_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FB2ADAA5-8FE0-420E-8783-8A8E9397153C}" cache="Slicer_Month" caption="Month" style="SlicerStyleDark1" rowHeight="234950"/>
  <slicer name="Department 2" xr10:uid="{9C3C1BC6-167B-4BB8-9C04-B20FCFDB4F52}" cache="Slicer_Department" caption="Department" columnCount="2" style="SlicerStyleDark1" rowHeight="234950"/>
  <slicer name="Attendance_Status 2" xr10:uid="{E9850DD1-8399-4800-A09A-7B50A4F24124}" cache="Slicer_Attendance_Status" caption="Attendance_Status" style="SlicerStyleDark1" rowHeight="234950"/>
  <slicer name="Gender 2" xr10:uid="{35EB346C-0B7D-4BDE-8F90-9497842F05EA}" cache="Slicer_Gender" caption="Gender" columnCount="2" style="SlicerStyleDark1" rowHeight="234950"/>
  <slicer name="Work_Mode 3" xr10:uid="{12523941-4B9F-4A78-972B-5173F083CF08}" cache="Slicer_Work_Mode1" caption="Work_Mod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7EC9C-0E78-4BD6-B975-3289EEB2930A}" name="tblAttendance" displayName="tblAttendance" ref="A1:V809" totalsRowShown="0">
  <autoFilter ref="A1:V809" xr:uid="{B0B7EC9C-0E78-4BD6-B975-3289EEB2930A}"/>
  <tableColumns count="22">
    <tableColumn id="1" xr3:uid="{C9C7B3E5-32BA-494B-93F0-D7B8F8DCDC6F}" name="Attendance_ID"/>
    <tableColumn id="2" xr3:uid="{262BAB35-D6F9-4787-B931-70FE4358F3A5}" name="Attendance_Date" dataDxfId="24"/>
    <tableColumn id="3" xr3:uid="{123B0E57-E002-4628-8CC5-2A96F6838679}" name="Month"/>
    <tableColumn id="4" xr3:uid="{AFFE2105-844A-4F0C-998C-19AAD6D78E69}" name="Quarter"/>
    <tableColumn id="5" xr3:uid="{A5AFC0C1-A9A8-415B-B4FE-AFC64A463D8C}" name="Weekday"/>
    <tableColumn id="6" xr3:uid="{85F882A5-65CD-4D53-8277-20881BCC480E}" name="Employee_ID"/>
    <tableColumn id="7" xr3:uid="{3101166A-9280-408E-A6D0-62A4172B7FF3}" name="Employee_Name"/>
    <tableColumn id="8" xr3:uid="{A6086AB9-2FF0-4834-81AD-88B1C883ADD9}" name="Department"/>
    <tableColumn id="9" xr3:uid="{0D5F29EF-5BD0-4998-9520-E4AEBA3146A0}" name="Designation"/>
    <tableColumn id="10" xr3:uid="{E3865B20-1FC0-47E2-8024-8B89022F7000}" name="Branch"/>
    <tableColumn id="11" xr3:uid="{80B9CECB-D535-45C2-901F-1EEF01E9BE9B}" name="Shift"/>
    <tableColumn id="12" xr3:uid="{5BEFB6C6-C5FA-4FA4-B7B4-2E24E129831A}" name="Login_Time" dataDxfId="23"/>
    <tableColumn id="13" xr3:uid="{B2CE697D-CDCC-4F1D-B358-0DDF8D355619}" name="Logout_Time" dataDxfId="22"/>
    <tableColumn id="14" xr3:uid="{054CECEA-4BF4-453B-BADF-53C4EB4F3E53}" name="Working_Hours"/>
    <tableColumn id="15" xr3:uid="{0E058635-1150-4482-AB49-FB05D261BEA2}" name="Overtime_Hours"/>
    <tableColumn id="16" xr3:uid="{DC6B823F-1155-4A45-912D-0860F8AA0E59}" name="Attendance_Status"/>
    <tableColumn id="17" xr3:uid="{578AF3AF-2B90-4673-9F69-D10BBE802F35}" name="Leave_Type"/>
    <tableColumn id="18" xr3:uid="{44882FEA-1611-497C-816D-9351F21858AA}" name="Performance_Rating"/>
    <tableColumn id="19" xr3:uid="{085783DB-4F80-4671-B960-D2DC0690BC5F}" name="Salary_Band"/>
    <tableColumn id="20" xr3:uid="{3617EB35-F294-4923-B279-F38A7DA9FF06}" name="Manager"/>
    <tableColumn id="21" xr3:uid="{8E09C1CD-9BD1-404E-9AC4-B6C4788AA0E3}" name="Work_Mode"/>
    <tableColumn id="22" xr3:uid="{B774436B-F579-47DF-AECF-0BBD3A0B0074}"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A104E8-1BC7-4335-A606-ED9E70B3C5D6}" name="tblEmployee" displayName="tblEmployee" ref="A1:N51" totalsRowShown="0">
  <autoFilter ref="A1:N51" xr:uid="{51A104E8-1BC7-4335-A606-ED9E70B3C5D6}"/>
  <tableColumns count="14">
    <tableColumn id="1" xr3:uid="{3D8E3394-B99D-40A9-9396-C889FAD776E1}" name="Employee_ID"/>
    <tableColumn id="2" xr3:uid="{48B75B19-270C-4957-8CF4-422E94B80CB0}" name="Employee_Name"/>
    <tableColumn id="3" xr3:uid="{3A1A4EEE-0026-4CF8-985C-DB0E646589E6}" name="Gender"/>
    <tableColumn id="4" xr3:uid="{E3815CE2-125F-497C-9353-F7E7105BD74A}" name="Age"/>
    <tableColumn id="5" xr3:uid="{621BF86B-A8D3-4DD8-9DA3-3043CEBD6043}" name="Department"/>
    <tableColumn id="6" xr3:uid="{48A6F406-8FA7-4B96-8201-84B8953E1639}" name="Designation"/>
    <tableColumn id="7" xr3:uid="{BE8CDA75-A941-4167-9BB7-A963C7DCFCE0}" name="Branch"/>
    <tableColumn id="8" xr3:uid="{29D9ABDE-D189-4900-86E7-EB0E8F8A8918}" name="Joining_Date" dataDxfId="21"/>
    <tableColumn id="9" xr3:uid="{7F6ECDBB-45DB-43AC-85CA-CF48CBE9801F}" name="Salary_INR"/>
    <tableColumn id="10" xr3:uid="{73784377-526B-49A4-8B49-661DB600B7FD}" name="Experience_Years"/>
    <tableColumn id="11" xr3:uid="{CE27BE2E-CA73-4D47-83D3-8B82A87E93F5}" name="Manager"/>
    <tableColumn id="12" xr3:uid="{35D64269-8E46-425F-B041-B51F1A85D078}" name="Employment_Type"/>
    <tableColumn id="13" xr3:uid="{A8374ACE-BD2D-4385-A6B4-6A9E48E156F9}" name="Work_Mode"/>
    <tableColumn id="14" xr3:uid="{7EEB3178-7405-428E-8906-A41775D0E465}"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F12B0B-8CB7-45E7-9D5D-CD5E8E32F3A2}" name="tblDepartment" displayName="tblDepartment" ref="A1:J8" totalsRowShown="0">
  <autoFilter ref="A1:J8" xr:uid="{B3F12B0B-8CB7-45E7-9D5D-CD5E8E32F3A2}"/>
  <tableColumns count="10">
    <tableColumn id="1" xr3:uid="{3D618EDC-F271-4ABF-8983-F946F18C0D66}" name="Department_ID"/>
    <tableColumn id="2" xr3:uid="{2270F395-AF61-4377-B7F2-1BA393EB2F04}" name="Department"/>
    <tableColumn id="3" xr3:uid="{08EC1086-F66F-4F7F-8DC4-E06EC4B10A08}" name="Department_Head"/>
    <tableColumn id="4" xr3:uid="{32510621-FBAE-4B78-B561-6A8DAFD0A05A}" name="Employee_Count"/>
    <tableColumn id="5" xr3:uid="{086C7DE7-8B8F-49A3-B1AB-E6E4D06755CC}" name="Annual_Budget_INR"/>
    <tableColumn id="6" xr3:uid="{37CB9899-72C3-4082-A274-11575C98BD40}" name="Monthly_Target"/>
    <tableColumn id="7" xr3:uid="{7086613D-8361-4DBC-B006-822544EF9EDF}" name="Average_Salary_INR"/>
    <tableColumn id="8" xr3:uid="{2479AB46-2454-4C25-8AE5-62A0CB72DC7B}" name="Priority_Level"/>
    <tableColumn id="9" xr3:uid="{A15356E9-39D5-4FB9-A2AF-AFC0B8152368}" name="Key_KPI"/>
    <tableColumn id="10" xr3:uid="{AE45A5B7-1F2B-4322-9F26-1AE10F6BF6AC}" name="Department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514606-3A19-4150-80B6-EAFCA4BA5DE4}" name="tblShift" displayName="tblShift" ref="A1:K7" totalsRowShown="0">
  <autoFilter ref="A1:K7" xr:uid="{FD514606-3A19-4150-80B6-EAFCA4BA5DE4}"/>
  <tableColumns count="11">
    <tableColumn id="1" xr3:uid="{AC451D2A-A37D-4F07-AA7B-F88D48527D54}" name="Shift_ID"/>
    <tableColumn id="2" xr3:uid="{A9C6D64C-8079-46BB-9BF2-ED75F5C0530D}" name="Shift_Name"/>
    <tableColumn id="3" xr3:uid="{125B15D1-B9E4-44B2-981B-61F688D8137B}" name="Login_Time" dataDxfId="20"/>
    <tableColumn id="4" xr3:uid="{54149B27-343D-49C2-AB74-5F3B6CE0F78A}" name="Logout_Time" dataDxfId="19"/>
    <tableColumn id="5" xr3:uid="{DE4BAB77-9350-4751-82DB-7997D993DB63}" name="Standard_Working_Hours"/>
    <tableColumn id="6" xr3:uid="{B4788DC5-F500-45EA-B2D4-B8EFF16A4AF4}" name="Break_Duration_Min"/>
    <tableColumn id="7" xr3:uid="{BD5DC5D6-094A-42B0-973B-E39943BE27A9}" name="Overtime_Threshold_Hours"/>
    <tableColumn id="8" xr3:uid="{1359DC48-27B6-46E9-B611-E0BADC83E350}" name="Shift_Allowance_INR"/>
    <tableColumn id="9" xr3:uid="{4592B02E-6B15-475C-A338-1A4C3876B597}" name="Applicable_Departments"/>
    <tableColumn id="10" xr3:uid="{8C3BB586-21F6-4163-A61B-DD363788CA53}" name="Weekly_Off"/>
    <tableColumn id="11" xr3:uid="{1F39C221-1935-49EC-B509-09141D57A696}" name="Shift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AB70D0-73D5-49C7-B82E-17D72A6A5FEC}" name="tblHoliday" displayName="tblHoliday" ref="A1:I13" totalsRowShown="0">
  <autoFilter ref="A1:I13" xr:uid="{09AB70D0-73D5-49C7-B82E-17D72A6A5FEC}"/>
  <tableColumns count="9">
    <tableColumn id="1" xr3:uid="{BDE5B6AC-5C19-4AF3-801B-2AA6625E6122}" name="Holiday_ID"/>
    <tableColumn id="2" xr3:uid="{A6E2AFDE-0B76-4231-8219-E15A64D450F3}" name="Holiday_Name"/>
    <tableColumn id="3" xr3:uid="{2E9626A9-620C-4EF0-9196-828C5EAF846B}" name="Holiday_Date" dataDxfId="18"/>
    <tableColumn id="4" xr3:uid="{F782E2FE-F234-4A00-B7A6-372C8BB2309A}" name="Day"/>
    <tableColumn id="5" xr3:uid="{D4354887-D0D1-4D7C-8390-FD9BFC68EBA5}" name="Holiday_Type"/>
    <tableColumn id="6" xr3:uid="{E6C0A67C-1086-4F73-9003-1734B0AAFE1A}" name="Office_Operation"/>
    <tableColumn id="7" xr3:uid="{095E866F-10DE-4E2E-952C-084ABC67803D}" name="Expected_Attendance" dataDxfId="17"/>
    <tableColumn id="8" xr3:uid="{C65B7EE4-12B2-48B2-9B08-52F6E58E338B}" name="Applicable_Locations"/>
    <tableColumn id="9" xr3:uid="{74C95762-8A6B-4EEE-80F1-66E77EDE4F61}"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19589A-C3CF-4228-8AC6-157835416FF0}" name="tblMaster" displayName="tblMaster" ref="A1:AI809" totalsRowShown="0">
  <autoFilter ref="A1:AI809" xr:uid="{F819589A-C3CF-4228-8AC6-157835416FF0}">
    <filterColumn colId="20">
      <filters blank="1"/>
    </filterColumn>
  </autoFilter>
  <tableColumns count="35">
    <tableColumn id="1" xr3:uid="{7AF0FEC2-1D61-4261-BFA6-41B8F73E8093}" name="Attendance_ID"/>
    <tableColumn id="2" xr3:uid="{859D0503-00D0-43AE-A4C0-172035AA5301}" name="Attendance_Date" dataDxfId="16"/>
    <tableColumn id="3" xr3:uid="{EC3DDE02-AC58-43FC-BAC8-ED40A09D9F50}" name="Month"/>
    <tableColumn id="4" xr3:uid="{A52D24E0-EB32-4ED3-BEB1-155C616C8A18}" name="Quarter"/>
    <tableColumn id="5" xr3:uid="{5D98B20D-07CE-4F8D-AAAC-52E0291297EF}" name="Weekday"/>
    <tableColumn id="6" xr3:uid="{6C8A645D-DC7B-475E-991C-C794F0EF876C}" name="Employee_ID"/>
    <tableColumn id="7" xr3:uid="{3263E84C-59D5-42EF-878A-6A06E8487FF9}" name="Employee_Name"/>
    <tableColumn id="8" xr3:uid="{A52EAD68-186A-48B5-9570-3C9A20AFB8F1}" name="Department"/>
    <tableColumn id="9" xr3:uid="{16DE6B96-97CA-48C5-A0AE-6F5B457A26A2}" name="Designation"/>
    <tableColumn id="10" xr3:uid="{88CDB7E9-6F65-4A30-9F24-97EB5ECCAE6E}" name="Branch"/>
    <tableColumn id="11" xr3:uid="{88FD3ECF-BEC5-4811-91A8-B2778AEC3BC9}" name="Shift"/>
    <tableColumn id="12" xr3:uid="{494CC843-D013-4E29-8652-3AC380D82F00}" name="Login_Time" dataDxfId="15"/>
    <tableColumn id="13" xr3:uid="{A8474C9A-EF19-4AC7-8571-6B3DB15276E3}" name="Logout_Time" dataDxfId="14"/>
    <tableColumn id="14" xr3:uid="{8F1809AB-FE22-4B36-B06A-F63BE4EB4204}" name="Working_Hours"/>
    <tableColumn id="15" xr3:uid="{7EC20B31-E9F6-4022-A054-E5A1A0AC966E}" name="Overtime_Hours"/>
    <tableColumn id="16" xr3:uid="{D8CAA2CB-41A7-417C-9FAE-DB2F07FCBE52}" name="Attendance_Status"/>
    <tableColumn id="17" xr3:uid="{2759A5EF-1667-47C7-8F40-401818D7059A}" name="Leave_Type"/>
    <tableColumn id="18" xr3:uid="{B98B58DA-59C0-4273-AB2F-140569FC4F18}" name="Performance_Rating"/>
    <tableColumn id="19" xr3:uid="{776D396F-8427-41A8-B05F-E0E8F0DCA58A}" name="Salary_Band"/>
    <tableColumn id="20" xr3:uid="{11733AEF-F8FD-4036-9432-0BD9790C1CC1}" name="Manager"/>
    <tableColumn id="21" xr3:uid="{E10E455E-0F8D-4CC6-A715-85718DF41C41}" name="Work_Mode"/>
    <tableColumn id="22" xr3:uid="{56ACCCA7-8F89-4418-AF5A-48A842A9BB5E}" name="Remarks"/>
    <tableColumn id="23" xr3:uid="{83248C81-25F0-43F4-8322-E203C649395A}" name="Employee_Age" dataDxfId="13">
      <calculatedColumnFormula>_xlfn.XLOOKUP(F2,tblEmployee[Employee_ID],tblEmployee[Age],"Not Found")</calculatedColumnFormula>
    </tableColumn>
    <tableColumn id="24" xr3:uid="{87C8180B-22B0-45E4-BDE4-ABB969144D32}" name="Gender" dataDxfId="12">
      <calculatedColumnFormula>_xlfn.XLOOKUP(F2,tblEmployee[Employee_ID],tblEmployee[Gender],"Not Found")</calculatedColumnFormula>
    </tableColumn>
    <tableColumn id="25" xr3:uid="{98A7775C-288F-4D41-BE1D-93EA513D8E52}" name="Joining_Date" dataDxfId="11">
      <calculatedColumnFormula>_xlfn.XLOOKUP(F2,tblEmployee[Employee_ID],tblEmployee[Joining_Date],"")</calculatedColumnFormula>
    </tableColumn>
    <tableColumn id="33" xr3:uid="{53A7D841-2AD5-43C6-840D-DB342245A6F4}" name="Annual_Budget" dataDxfId="10">
      <calculatedColumnFormula>_xlfn.XLOOKUP(H2,tblDepartment[Department],tblDepartment[Annual_Budget_INR],"")</calculatedColumnFormula>
    </tableColumn>
    <tableColumn id="27" xr3:uid="{8913212C-38AA-422C-A468-B3E0FF494CE6}" name="Monthly_Target" dataDxfId="9">
      <calculatedColumnFormula>_xlfn.XLOOKUP(H2,tblDepartment[Department],tblDepartment[Monthly_Target],"")</calculatedColumnFormula>
    </tableColumn>
    <tableColumn id="35" xr3:uid="{1124EADF-3092-4670-A6CA-8F1AAF865836}" name="Average Salary" dataDxfId="8">
      <calculatedColumnFormula>_xlfn.XLOOKUP(H2,tblDepartment[Department],tblDepartment[Average_Salary_INR],"")</calculatedColumnFormula>
    </tableColumn>
    <tableColumn id="34" xr3:uid="{6B1DCFBE-922E-4C52-9DAE-2C54F52DA231}" name="Priority_Level" dataDxfId="7">
      <calculatedColumnFormula>_xlfn.XLOOKUP(H2,tblDepartment[Department],tblDepartment[Priority_Level],"")</calculatedColumnFormula>
    </tableColumn>
    <tableColumn id="26" xr3:uid="{E2503B86-088C-4B61-85AD-F741B9C054D4}" name="Key_KPI" dataDxfId="6">
      <calculatedColumnFormula>_xlfn.XLOOKUP(H2,tblDepartment[Department],tblDepartment[Key_KPI],"")</calculatedColumnFormula>
    </tableColumn>
    <tableColumn id="28" xr3:uid="{C323672F-193E-4DC3-80C8-F32382F22F8B}" name="Shift_Start_Time" dataDxfId="5">
      <calculatedColumnFormula>_xlfn.XLOOKUP(tblMaster[[#This Row],[Shift]],tblShift[Shift_Name],tblShift[Login_Time],"")</calculatedColumnFormula>
    </tableColumn>
    <tableColumn id="29" xr3:uid="{4E179F79-98BC-4F35-A7F9-DE4A02491795}" name="Shift_End_Time" dataDxfId="4">
      <calculatedColumnFormula>_xlfn.XLOOKUP(tblMaster[[#This Row],[Shift]],tblShift[Shift_Name],tblShift[Logout_Time]," ")</calculatedColumnFormula>
    </tableColumn>
    <tableColumn id="30" xr3:uid="{766B4E2C-8F14-4E58-BDCA-5E8E044C37D2}" name="Standard_Working_Hours" dataDxfId="3">
      <calculatedColumnFormula>_xlfn.XLOOKUP(tblMaster[[#This Row],[Shift]],tblShift[Shift_Name],tblShift[Standard_Working_Hours],"")</calculatedColumnFormula>
    </tableColumn>
    <tableColumn id="31" xr3:uid="{BEF7111F-B2F7-4255-8C3F-161E00B3A8F7}" name="Holiday_Name" dataDxfId="2">
      <calculatedColumnFormula>_xlfn.XLOOKUP(tblMaster[[#This Row],[Attendance_Date]],tblHoliday[Holiday_Date],tblHoliday[Holiday_Name],"Working Day")</calculatedColumnFormula>
    </tableColumn>
    <tableColumn id="32" xr3:uid="{DCC5EB2A-3594-40E0-A6BE-415E9A4AD08F}" name="Holiday_Type" dataDxfId="1">
      <calculatedColumnFormula>_xlfn.XLOOKUP(tblMaster[[#This Row],[Attendance_Date]],tblHoliday[Holiday_Date],tblHoliday[Holiday_Type],"Working Day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ramond">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947D-EEFE-4CF3-88C8-C3659BCE395F}">
  <dimension ref="A1:V809"/>
  <sheetViews>
    <sheetView topLeftCell="H785" workbookViewId="0">
      <selection sqref="A1:V809"/>
    </sheetView>
  </sheetViews>
  <sheetFormatPr defaultRowHeight="14.4" x14ac:dyDescent="0.3"/>
  <cols>
    <col min="1" max="1" width="15.75" customWidth="1"/>
    <col min="2" max="2" width="17.875" customWidth="1"/>
    <col min="3" max="3" width="8.875" customWidth="1"/>
    <col min="4" max="4" width="9.125" customWidth="1"/>
    <col min="5" max="5" width="10.625" customWidth="1"/>
    <col min="6" max="6" width="14.125" customWidth="1"/>
    <col min="7" max="7" width="17.125" customWidth="1"/>
    <col min="8" max="8" width="12.875" customWidth="1"/>
    <col min="9" max="9" width="12.625" customWidth="1"/>
    <col min="12" max="12" width="12.375" customWidth="1"/>
    <col min="13" max="13" width="13.75" customWidth="1"/>
    <col min="14" max="14" width="15.75" customWidth="1"/>
    <col min="15" max="15" width="16.375" customWidth="1"/>
    <col min="16" max="16" width="18.75" customWidth="1"/>
    <col min="17" max="17" width="12.75" customWidth="1"/>
    <col min="18" max="18" width="20" customWidth="1"/>
    <col min="19" max="19" width="13.125" customWidth="1"/>
    <col min="20" max="20" width="10.25" customWidth="1"/>
    <col min="21" max="21" width="13.25" customWidth="1"/>
    <col min="22" max="22" width="10"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s="1">
        <v>45827</v>
      </c>
      <c r="C2" t="s">
        <v>23</v>
      </c>
      <c r="D2" t="s">
        <v>24</v>
      </c>
      <c r="E2" t="s">
        <v>25</v>
      </c>
      <c r="F2" t="s">
        <v>26</v>
      </c>
      <c r="G2" t="s">
        <v>27</v>
      </c>
      <c r="H2" t="s">
        <v>28</v>
      </c>
      <c r="I2" t="s">
        <v>29</v>
      </c>
      <c r="J2" t="s">
        <v>30</v>
      </c>
      <c r="K2" t="s">
        <v>31</v>
      </c>
      <c r="L2" s="2">
        <v>0.375</v>
      </c>
      <c r="M2" s="2">
        <v>0.75</v>
      </c>
      <c r="N2">
        <v>8</v>
      </c>
      <c r="O2">
        <v>0</v>
      </c>
      <c r="P2" t="s">
        <v>32</v>
      </c>
      <c r="R2">
        <v>4</v>
      </c>
      <c r="S2" t="s">
        <v>33</v>
      </c>
      <c r="T2" t="s">
        <v>34</v>
      </c>
      <c r="V2" t="s">
        <v>35</v>
      </c>
    </row>
    <row r="3" spans="1:22" x14ac:dyDescent="0.3">
      <c r="A3" t="s">
        <v>36</v>
      </c>
      <c r="B3" s="3">
        <v>45766</v>
      </c>
      <c r="C3" t="s">
        <v>37</v>
      </c>
      <c r="D3" t="s">
        <v>24</v>
      </c>
      <c r="E3" t="s">
        <v>38</v>
      </c>
      <c r="F3" t="s">
        <v>39</v>
      </c>
      <c r="G3" t="s">
        <v>40</v>
      </c>
      <c r="H3" t="s">
        <v>41</v>
      </c>
      <c r="I3" t="s">
        <v>42</v>
      </c>
      <c r="J3" t="s">
        <v>43</v>
      </c>
      <c r="K3" t="s">
        <v>44</v>
      </c>
      <c r="L3" s="2">
        <v>0.375</v>
      </c>
      <c r="M3" s="2">
        <v>0.75</v>
      </c>
      <c r="N3">
        <v>8</v>
      </c>
      <c r="O3">
        <v>0</v>
      </c>
      <c r="P3" t="s">
        <v>32</v>
      </c>
      <c r="R3">
        <v>5</v>
      </c>
      <c r="S3" t="s">
        <v>45</v>
      </c>
      <c r="T3" t="s">
        <v>46</v>
      </c>
      <c r="U3" t="s">
        <v>47</v>
      </c>
    </row>
    <row r="4" spans="1:22" x14ac:dyDescent="0.3">
      <c r="A4" t="s">
        <v>48</v>
      </c>
      <c r="B4" s="1">
        <v>45658</v>
      </c>
      <c r="C4" t="s">
        <v>49</v>
      </c>
      <c r="D4" t="s">
        <v>50</v>
      </c>
      <c r="E4" t="s">
        <v>51</v>
      </c>
      <c r="F4" t="s">
        <v>52</v>
      </c>
      <c r="G4" t="s">
        <v>53</v>
      </c>
      <c r="H4" t="s">
        <v>41</v>
      </c>
      <c r="I4" t="s">
        <v>42</v>
      </c>
      <c r="J4" t="s">
        <v>43</v>
      </c>
      <c r="K4" t="s">
        <v>54</v>
      </c>
      <c r="L4" s="2">
        <v>0.375</v>
      </c>
      <c r="M4" s="2">
        <v>0.75</v>
      </c>
      <c r="N4">
        <v>8</v>
      </c>
      <c r="O4">
        <v>0</v>
      </c>
      <c r="P4" t="s">
        <v>32</v>
      </c>
      <c r="R4">
        <v>4</v>
      </c>
      <c r="S4" t="s">
        <v>45</v>
      </c>
      <c r="T4" t="s">
        <v>46</v>
      </c>
      <c r="U4" t="s">
        <v>55</v>
      </c>
    </row>
    <row r="5" spans="1:22" x14ac:dyDescent="0.3">
      <c r="A5" t="s">
        <v>56</v>
      </c>
      <c r="B5" s="1">
        <v>45780</v>
      </c>
      <c r="C5" t="s">
        <v>57</v>
      </c>
      <c r="D5" t="s">
        <v>24</v>
      </c>
      <c r="E5" t="s">
        <v>38</v>
      </c>
      <c r="F5" t="s">
        <v>58</v>
      </c>
      <c r="G5" t="s">
        <v>59</v>
      </c>
      <c r="H5" t="s">
        <v>41</v>
      </c>
      <c r="I5" t="s">
        <v>42</v>
      </c>
      <c r="J5" t="s">
        <v>30</v>
      </c>
      <c r="K5" t="s">
        <v>54</v>
      </c>
      <c r="L5" s="2">
        <v>0.375</v>
      </c>
      <c r="M5" s="2">
        <v>0.75</v>
      </c>
      <c r="N5">
        <v>8</v>
      </c>
      <c r="O5">
        <v>0</v>
      </c>
      <c r="P5" t="s">
        <v>32</v>
      </c>
      <c r="S5" t="s">
        <v>45</v>
      </c>
      <c r="T5" t="s">
        <v>46</v>
      </c>
      <c r="U5" t="s">
        <v>47</v>
      </c>
      <c r="V5" t="s">
        <v>60</v>
      </c>
    </row>
    <row r="6" spans="1:22" x14ac:dyDescent="0.3">
      <c r="A6" t="s">
        <v>61</v>
      </c>
      <c r="B6" s="3">
        <v>45658</v>
      </c>
      <c r="C6" t="s">
        <v>49</v>
      </c>
      <c r="D6" t="s">
        <v>50</v>
      </c>
      <c r="E6" t="s">
        <v>51</v>
      </c>
      <c r="F6" t="s">
        <v>62</v>
      </c>
      <c r="G6" t="s">
        <v>63</v>
      </c>
      <c r="H6" t="s">
        <v>64</v>
      </c>
      <c r="I6" t="s">
        <v>65</v>
      </c>
      <c r="J6" t="s">
        <v>66</v>
      </c>
      <c r="K6" t="s">
        <v>31</v>
      </c>
      <c r="L6" s="2">
        <v>0.375</v>
      </c>
      <c r="M6" s="2">
        <v>0.75</v>
      </c>
      <c r="N6">
        <v>9</v>
      </c>
      <c r="O6">
        <v>1</v>
      </c>
      <c r="P6" t="s">
        <v>32</v>
      </c>
      <c r="R6">
        <v>4</v>
      </c>
      <c r="S6" t="s">
        <v>67</v>
      </c>
      <c r="T6" t="s">
        <v>68</v>
      </c>
      <c r="V6" t="s">
        <v>69</v>
      </c>
    </row>
    <row r="7" spans="1:22" x14ac:dyDescent="0.3">
      <c r="A7" t="s">
        <v>70</v>
      </c>
      <c r="B7" s="3">
        <v>45722</v>
      </c>
      <c r="C7" t="s">
        <v>71</v>
      </c>
      <c r="D7" t="s">
        <v>50</v>
      </c>
      <c r="E7" t="s">
        <v>25</v>
      </c>
      <c r="F7" t="s">
        <v>72</v>
      </c>
      <c r="G7" t="s">
        <v>73</v>
      </c>
      <c r="H7" t="s">
        <v>28</v>
      </c>
      <c r="I7" t="s">
        <v>29</v>
      </c>
      <c r="J7" t="s">
        <v>74</v>
      </c>
      <c r="K7" t="s">
        <v>75</v>
      </c>
      <c r="L7" s="2">
        <v>0.375</v>
      </c>
      <c r="M7" s="2">
        <v>0.75</v>
      </c>
      <c r="N7">
        <v>8</v>
      </c>
      <c r="O7">
        <v>0</v>
      </c>
      <c r="P7" t="s">
        <v>32</v>
      </c>
      <c r="R7">
        <v>5</v>
      </c>
      <c r="S7" t="s">
        <v>67</v>
      </c>
      <c r="T7" t="s">
        <v>34</v>
      </c>
      <c r="U7" t="s">
        <v>55</v>
      </c>
    </row>
    <row r="8" spans="1:22" x14ac:dyDescent="0.3">
      <c r="A8" t="s">
        <v>76</v>
      </c>
      <c r="B8" s="3">
        <v>45687</v>
      </c>
      <c r="C8" t="s">
        <v>49</v>
      </c>
      <c r="D8" t="s">
        <v>50</v>
      </c>
      <c r="E8" t="s">
        <v>25</v>
      </c>
      <c r="F8" t="s">
        <v>77</v>
      </c>
      <c r="G8" t="s">
        <v>78</v>
      </c>
      <c r="H8" t="s">
        <v>79</v>
      </c>
      <c r="I8" t="s">
        <v>80</v>
      </c>
      <c r="J8" t="s">
        <v>30</v>
      </c>
      <c r="K8" t="s">
        <v>81</v>
      </c>
      <c r="P8" t="s">
        <v>82</v>
      </c>
      <c r="Q8" t="s">
        <v>83</v>
      </c>
      <c r="S8" t="s">
        <v>45</v>
      </c>
      <c r="T8" t="s">
        <v>84</v>
      </c>
      <c r="U8" t="s">
        <v>85</v>
      </c>
    </row>
    <row r="9" spans="1:22" x14ac:dyDescent="0.3">
      <c r="A9" t="s">
        <v>86</v>
      </c>
      <c r="B9" s="3">
        <v>45832</v>
      </c>
      <c r="C9" t="s">
        <v>23</v>
      </c>
      <c r="D9" t="s">
        <v>24</v>
      </c>
      <c r="E9" t="s">
        <v>87</v>
      </c>
      <c r="F9" t="s">
        <v>88</v>
      </c>
      <c r="G9" t="s">
        <v>89</v>
      </c>
      <c r="H9" t="s">
        <v>90</v>
      </c>
      <c r="I9" t="s">
        <v>91</v>
      </c>
      <c r="J9" t="s">
        <v>43</v>
      </c>
      <c r="K9" t="s">
        <v>31</v>
      </c>
      <c r="L9" s="2">
        <v>0.375</v>
      </c>
      <c r="M9" s="2">
        <v>0.75</v>
      </c>
      <c r="N9">
        <v>8</v>
      </c>
      <c r="O9">
        <v>0</v>
      </c>
      <c r="P9" t="s">
        <v>32</v>
      </c>
      <c r="R9">
        <v>4</v>
      </c>
      <c r="S9" t="s">
        <v>92</v>
      </c>
      <c r="T9" t="s">
        <v>93</v>
      </c>
      <c r="V9" t="s">
        <v>35</v>
      </c>
    </row>
    <row r="10" spans="1:22" x14ac:dyDescent="0.3">
      <c r="A10" t="s">
        <v>94</v>
      </c>
      <c r="B10" s="3">
        <v>45693</v>
      </c>
      <c r="C10" t="s">
        <v>95</v>
      </c>
      <c r="D10" t="s">
        <v>50</v>
      </c>
      <c r="E10" t="s">
        <v>51</v>
      </c>
      <c r="F10" t="s">
        <v>96</v>
      </c>
      <c r="G10" t="s">
        <v>97</v>
      </c>
      <c r="H10" t="s">
        <v>98</v>
      </c>
      <c r="I10" t="s">
        <v>99</v>
      </c>
      <c r="J10" t="s">
        <v>100</v>
      </c>
      <c r="K10" t="s">
        <v>44</v>
      </c>
      <c r="L10" s="2">
        <v>0.375</v>
      </c>
      <c r="M10" s="2">
        <v>0.75</v>
      </c>
      <c r="N10">
        <v>8</v>
      </c>
      <c r="O10">
        <v>0</v>
      </c>
      <c r="P10" t="s">
        <v>32</v>
      </c>
      <c r="R10">
        <v>4</v>
      </c>
      <c r="S10" t="s">
        <v>33</v>
      </c>
      <c r="T10" t="s">
        <v>101</v>
      </c>
      <c r="U10" t="s">
        <v>47</v>
      </c>
    </row>
    <row r="11" spans="1:22" x14ac:dyDescent="0.3">
      <c r="A11" t="s">
        <v>102</v>
      </c>
      <c r="B11" s="3">
        <v>45753</v>
      </c>
      <c r="C11" t="s">
        <v>37</v>
      </c>
      <c r="D11" t="s">
        <v>24</v>
      </c>
      <c r="E11" t="s">
        <v>103</v>
      </c>
      <c r="F11" t="s">
        <v>104</v>
      </c>
      <c r="G11" t="s">
        <v>105</v>
      </c>
      <c r="H11" t="s">
        <v>28</v>
      </c>
      <c r="I11" t="s">
        <v>29</v>
      </c>
      <c r="J11" t="s">
        <v>30</v>
      </c>
      <c r="K11" t="s">
        <v>75</v>
      </c>
      <c r="L11" s="2">
        <v>0.375</v>
      </c>
      <c r="M11" s="2">
        <v>0.75</v>
      </c>
      <c r="N11">
        <v>8</v>
      </c>
      <c r="O11">
        <v>0</v>
      </c>
      <c r="P11" t="s">
        <v>32</v>
      </c>
      <c r="R11">
        <v>4</v>
      </c>
      <c r="S11" t="s">
        <v>67</v>
      </c>
      <c r="T11" t="s">
        <v>34</v>
      </c>
      <c r="U11" t="s">
        <v>47</v>
      </c>
      <c r="V11" t="s">
        <v>69</v>
      </c>
    </row>
    <row r="12" spans="1:22" x14ac:dyDescent="0.3">
      <c r="A12" t="s">
        <v>106</v>
      </c>
      <c r="B12" s="1">
        <v>45727</v>
      </c>
      <c r="C12" t="s">
        <v>71</v>
      </c>
      <c r="D12" t="s">
        <v>50</v>
      </c>
      <c r="E12" t="s">
        <v>87</v>
      </c>
      <c r="F12" t="s">
        <v>26</v>
      </c>
      <c r="G12" t="s">
        <v>27</v>
      </c>
      <c r="H12" t="s">
        <v>107</v>
      </c>
      <c r="I12" t="s">
        <v>29</v>
      </c>
      <c r="J12" t="s">
        <v>30</v>
      </c>
      <c r="K12" t="s">
        <v>81</v>
      </c>
      <c r="L12" s="2">
        <v>0.91666666666666663</v>
      </c>
      <c r="M12" s="2">
        <v>0.29166666666666669</v>
      </c>
      <c r="N12">
        <v>9.5</v>
      </c>
      <c r="O12">
        <v>1.5</v>
      </c>
      <c r="P12" t="s">
        <v>32</v>
      </c>
      <c r="R12">
        <v>3</v>
      </c>
      <c r="S12" t="s">
        <v>45</v>
      </c>
      <c r="T12" t="s">
        <v>34</v>
      </c>
      <c r="U12" t="s">
        <v>85</v>
      </c>
      <c r="V12" t="s">
        <v>35</v>
      </c>
    </row>
    <row r="13" spans="1:22" x14ac:dyDescent="0.3">
      <c r="A13" t="s">
        <v>108</v>
      </c>
      <c r="B13" s="1">
        <v>45768</v>
      </c>
      <c r="C13" t="s">
        <v>37</v>
      </c>
      <c r="D13" t="s">
        <v>24</v>
      </c>
      <c r="E13" t="s">
        <v>109</v>
      </c>
      <c r="F13" t="s">
        <v>110</v>
      </c>
      <c r="G13" t="s">
        <v>111</v>
      </c>
      <c r="H13" t="s">
        <v>112</v>
      </c>
      <c r="I13" t="s">
        <v>113</v>
      </c>
      <c r="J13" t="s">
        <v>43</v>
      </c>
      <c r="K13" t="s">
        <v>31</v>
      </c>
      <c r="L13" s="2">
        <v>0.38194444444444442</v>
      </c>
      <c r="M13" s="2">
        <v>0.75</v>
      </c>
      <c r="N13">
        <v>8</v>
      </c>
      <c r="O13">
        <v>0</v>
      </c>
      <c r="P13" t="s">
        <v>32</v>
      </c>
      <c r="R13">
        <v>4</v>
      </c>
      <c r="S13" t="s">
        <v>92</v>
      </c>
      <c r="T13" t="s">
        <v>114</v>
      </c>
      <c r="U13" t="s">
        <v>47</v>
      </c>
      <c r="V13" t="s">
        <v>69</v>
      </c>
    </row>
    <row r="14" spans="1:22" x14ac:dyDescent="0.3">
      <c r="A14" t="s">
        <v>115</v>
      </c>
      <c r="B14" s="3">
        <v>45790</v>
      </c>
      <c r="C14" t="s">
        <v>57</v>
      </c>
      <c r="D14" t="s">
        <v>24</v>
      </c>
      <c r="E14" t="s">
        <v>87</v>
      </c>
      <c r="F14" t="s">
        <v>116</v>
      </c>
      <c r="G14" t="s">
        <v>117</v>
      </c>
      <c r="H14" t="s">
        <v>112</v>
      </c>
      <c r="I14" t="s">
        <v>113</v>
      </c>
      <c r="J14" t="s">
        <v>100</v>
      </c>
      <c r="K14" t="s">
        <v>75</v>
      </c>
      <c r="L14" s="2">
        <v>0.38194444444444442</v>
      </c>
      <c r="M14" s="2">
        <v>0.75</v>
      </c>
      <c r="N14">
        <v>8</v>
      </c>
      <c r="O14">
        <v>0</v>
      </c>
      <c r="P14" t="s">
        <v>32</v>
      </c>
      <c r="R14">
        <v>4</v>
      </c>
      <c r="S14" t="s">
        <v>45</v>
      </c>
      <c r="T14" t="s">
        <v>114</v>
      </c>
    </row>
    <row r="15" spans="1:22" x14ac:dyDescent="0.3">
      <c r="A15" t="s">
        <v>118</v>
      </c>
      <c r="B15" s="3">
        <v>45730</v>
      </c>
      <c r="C15" t="s">
        <v>71</v>
      </c>
      <c r="D15" t="s">
        <v>50</v>
      </c>
      <c r="E15" t="s">
        <v>119</v>
      </c>
      <c r="F15" t="s">
        <v>120</v>
      </c>
      <c r="G15" t="s">
        <v>121</v>
      </c>
      <c r="H15" t="s">
        <v>41</v>
      </c>
      <c r="I15" t="s">
        <v>42</v>
      </c>
      <c r="J15" t="s">
        <v>74</v>
      </c>
      <c r="K15" t="s">
        <v>81</v>
      </c>
      <c r="P15" t="s">
        <v>82</v>
      </c>
      <c r="Q15" t="s">
        <v>122</v>
      </c>
      <c r="S15" t="s">
        <v>33</v>
      </c>
      <c r="T15" t="s">
        <v>46</v>
      </c>
      <c r="U15" t="s">
        <v>85</v>
      </c>
      <c r="V15" t="s">
        <v>69</v>
      </c>
    </row>
    <row r="16" spans="1:22" x14ac:dyDescent="0.3">
      <c r="A16" t="s">
        <v>123</v>
      </c>
      <c r="B16" s="3">
        <v>45681</v>
      </c>
      <c r="C16" t="s">
        <v>49</v>
      </c>
      <c r="D16" t="s">
        <v>50</v>
      </c>
      <c r="E16" t="s">
        <v>119</v>
      </c>
      <c r="F16" t="s">
        <v>124</v>
      </c>
      <c r="G16" t="s">
        <v>125</v>
      </c>
      <c r="H16" t="s">
        <v>28</v>
      </c>
      <c r="I16" t="s">
        <v>29</v>
      </c>
      <c r="J16" t="s">
        <v>66</v>
      </c>
      <c r="K16" t="s">
        <v>44</v>
      </c>
      <c r="L16" s="2">
        <v>0.375</v>
      </c>
      <c r="M16" s="2">
        <v>0.75</v>
      </c>
      <c r="N16">
        <v>8</v>
      </c>
      <c r="O16">
        <v>0</v>
      </c>
      <c r="P16" t="s">
        <v>32</v>
      </c>
      <c r="S16" t="s">
        <v>45</v>
      </c>
      <c r="T16" t="s">
        <v>34</v>
      </c>
      <c r="U16" t="s">
        <v>47</v>
      </c>
      <c r="V16" t="s">
        <v>60</v>
      </c>
    </row>
    <row r="17" spans="1:22" x14ac:dyDescent="0.3">
      <c r="A17" t="s">
        <v>126</v>
      </c>
      <c r="B17" s="3">
        <v>45808</v>
      </c>
      <c r="C17" t="s">
        <v>57</v>
      </c>
      <c r="D17" t="s">
        <v>24</v>
      </c>
      <c r="E17" t="s">
        <v>38</v>
      </c>
      <c r="F17" t="s">
        <v>127</v>
      </c>
      <c r="G17" t="s">
        <v>128</v>
      </c>
      <c r="H17" t="s">
        <v>90</v>
      </c>
      <c r="I17" t="s">
        <v>91</v>
      </c>
      <c r="J17" t="s">
        <v>66</v>
      </c>
      <c r="K17" t="s">
        <v>44</v>
      </c>
      <c r="L17" s="2">
        <v>0.375</v>
      </c>
      <c r="M17" s="2">
        <v>0.75</v>
      </c>
      <c r="N17">
        <v>8</v>
      </c>
      <c r="O17">
        <v>0</v>
      </c>
      <c r="P17" t="s">
        <v>32</v>
      </c>
      <c r="S17" t="s">
        <v>45</v>
      </c>
      <c r="T17" t="s">
        <v>93</v>
      </c>
      <c r="U17" t="s">
        <v>55</v>
      </c>
      <c r="V17" t="s">
        <v>35</v>
      </c>
    </row>
    <row r="18" spans="1:22" x14ac:dyDescent="0.3">
      <c r="A18" t="s">
        <v>129</v>
      </c>
      <c r="B18" s="1">
        <v>45660</v>
      </c>
      <c r="C18" t="s">
        <v>49</v>
      </c>
      <c r="D18" t="s">
        <v>50</v>
      </c>
      <c r="E18" t="s">
        <v>119</v>
      </c>
      <c r="F18" t="s">
        <v>120</v>
      </c>
      <c r="G18" t="s">
        <v>121</v>
      </c>
      <c r="H18" t="s">
        <v>41</v>
      </c>
      <c r="I18" t="s">
        <v>42</v>
      </c>
      <c r="J18" t="s">
        <v>74</v>
      </c>
      <c r="K18" t="s">
        <v>54</v>
      </c>
      <c r="L18" s="2">
        <v>0.375</v>
      </c>
      <c r="M18" s="2">
        <v>0.75</v>
      </c>
      <c r="N18">
        <v>8</v>
      </c>
      <c r="O18">
        <v>0</v>
      </c>
      <c r="P18" t="s">
        <v>32</v>
      </c>
      <c r="R18">
        <v>4</v>
      </c>
      <c r="S18" t="s">
        <v>45</v>
      </c>
      <c r="T18" t="s">
        <v>46</v>
      </c>
      <c r="U18" t="s">
        <v>85</v>
      </c>
    </row>
    <row r="19" spans="1:22" x14ac:dyDescent="0.3">
      <c r="A19" t="s">
        <v>130</v>
      </c>
      <c r="B19" s="3">
        <v>45660</v>
      </c>
      <c r="C19" t="s">
        <v>49</v>
      </c>
      <c r="D19" t="s">
        <v>50</v>
      </c>
      <c r="E19" t="s">
        <v>119</v>
      </c>
      <c r="F19" t="s">
        <v>39</v>
      </c>
      <c r="G19" t="s">
        <v>40</v>
      </c>
      <c r="H19" t="s">
        <v>41</v>
      </c>
      <c r="I19" t="s">
        <v>42</v>
      </c>
      <c r="J19" t="s">
        <v>43</v>
      </c>
      <c r="K19" t="s">
        <v>54</v>
      </c>
      <c r="L19" s="2">
        <v>0.375</v>
      </c>
      <c r="M19" s="2">
        <v>0.75</v>
      </c>
      <c r="N19">
        <v>8</v>
      </c>
      <c r="O19">
        <v>0</v>
      </c>
      <c r="P19" t="s">
        <v>32</v>
      </c>
      <c r="R19">
        <v>4</v>
      </c>
      <c r="S19" t="s">
        <v>92</v>
      </c>
      <c r="T19" t="s">
        <v>46</v>
      </c>
      <c r="U19" t="s">
        <v>85</v>
      </c>
    </row>
    <row r="20" spans="1:22" x14ac:dyDescent="0.3">
      <c r="A20" t="s">
        <v>131</v>
      </c>
      <c r="B20" s="3">
        <v>45709</v>
      </c>
      <c r="C20" t="s">
        <v>95</v>
      </c>
      <c r="D20" t="s">
        <v>50</v>
      </c>
      <c r="E20" t="s">
        <v>119</v>
      </c>
      <c r="F20" t="s">
        <v>96</v>
      </c>
      <c r="G20" t="s">
        <v>97</v>
      </c>
      <c r="H20" t="s">
        <v>98</v>
      </c>
      <c r="I20" t="s">
        <v>99</v>
      </c>
      <c r="J20" t="s">
        <v>100</v>
      </c>
      <c r="K20" t="s">
        <v>81</v>
      </c>
      <c r="L20" s="2">
        <v>0.91666666666666663</v>
      </c>
      <c r="M20" s="2">
        <v>0.29166666666666669</v>
      </c>
      <c r="N20">
        <v>10</v>
      </c>
      <c r="O20">
        <v>2</v>
      </c>
      <c r="P20" t="s">
        <v>32</v>
      </c>
      <c r="R20">
        <v>4</v>
      </c>
      <c r="S20" t="s">
        <v>33</v>
      </c>
      <c r="T20" t="s">
        <v>101</v>
      </c>
      <c r="V20" t="s">
        <v>35</v>
      </c>
    </row>
    <row r="21" spans="1:22" x14ac:dyDescent="0.3">
      <c r="A21" t="s">
        <v>132</v>
      </c>
      <c r="B21" s="3">
        <v>45716</v>
      </c>
      <c r="C21" t="s">
        <v>95</v>
      </c>
      <c r="D21" t="s">
        <v>50</v>
      </c>
      <c r="E21" t="s">
        <v>119</v>
      </c>
      <c r="F21" t="s">
        <v>133</v>
      </c>
      <c r="G21" t="s">
        <v>134</v>
      </c>
      <c r="H21" t="s">
        <v>98</v>
      </c>
      <c r="I21" t="s">
        <v>99</v>
      </c>
      <c r="J21" t="s">
        <v>66</v>
      </c>
      <c r="K21" t="s">
        <v>54</v>
      </c>
      <c r="P21" t="s">
        <v>135</v>
      </c>
      <c r="S21" t="s">
        <v>45</v>
      </c>
      <c r="T21" t="s">
        <v>101</v>
      </c>
      <c r="V21" t="s">
        <v>35</v>
      </c>
    </row>
    <row r="22" spans="1:22" x14ac:dyDescent="0.3">
      <c r="A22" t="s">
        <v>136</v>
      </c>
      <c r="B22" s="1">
        <v>45777</v>
      </c>
      <c r="C22" t="s">
        <v>37</v>
      </c>
      <c r="D22" t="s">
        <v>24</v>
      </c>
      <c r="E22" t="s">
        <v>51</v>
      </c>
      <c r="F22" t="s">
        <v>127</v>
      </c>
      <c r="G22" t="s">
        <v>128</v>
      </c>
      <c r="H22" t="s">
        <v>137</v>
      </c>
      <c r="I22" t="s">
        <v>91</v>
      </c>
      <c r="J22" t="s">
        <v>66</v>
      </c>
      <c r="K22" t="s">
        <v>75</v>
      </c>
      <c r="L22" s="2">
        <v>0.375</v>
      </c>
      <c r="M22" s="2">
        <v>0.75</v>
      </c>
      <c r="N22">
        <v>8</v>
      </c>
      <c r="O22">
        <v>0</v>
      </c>
      <c r="P22" t="s">
        <v>32</v>
      </c>
      <c r="S22" t="s">
        <v>92</v>
      </c>
      <c r="T22" t="s">
        <v>93</v>
      </c>
      <c r="U22" t="s">
        <v>55</v>
      </c>
      <c r="V22" t="s">
        <v>60</v>
      </c>
    </row>
    <row r="23" spans="1:22" x14ac:dyDescent="0.3">
      <c r="A23" t="s">
        <v>138</v>
      </c>
      <c r="B23" s="3">
        <v>45675</v>
      </c>
      <c r="C23" t="s">
        <v>49</v>
      </c>
      <c r="D23" t="s">
        <v>50</v>
      </c>
      <c r="E23" t="s">
        <v>38</v>
      </c>
      <c r="F23" t="s">
        <v>110</v>
      </c>
      <c r="G23" t="s">
        <v>111</v>
      </c>
      <c r="H23" t="s">
        <v>112</v>
      </c>
      <c r="I23" t="s">
        <v>113</v>
      </c>
      <c r="J23" t="s">
        <v>43</v>
      </c>
      <c r="K23" t="s">
        <v>54</v>
      </c>
      <c r="L23" s="2">
        <v>0.3888888888888889</v>
      </c>
      <c r="M23" s="2">
        <v>0.75</v>
      </c>
      <c r="N23">
        <v>8</v>
      </c>
      <c r="O23">
        <v>0</v>
      </c>
      <c r="P23" t="s">
        <v>32</v>
      </c>
      <c r="R23">
        <v>4</v>
      </c>
      <c r="S23" t="s">
        <v>33</v>
      </c>
      <c r="T23" t="s">
        <v>114</v>
      </c>
      <c r="U23" t="s">
        <v>55</v>
      </c>
      <c r="V23" t="s">
        <v>60</v>
      </c>
    </row>
    <row r="24" spans="1:22" x14ac:dyDescent="0.3">
      <c r="A24" t="s">
        <v>139</v>
      </c>
      <c r="B24" s="1">
        <v>45710</v>
      </c>
      <c r="C24" t="s">
        <v>95</v>
      </c>
      <c r="D24" t="s">
        <v>50</v>
      </c>
      <c r="E24" t="s">
        <v>38</v>
      </c>
      <c r="F24" t="s">
        <v>58</v>
      </c>
      <c r="G24" t="s">
        <v>59</v>
      </c>
      <c r="H24" t="s">
        <v>41</v>
      </c>
      <c r="I24" t="s">
        <v>42</v>
      </c>
      <c r="J24" t="s">
        <v>30</v>
      </c>
      <c r="K24" t="s">
        <v>44</v>
      </c>
      <c r="L24" s="2">
        <v>0.375</v>
      </c>
      <c r="M24" s="2">
        <v>0.75</v>
      </c>
      <c r="N24">
        <v>8</v>
      </c>
      <c r="O24">
        <v>0</v>
      </c>
      <c r="P24" t="s">
        <v>32</v>
      </c>
      <c r="S24" t="s">
        <v>33</v>
      </c>
      <c r="T24" t="s">
        <v>46</v>
      </c>
      <c r="U24" t="s">
        <v>55</v>
      </c>
    </row>
    <row r="25" spans="1:22" x14ac:dyDescent="0.3">
      <c r="A25" t="s">
        <v>140</v>
      </c>
      <c r="B25" s="3">
        <v>45826</v>
      </c>
      <c r="C25" t="s">
        <v>23</v>
      </c>
      <c r="D25" t="s">
        <v>24</v>
      </c>
      <c r="E25" t="s">
        <v>51</v>
      </c>
      <c r="F25" t="s">
        <v>104</v>
      </c>
      <c r="G25" t="s">
        <v>105</v>
      </c>
      <c r="H25" t="s">
        <v>28</v>
      </c>
      <c r="I25" t="s">
        <v>29</v>
      </c>
      <c r="J25" t="s">
        <v>30</v>
      </c>
      <c r="K25" t="s">
        <v>31</v>
      </c>
      <c r="L25" s="2">
        <v>0.375</v>
      </c>
      <c r="M25" s="2">
        <v>0.75</v>
      </c>
      <c r="N25">
        <v>8</v>
      </c>
      <c r="O25">
        <v>0</v>
      </c>
      <c r="P25" t="s">
        <v>32</v>
      </c>
      <c r="R25">
        <v>5</v>
      </c>
      <c r="S25" t="s">
        <v>92</v>
      </c>
      <c r="T25" t="s">
        <v>34</v>
      </c>
      <c r="U25" t="s">
        <v>55</v>
      </c>
      <c r="V25" t="s">
        <v>69</v>
      </c>
    </row>
    <row r="26" spans="1:22" x14ac:dyDescent="0.3">
      <c r="A26" t="s">
        <v>141</v>
      </c>
      <c r="B26" s="3">
        <v>45805</v>
      </c>
      <c r="C26" t="s">
        <v>57</v>
      </c>
      <c r="D26" t="s">
        <v>24</v>
      </c>
      <c r="E26" t="s">
        <v>51</v>
      </c>
      <c r="F26" t="s">
        <v>142</v>
      </c>
      <c r="G26" t="s">
        <v>143</v>
      </c>
      <c r="H26" t="s">
        <v>64</v>
      </c>
      <c r="I26" t="s">
        <v>65</v>
      </c>
      <c r="J26" t="s">
        <v>43</v>
      </c>
      <c r="K26" t="s">
        <v>75</v>
      </c>
      <c r="L26" s="2">
        <v>0.375</v>
      </c>
      <c r="M26" s="2">
        <v>0.75</v>
      </c>
      <c r="N26">
        <v>8.5</v>
      </c>
      <c r="O26">
        <v>0.5</v>
      </c>
      <c r="P26" t="s">
        <v>32</v>
      </c>
      <c r="S26" t="s">
        <v>33</v>
      </c>
      <c r="T26" t="s">
        <v>68</v>
      </c>
      <c r="U26" t="s">
        <v>47</v>
      </c>
    </row>
    <row r="27" spans="1:22" x14ac:dyDescent="0.3">
      <c r="A27" t="s">
        <v>144</v>
      </c>
      <c r="B27" s="3">
        <v>45686</v>
      </c>
      <c r="C27" t="s">
        <v>49</v>
      </c>
      <c r="D27" t="s">
        <v>50</v>
      </c>
      <c r="E27" t="s">
        <v>51</v>
      </c>
      <c r="F27" t="s">
        <v>145</v>
      </c>
      <c r="G27" t="s">
        <v>146</v>
      </c>
      <c r="H27" t="s">
        <v>90</v>
      </c>
      <c r="I27" t="s">
        <v>91</v>
      </c>
      <c r="J27" t="s">
        <v>100</v>
      </c>
      <c r="K27" t="s">
        <v>44</v>
      </c>
      <c r="L27" s="2">
        <v>0.375</v>
      </c>
      <c r="M27" s="2">
        <v>0.75</v>
      </c>
      <c r="N27">
        <v>8</v>
      </c>
      <c r="O27">
        <v>0</v>
      </c>
      <c r="P27" t="s">
        <v>32</v>
      </c>
      <c r="R27">
        <v>4</v>
      </c>
      <c r="S27" t="s">
        <v>92</v>
      </c>
      <c r="T27" t="s">
        <v>93</v>
      </c>
      <c r="U27" t="s">
        <v>85</v>
      </c>
    </row>
    <row r="28" spans="1:22" x14ac:dyDescent="0.3">
      <c r="A28" t="s">
        <v>147</v>
      </c>
      <c r="B28" s="1">
        <v>45824</v>
      </c>
      <c r="C28" t="s">
        <v>23</v>
      </c>
      <c r="D28" t="s">
        <v>24</v>
      </c>
      <c r="E28" t="s">
        <v>109</v>
      </c>
      <c r="F28" t="s">
        <v>148</v>
      </c>
      <c r="G28" t="s">
        <v>149</v>
      </c>
      <c r="H28" t="s">
        <v>112</v>
      </c>
      <c r="I28" t="s">
        <v>113</v>
      </c>
      <c r="J28" t="s">
        <v>43</v>
      </c>
      <c r="K28" t="s">
        <v>81</v>
      </c>
      <c r="L28" s="2">
        <v>0.39930555555555558</v>
      </c>
      <c r="M28" s="2">
        <v>0.29166666666666669</v>
      </c>
      <c r="N28">
        <v>10</v>
      </c>
      <c r="O28">
        <v>2</v>
      </c>
      <c r="P28" t="s">
        <v>32</v>
      </c>
      <c r="S28" t="s">
        <v>33</v>
      </c>
      <c r="T28" t="s">
        <v>114</v>
      </c>
      <c r="U28" t="s">
        <v>85</v>
      </c>
      <c r="V28" t="s">
        <v>60</v>
      </c>
    </row>
    <row r="29" spans="1:22" x14ac:dyDescent="0.3">
      <c r="A29" t="s">
        <v>150</v>
      </c>
      <c r="B29" s="1">
        <v>45821</v>
      </c>
      <c r="C29" t="s">
        <v>23</v>
      </c>
      <c r="D29" t="s">
        <v>24</v>
      </c>
      <c r="E29" t="s">
        <v>119</v>
      </c>
      <c r="F29" t="s">
        <v>151</v>
      </c>
      <c r="G29" t="s">
        <v>152</v>
      </c>
      <c r="H29" t="s">
        <v>98</v>
      </c>
      <c r="I29" t="s">
        <v>99</v>
      </c>
      <c r="J29" t="s">
        <v>30</v>
      </c>
      <c r="K29" t="s">
        <v>31</v>
      </c>
      <c r="L29" s="2">
        <v>0.375</v>
      </c>
      <c r="M29" s="2">
        <v>0.75</v>
      </c>
      <c r="N29">
        <v>8</v>
      </c>
      <c r="O29">
        <v>0</v>
      </c>
      <c r="P29" t="s">
        <v>32</v>
      </c>
      <c r="R29">
        <v>5</v>
      </c>
      <c r="S29" t="s">
        <v>45</v>
      </c>
      <c r="T29" t="s">
        <v>101</v>
      </c>
    </row>
    <row r="30" spans="1:22" x14ac:dyDescent="0.3">
      <c r="A30" t="s">
        <v>153</v>
      </c>
      <c r="B30" s="3">
        <v>45793</v>
      </c>
      <c r="C30" t="s">
        <v>57</v>
      </c>
      <c r="D30" t="s">
        <v>24</v>
      </c>
      <c r="E30" t="s">
        <v>119</v>
      </c>
      <c r="F30" t="s">
        <v>154</v>
      </c>
      <c r="G30" t="s">
        <v>155</v>
      </c>
      <c r="H30" t="s">
        <v>41</v>
      </c>
      <c r="I30" t="s">
        <v>42</v>
      </c>
      <c r="J30" t="s">
        <v>74</v>
      </c>
      <c r="K30" t="s">
        <v>31</v>
      </c>
      <c r="L30" s="2">
        <v>0.375</v>
      </c>
      <c r="M30" s="2">
        <v>0.75</v>
      </c>
      <c r="N30">
        <v>8</v>
      </c>
      <c r="O30">
        <v>0</v>
      </c>
      <c r="P30" t="s">
        <v>32</v>
      </c>
      <c r="R30">
        <v>4</v>
      </c>
      <c r="S30" t="s">
        <v>67</v>
      </c>
      <c r="T30" t="s">
        <v>46</v>
      </c>
      <c r="U30" t="s">
        <v>55</v>
      </c>
    </row>
    <row r="31" spans="1:22" x14ac:dyDescent="0.3">
      <c r="A31" t="s">
        <v>156</v>
      </c>
      <c r="B31" s="1">
        <v>45754</v>
      </c>
      <c r="C31" t="s">
        <v>37</v>
      </c>
      <c r="D31" t="s">
        <v>24</v>
      </c>
      <c r="E31" t="s">
        <v>109</v>
      </c>
      <c r="F31" t="s">
        <v>52</v>
      </c>
      <c r="G31" t="s">
        <v>53</v>
      </c>
      <c r="H31" t="s">
        <v>41</v>
      </c>
      <c r="I31" t="s">
        <v>42</v>
      </c>
      <c r="J31" t="s">
        <v>43</v>
      </c>
      <c r="K31" t="s">
        <v>54</v>
      </c>
      <c r="L31" s="2">
        <v>0.375</v>
      </c>
      <c r="M31" s="2">
        <v>0.75</v>
      </c>
      <c r="N31">
        <v>8</v>
      </c>
      <c r="O31">
        <v>0</v>
      </c>
      <c r="P31" t="s">
        <v>32</v>
      </c>
      <c r="S31" t="s">
        <v>45</v>
      </c>
      <c r="T31" t="s">
        <v>46</v>
      </c>
      <c r="U31" t="s">
        <v>85</v>
      </c>
      <c r="V31" t="s">
        <v>35</v>
      </c>
    </row>
    <row r="32" spans="1:22" x14ac:dyDescent="0.3">
      <c r="A32" t="s">
        <v>157</v>
      </c>
      <c r="B32" s="1">
        <v>45782</v>
      </c>
      <c r="C32" t="s">
        <v>57</v>
      </c>
      <c r="D32" t="s">
        <v>24</v>
      </c>
      <c r="E32" t="s">
        <v>109</v>
      </c>
      <c r="F32" t="s">
        <v>39</v>
      </c>
      <c r="G32" t="s">
        <v>40</v>
      </c>
      <c r="H32" t="s">
        <v>41</v>
      </c>
      <c r="I32" t="s">
        <v>42</v>
      </c>
      <c r="J32" t="s">
        <v>43</v>
      </c>
      <c r="K32" t="s">
        <v>31</v>
      </c>
      <c r="P32" t="s">
        <v>135</v>
      </c>
      <c r="S32" t="s">
        <v>67</v>
      </c>
      <c r="T32" t="s">
        <v>46</v>
      </c>
      <c r="U32" t="s">
        <v>47</v>
      </c>
      <c r="V32" t="s">
        <v>69</v>
      </c>
    </row>
    <row r="33" spans="1:22" x14ac:dyDescent="0.3">
      <c r="A33" t="s">
        <v>158</v>
      </c>
      <c r="B33" s="3">
        <v>45689</v>
      </c>
      <c r="C33" t="s">
        <v>95</v>
      </c>
      <c r="D33" t="s">
        <v>50</v>
      </c>
      <c r="E33" t="s">
        <v>38</v>
      </c>
      <c r="F33" t="s">
        <v>159</v>
      </c>
      <c r="G33" t="s">
        <v>160</v>
      </c>
      <c r="H33" t="s">
        <v>64</v>
      </c>
      <c r="I33" t="s">
        <v>65</v>
      </c>
      <c r="J33" t="s">
        <v>100</v>
      </c>
      <c r="K33" t="s">
        <v>75</v>
      </c>
      <c r="L33" s="2">
        <v>0.375</v>
      </c>
      <c r="M33" s="2">
        <v>0.75</v>
      </c>
      <c r="N33">
        <v>8</v>
      </c>
      <c r="O33">
        <v>0</v>
      </c>
      <c r="P33" t="s">
        <v>32</v>
      </c>
      <c r="R33">
        <v>4</v>
      </c>
      <c r="S33" t="s">
        <v>33</v>
      </c>
      <c r="T33" t="s">
        <v>68</v>
      </c>
      <c r="U33" t="s">
        <v>47</v>
      </c>
    </row>
    <row r="34" spans="1:22" x14ac:dyDescent="0.3">
      <c r="A34" t="s">
        <v>161</v>
      </c>
      <c r="B34" s="3">
        <v>45743</v>
      </c>
      <c r="C34" t="s">
        <v>71</v>
      </c>
      <c r="D34" t="s">
        <v>50</v>
      </c>
      <c r="E34" t="s">
        <v>25</v>
      </c>
      <c r="F34" t="s">
        <v>62</v>
      </c>
      <c r="G34" t="s">
        <v>63</v>
      </c>
      <c r="H34" t="s">
        <v>64</v>
      </c>
      <c r="I34" t="s">
        <v>65</v>
      </c>
      <c r="J34" t="s">
        <v>66</v>
      </c>
      <c r="K34" t="s">
        <v>44</v>
      </c>
      <c r="L34" s="2">
        <v>0.375</v>
      </c>
      <c r="M34" s="2">
        <v>0.75</v>
      </c>
      <c r="N34">
        <v>10</v>
      </c>
      <c r="O34">
        <v>2</v>
      </c>
      <c r="P34" t="s">
        <v>32</v>
      </c>
      <c r="R34">
        <v>4</v>
      </c>
      <c r="S34" t="s">
        <v>92</v>
      </c>
      <c r="T34" t="s">
        <v>68</v>
      </c>
      <c r="U34" t="s">
        <v>55</v>
      </c>
    </row>
    <row r="35" spans="1:22" x14ac:dyDescent="0.3">
      <c r="A35" t="s">
        <v>162</v>
      </c>
      <c r="B35" s="1">
        <v>45733</v>
      </c>
      <c r="C35" t="s">
        <v>71</v>
      </c>
      <c r="D35" t="s">
        <v>50</v>
      </c>
      <c r="E35" t="s">
        <v>109</v>
      </c>
      <c r="F35" t="s">
        <v>163</v>
      </c>
      <c r="G35" t="s">
        <v>164</v>
      </c>
      <c r="H35" t="s">
        <v>112</v>
      </c>
      <c r="I35" t="s">
        <v>113</v>
      </c>
      <c r="J35" t="s">
        <v>100</v>
      </c>
      <c r="K35" t="s">
        <v>44</v>
      </c>
      <c r="L35" s="2">
        <v>0.38194444444444442</v>
      </c>
      <c r="M35" s="2">
        <v>0.75</v>
      </c>
      <c r="N35">
        <v>8</v>
      </c>
      <c r="O35">
        <v>0</v>
      </c>
      <c r="P35" t="s">
        <v>32</v>
      </c>
      <c r="R35">
        <v>4</v>
      </c>
      <c r="S35" t="s">
        <v>92</v>
      </c>
      <c r="T35" t="s">
        <v>114</v>
      </c>
      <c r="V35" t="s">
        <v>35</v>
      </c>
    </row>
    <row r="36" spans="1:22" x14ac:dyDescent="0.3">
      <c r="A36" t="s">
        <v>165</v>
      </c>
      <c r="B36" s="3">
        <v>45698</v>
      </c>
      <c r="C36" t="s">
        <v>95</v>
      </c>
      <c r="D36" t="s">
        <v>50</v>
      </c>
      <c r="E36" t="s">
        <v>109</v>
      </c>
      <c r="F36" t="s">
        <v>166</v>
      </c>
      <c r="G36" t="s">
        <v>167</v>
      </c>
      <c r="H36" t="s">
        <v>41</v>
      </c>
      <c r="I36" t="s">
        <v>42</v>
      </c>
      <c r="J36" t="s">
        <v>100</v>
      </c>
      <c r="K36" t="s">
        <v>81</v>
      </c>
      <c r="L36" s="2">
        <v>0.91666666666666663</v>
      </c>
      <c r="M36" s="2">
        <v>0.29166666666666669</v>
      </c>
      <c r="N36">
        <v>10</v>
      </c>
      <c r="O36">
        <v>2</v>
      </c>
      <c r="P36" t="s">
        <v>32</v>
      </c>
      <c r="R36">
        <v>3</v>
      </c>
      <c r="S36" t="s">
        <v>45</v>
      </c>
      <c r="T36" t="s">
        <v>46</v>
      </c>
      <c r="U36" t="s">
        <v>55</v>
      </c>
      <c r="V36" t="s">
        <v>69</v>
      </c>
    </row>
    <row r="37" spans="1:22" x14ac:dyDescent="0.3">
      <c r="A37" t="s">
        <v>168</v>
      </c>
      <c r="B37" s="1">
        <v>45776</v>
      </c>
      <c r="C37" t="s">
        <v>37</v>
      </c>
      <c r="D37" t="s">
        <v>24</v>
      </c>
      <c r="E37" t="s">
        <v>87</v>
      </c>
      <c r="F37" t="s">
        <v>96</v>
      </c>
      <c r="G37" t="s">
        <v>97</v>
      </c>
      <c r="H37" t="s">
        <v>98</v>
      </c>
      <c r="I37" t="s">
        <v>99</v>
      </c>
      <c r="J37" t="s">
        <v>100</v>
      </c>
      <c r="K37" t="s">
        <v>54</v>
      </c>
      <c r="L37" s="2">
        <v>0.375</v>
      </c>
      <c r="M37" s="2">
        <v>0.75</v>
      </c>
      <c r="N37">
        <v>8</v>
      </c>
      <c r="O37">
        <v>0</v>
      </c>
      <c r="P37" t="s">
        <v>32</v>
      </c>
      <c r="R37">
        <v>3</v>
      </c>
      <c r="S37" t="s">
        <v>67</v>
      </c>
      <c r="T37" t="s">
        <v>101</v>
      </c>
      <c r="V37" t="s">
        <v>60</v>
      </c>
    </row>
    <row r="38" spans="1:22" x14ac:dyDescent="0.3">
      <c r="A38" t="s">
        <v>169</v>
      </c>
      <c r="B38" s="3">
        <v>45739</v>
      </c>
      <c r="C38" t="s">
        <v>71</v>
      </c>
      <c r="D38" t="s">
        <v>50</v>
      </c>
      <c r="E38" t="s">
        <v>103</v>
      </c>
      <c r="F38" t="s">
        <v>170</v>
      </c>
      <c r="G38" t="s">
        <v>171</v>
      </c>
      <c r="H38" t="s">
        <v>64</v>
      </c>
      <c r="I38" t="s">
        <v>65</v>
      </c>
      <c r="J38" t="s">
        <v>43</v>
      </c>
      <c r="K38" t="s">
        <v>54</v>
      </c>
      <c r="L38" s="2">
        <v>0.375</v>
      </c>
      <c r="M38" s="2">
        <v>0.75</v>
      </c>
      <c r="N38">
        <v>10</v>
      </c>
      <c r="O38">
        <v>2</v>
      </c>
      <c r="P38" t="s">
        <v>32</v>
      </c>
      <c r="R38">
        <v>3</v>
      </c>
      <c r="S38" t="s">
        <v>33</v>
      </c>
      <c r="T38" t="s">
        <v>68</v>
      </c>
      <c r="U38" t="s">
        <v>55</v>
      </c>
    </row>
    <row r="39" spans="1:22" x14ac:dyDescent="0.3">
      <c r="A39" t="s">
        <v>172</v>
      </c>
      <c r="B39" s="1">
        <v>45781</v>
      </c>
      <c r="C39" t="s">
        <v>57</v>
      </c>
      <c r="D39" t="s">
        <v>24</v>
      </c>
      <c r="E39" t="s">
        <v>103</v>
      </c>
      <c r="F39" t="s">
        <v>173</v>
      </c>
      <c r="G39" t="s">
        <v>174</v>
      </c>
      <c r="H39" t="s">
        <v>90</v>
      </c>
      <c r="I39" t="s">
        <v>91</v>
      </c>
      <c r="J39" t="s">
        <v>74</v>
      </c>
      <c r="K39" t="s">
        <v>75</v>
      </c>
      <c r="L39" s="2">
        <v>0.375</v>
      </c>
      <c r="M39" s="2">
        <v>0.75</v>
      </c>
      <c r="N39">
        <v>8</v>
      </c>
      <c r="O39">
        <v>0</v>
      </c>
      <c r="P39" t="s">
        <v>32</v>
      </c>
      <c r="S39" t="s">
        <v>92</v>
      </c>
      <c r="T39" t="s">
        <v>93</v>
      </c>
      <c r="V39" t="s">
        <v>69</v>
      </c>
    </row>
    <row r="40" spans="1:22" x14ac:dyDescent="0.3">
      <c r="A40" t="s">
        <v>175</v>
      </c>
      <c r="B40" s="1">
        <v>45718</v>
      </c>
      <c r="C40" t="s">
        <v>71</v>
      </c>
      <c r="D40" t="s">
        <v>50</v>
      </c>
      <c r="E40" t="s">
        <v>103</v>
      </c>
      <c r="F40" t="s">
        <v>120</v>
      </c>
      <c r="G40" t="s">
        <v>121</v>
      </c>
      <c r="H40" t="s">
        <v>41</v>
      </c>
      <c r="I40" t="s">
        <v>42</v>
      </c>
      <c r="J40" t="s">
        <v>74</v>
      </c>
      <c r="K40" t="s">
        <v>81</v>
      </c>
      <c r="L40" s="2">
        <v>0.91666666666666663</v>
      </c>
      <c r="M40" s="2">
        <v>0.29166666666666669</v>
      </c>
      <c r="N40">
        <v>9</v>
      </c>
      <c r="O40">
        <v>1</v>
      </c>
      <c r="P40" t="s">
        <v>32</v>
      </c>
      <c r="R40">
        <v>4</v>
      </c>
      <c r="S40" t="s">
        <v>33</v>
      </c>
      <c r="T40" t="s">
        <v>46</v>
      </c>
      <c r="U40" t="s">
        <v>85</v>
      </c>
      <c r="V40" t="s">
        <v>35</v>
      </c>
    </row>
    <row r="41" spans="1:22" x14ac:dyDescent="0.3">
      <c r="A41" t="s">
        <v>176</v>
      </c>
      <c r="B41" s="3">
        <v>45791</v>
      </c>
      <c r="C41" t="s">
        <v>57</v>
      </c>
      <c r="D41" t="s">
        <v>24</v>
      </c>
      <c r="E41" t="s">
        <v>51</v>
      </c>
      <c r="F41" t="s">
        <v>163</v>
      </c>
      <c r="G41" t="s">
        <v>164</v>
      </c>
      <c r="H41" t="s">
        <v>112</v>
      </c>
      <c r="I41" t="s">
        <v>113</v>
      </c>
      <c r="J41" t="s">
        <v>100</v>
      </c>
      <c r="K41" t="s">
        <v>81</v>
      </c>
      <c r="L41" s="2">
        <v>0.39930555555555558</v>
      </c>
      <c r="M41" s="2">
        <v>0.29166666666666669</v>
      </c>
      <c r="N41">
        <v>9.5</v>
      </c>
      <c r="O41">
        <v>1.5</v>
      </c>
      <c r="P41" t="s">
        <v>32</v>
      </c>
      <c r="R41">
        <v>4</v>
      </c>
      <c r="S41" t="s">
        <v>33</v>
      </c>
      <c r="T41" t="s">
        <v>114</v>
      </c>
      <c r="U41" t="s">
        <v>47</v>
      </c>
      <c r="V41" t="s">
        <v>69</v>
      </c>
    </row>
    <row r="42" spans="1:22" x14ac:dyDescent="0.3">
      <c r="A42" t="s">
        <v>177</v>
      </c>
      <c r="B42" s="3">
        <v>45829</v>
      </c>
      <c r="C42" t="s">
        <v>23</v>
      </c>
      <c r="D42" t="s">
        <v>24</v>
      </c>
      <c r="E42" t="s">
        <v>38</v>
      </c>
      <c r="F42" t="s">
        <v>110</v>
      </c>
      <c r="G42" t="s">
        <v>111</v>
      </c>
      <c r="H42" t="s">
        <v>112</v>
      </c>
      <c r="I42" t="s">
        <v>113</v>
      </c>
      <c r="J42" t="s">
        <v>43</v>
      </c>
      <c r="K42" t="s">
        <v>54</v>
      </c>
      <c r="L42" s="2">
        <v>0.39930555555555558</v>
      </c>
      <c r="M42" s="2">
        <v>0.75</v>
      </c>
      <c r="N42">
        <v>8</v>
      </c>
      <c r="O42">
        <v>0</v>
      </c>
      <c r="P42" t="s">
        <v>32</v>
      </c>
      <c r="R42">
        <v>3</v>
      </c>
      <c r="S42" t="s">
        <v>67</v>
      </c>
      <c r="T42" t="s">
        <v>114</v>
      </c>
      <c r="U42" t="s">
        <v>47</v>
      </c>
      <c r="V42" t="s">
        <v>35</v>
      </c>
    </row>
    <row r="43" spans="1:22" x14ac:dyDescent="0.3">
      <c r="A43" t="s">
        <v>178</v>
      </c>
      <c r="B43" s="3">
        <v>45766</v>
      </c>
      <c r="C43" t="s">
        <v>37</v>
      </c>
      <c r="D43" t="s">
        <v>24</v>
      </c>
      <c r="E43" t="s">
        <v>38</v>
      </c>
      <c r="F43" t="s">
        <v>77</v>
      </c>
      <c r="G43" t="s">
        <v>78</v>
      </c>
      <c r="H43" t="s">
        <v>79</v>
      </c>
      <c r="I43" t="s">
        <v>80</v>
      </c>
      <c r="J43" t="s">
        <v>30</v>
      </c>
      <c r="K43" t="s">
        <v>54</v>
      </c>
      <c r="L43" s="2">
        <v>0.375</v>
      </c>
      <c r="M43" s="2">
        <v>0.75</v>
      </c>
      <c r="N43">
        <v>8</v>
      </c>
      <c r="O43">
        <v>0</v>
      </c>
      <c r="P43" t="s">
        <v>32</v>
      </c>
      <c r="R43">
        <v>5</v>
      </c>
      <c r="S43" t="s">
        <v>92</v>
      </c>
      <c r="T43" t="s">
        <v>84</v>
      </c>
      <c r="U43" t="s">
        <v>47</v>
      </c>
      <c r="V43" t="s">
        <v>60</v>
      </c>
    </row>
    <row r="44" spans="1:22" x14ac:dyDescent="0.3">
      <c r="A44" t="s">
        <v>179</v>
      </c>
      <c r="B44" s="1">
        <v>45693</v>
      </c>
      <c r="C44" t="s">
        <v>95</v>
      </c>
      <c r="D44" t="s">
        <v>50</v>
      </c>
      <c r="E44" t="s">
        <v>51</v>
      </c>
      <c r="F44" t="s">
        <v>58</v>
      </c>
      <c r="G44" t="s">
        <v>59</v>
      </c>
      <c r="H44" t="s">
        <v>180</v>
      </c>
      <c r="I44" t="s">
        <v>42</v>
      </c>
      <c r="J44" t="s">
        <v>30</v>
      </c>
      <c r="K44" t="s">
        <v>44</v>
      </c>
      <c r="P44" t="s">
        <v>135</v>
      </c>
      <c r="S44" t="s">
        <v>92</v>
      </c>
      <c r="T44" t="s">
        <v>46</v>
      </c>
      <c r="U44" t="s">
        <v>47</v>
      </c>
      <c r="V44" t="s">
        <v>35</v>
      </c>
    </row>
    <row r="45" spans="1:22" x14ac:dyDescent="0.3">
      <c r="A45" t="s">
        <v>181</v>
      </c>
      <c r="B45" s="3">
        <v>45763</v>
      </c>
      <c r="C45" t="s">
        <v>37</v>
      </c>
      <c r="D45" t="s">
        <v>24</v>
      </c>
      <c r="E45" t="s">
        <v>51</v>
      </c>
      <c r="F45" t="s">
        <v>182</v>
      </c>
      <c r="G45" t="s">
        <v>183</v>
      </c>
      <c r="H45" t="s">
        <v>112</v>
      </c>
      <c r="I45" t="s">
        <v>113</v>
      </c>
      <c r="J45" t="s">
        <v>30</v>
      </c>
      <c r="K45" t="s">
        <v>31</v>
      </c>
      <c r="L45" s="2">
        <v>0.375</v>
      </c>
      <c r="M45" s="2">
        <v>0.75</v>
      </c>
      <c r="N45">
        <v>8</v>
      </c>
      <c r="O45">
        <v>0</v>
      </c>
      <c r="P45" t="s">
        <v>32</v>
      </c>
      <c r="R45">
        <v>4</v>
      </c>
      <c r="S45" t="s">
        <v>92</v>
      </c>
      <c r="T45" t="s">
        <v>114</v>
      </c>
      <c r="U45" t="s">
        <v>55</v>
      </c>
      <c r="V45" t="s">
        <v>69</v>
      </c>
    </row>
    <row r="46" spans="1:22" x14ac:dyDescent="0.3">
      <c r="A46" t="s">
        <v>184</v>
      </c>
      <c r="B46" s="3">
        <v>45670</v>
      </c>
      <c r="C46" t="s">
        <v>49</v>
      </c>
      <c r="D46" t="s">
        <v>50</v>
      </c>
      <c r="E46" t="s">
        <v>109</v>
      </c>
      <c r="F46" t="s">
        <v>185</v>
      </c>
      <c r="G46" t="s">
        <v>186</v>
      </c>
      <c r="H46" t="s">
        <v>79</v>
      </c>
      <c r="I46" t="s">
        <v>80</v>
      </c>
      <c r="J46" t="s">
        <v>66</v>
      </c>
      <c r="K46" t="s">
        <v>31</v>
      </c>
      <c r="L46" s="2">
        <v>0.375</v>
      </c>
      <c r="M46" s="2">
        <v>0.75</v>
      </c>
      <c r="N46">
        <v>8</v>
      </c>
      <c r="O46">
        <v>0</v>
      </c>
      <c r="P46" t="s">
        <v>32</v>
      </c>
      <c r="R46">
        <v>4</v>
      </c>
      <c r="S46" t="s">
        <v>92</v>
      </c>
      <c r="T46" t="s">
        <v>84</v>
      </c>
      <c r="U46" t="s">
        <v>55</v>
      </c>
    </row>
    <row r="47" spans="1:22" x14ac:dyDescent="0.3">
      <c r="A47" t="s">
        <v>187</v>
      </c>
      <c r="B47" s="3">
        <v>45736</v>
      </c>
      <c r="C47" t="s">
        <v>71</v>
      </c>
      <c r="D47" t="s">
        <v>50</v>
      </c>
      <c r="E47" t="s">
        <v>25</v>
      </c>
      <c r="F47" t="s">
        <v>166</v>
      </c>
      <c r="G47" t="s">
        <v>167</v>
      </c>
      <c r="H47" t="s">
        <v>41</v>
      </c>
      <c r="I47" t="s">
        <v>42</v>
      </c>
      <c r="J47" t="s">
        <v>100</v>
      </c>
      <c r="K47" t="s">
        <v>54</v>
      </c>
      <c r="P47" t="s">
        <v>82</v>
      </c>
      <c r="Q47" t="s">
        <v>83</v>
      </c>
      <c r="S47" t="s">
        <v>45</v>
      </c>
      <c r="T47" t="s">
        <v>46</v>
      </c>
      <c r="U47" t="s">
        <v>85</v>
      </c>
    </row>
    <row r="48" spans="1:22" x14ac:dyDescent="0.3">
      <c r="A48" t="s">
        <v>188</v>
      </c>
      <c r="B48" s="1">
        <v>45713</v>
      </c>
      <c r="C48" t="s">
        <v>95</v>
      </c>
      <c r="D48" t="s">
        <v>50</v>
      </c>
      <c r="E48" t="s">
        <v>87</v>
      </c>
      <c r="F48" t="s">
        <v>110</v>
      </c>
      <c r="G48" t="s">
        <v>111</v>
      </c>
      <c r="H48" t="s">
        <v>112</v>
      </c>
      <c r="I48" t="s">
        <v>113</v>
      </c>
      <c r="J48" t="s">
        <v>43</v>
      </c>
      <c r="K48" t="s">
        <v>44</v>
      </c>
      <c r="P48" t="s">
        <v>135</v>
      </c>
      <c r="S48" t="s">
        <v>45</v>
      </c>
      <c r="T48" t="s">
        <v>114</v>
      </c>
      <c r="U48" t="s">
        <v>47</v>
      </c>
      <c r="V48" t="s">
        <v>69</v>
      </c>
    </row>
    <row r="49" spans="1:22" x14ac:dyDescent="0.3">
      <c r="A49" t="s">
        <v>189</v>
      </c>
      <c r="B49" s="1">
        <v>45761</v>
      </c>
      <c r="C49" t="s">
        <v>37</v>
      </c>
      <c r="D49" t="s">
        <v>24</v>
      </c>
      <c r="E49" t="s">
        <v>109</v>
      </c>
      <c r="F49" t="s">
        <v>182</v>
      </c>
      <c r="G49" t="s">
        <v>183</v>
      </c>
      <c r="H49" t="s">
        <v>112</v>
      </c>
      <c r="I49" t="s">
        <v>113</v>
      </c>
      <c r="J49" t="s">
        <v>30</v>
      </c>
      <c r="K49" t="s">
        <v>31</v>
      </c>
      <c r="L49" s="2">
        <v>0.3888888888888889</v>
      </c>
      <c r="M49" s="2">
        <v>0.75</v>
      </c>
      <c r="N49">
        <v>8</v>
      </c>
      <c r="O49">
        <v>0</v>
      </c>
      <c r="P49" t="s">
        <v>32</v>
      </c>
      <c r="S49" t="s">
        <v>67</v>
      </c>
      <c r="T49" t="s">
        <v>114</v>
      </c>
      <c r="V49" t="s">
        <v>60</v>
      </c>
    </row>
    <row r="50" spans="1:22" x14ac:dyDescent="0.3">
      <c r="A50" t="s">
        <v>190</v>
      </c>
      <c r="B50" s="1">
        <v>45738</v>
      </c>
      <c r="C50" t="s">
        <v>71</v>
      </c>
      <c r="D50" t="s">
        <v>50</v>
      </c>
      <c r="E50" t="s">
        <v>38</v>
      </c>
      <c r="F50" t="s">
        <v>124</v>
      </c>
      <c r="G50" t="s">
        <v>125</v>
      </c>
      <c r="H50" t="s">
        <v>28</v>
      </c>
      <c r="I50" t="s">
        <v>29</v>
      </c>
      <c r="J50" t="s">
        <v>66</v>
      </c>
      <c r="K50" t="s">
        <v>44</v>
      </c>
      <c r="L50" s="2">
        <v>0.375</v>
      </c>
      <c r="N50">
        <v>8</v>
      </c>
      <c r="O50">
        <v>0</v>
      </c>
      <c r="P50" t="s">
        <v>32</v>
      </c>
      <c r="R50">
        <v>5</v>
      </c>
      <c r="S50" t="s">
        <v>33</v>
      </c>
      <c r="T50" t="s">
        <v>34</v>
      </c>
      <c r="U50" t="s">
        <v>55</v>
      </c>
      <c r="V50" t="s">
        <v>60</v>
      </c>
    </row>
    <row r="51" spans="1:22" x14ac:dyDescent="0.3">
      <c r="A51" t="s">
        <v>191</v>
      </c>
      <c r="B51" s="1">
        <v>45834</v>
      </c>
      <c r="C51" t="s">
        <v>23</v>
      </c>
      <c r="D51" t="s">
        <v>24</v>
      </c>
      <c r="E51" t="s">
        <v>25</v>
      </c>
      <c r="F51" t="s">
        <v>192</v>
      </c>
      <c r="G51" t="s">
        <v>193</v>
      </c>
      <c r="H51" t="s">
        <v>79</v>
      </c>
      <c r="I51" t="s">
        <v>80</v>
      </c>
      <c r="J51" t="s">
        <v>66</v>
      </c>
      <c r="K51" t="s">
        <v>31</v>
      </c>
      <c r="L51" s="2">
        <v>0.375</v>
      </c>
      <c r="M51" s="2">
        <v>0.75</v>
      </c>
      <c r="N51">
        <v>8</v>
      </c>
      <c r="O51">
        <v>0</v>
      </c>
      <c r="P51" t="s">
        <v>32</v>
      </c>
      <c r="R51">
        <v>4</v>
      </c>
      <c r="S51" t="s">
        <v>67</v>
      </c>
      <c r="T51" t="s">
        <v>84</v>
      </c>
      <c r="U51" t="s">
        <v>85</v>
      </c>
      <c r="V51" t="s">
        <v>69</v>
      </c>
    </row>
    <row r="52" spans="1:22" x14ac:dyDescent="0.3">
      <c r="A52" t="s">
        <v>194</v>
      </c>
      <c r="B52" s="3">
        <v>45746</v>
      </c>
      <c r="C52" t="s">
        <v>71</v>
      </c>
      <c r="D52" t="s">
        <v>50</v>
      </c>
      <c r="E52" t="s">
        <v>103</v>
      </c>
      <c r="F52" t="s">
        <v>195</v>
      </c>
      <c r="G52" t="s">
        <v>196</v>
      </c>
      <c r="H52" t="s">
        <v>98</v>
      </c>
      <c r="I52" t="s">
        <v>99</v>
      </c>
      <c r="J52" t="s">
        <v>43</v>
      </c>
      <c r="K52" t="s">
        <v>54</v>
      </c>
      <c r="P52" t="s">
        <v>82</v>
      </c>
      <c r="Q52" t="s">
        <v>122</v>
      </c>
      <c r="S52" t="s">
        <v>67</v>
      </c>
      <c r="T52" t="s">
        <v>101</v>
      </c>
      <c r="U52" t="s">
        <v>85</v>
      </c>
      <c r="V52" t="s">
        <v>60</v>
      </c>
    </row>
    <row r="53" spans="1:22" x14ac:dyDescent="0.3">
      <c r="A53" t="s">
        <v>197</v>
      </c>
      <c r="B53" s="3">
        <v>45683</v>
      </c>
      <c r="C53" t="s">
        <v>49</v>
      </c>
      <c r="D53" t="s">
        <v>50</v>
      </c>
      <c r="E53" t="s">
        <v>103</v>
      </c>
      <c r="F53" t="s">
        <v>142</v>
      </c>
      <c r="G53" t="s">
        <v>143</v>
      </c>
      <c r="H53" t="s">
        <v>64</v>
      </c>
      <c r="I53" t="s">
        <v>65</v>
      </c>
      <c r="J53" t="s">
        <v>43</v>
      </c>
      <c r="K53" t="s">
        <v>75</v>
      </c>
      <c r="P53" t="s">
        <v>82</v>
      </c>
      <c r="Q53" t="s">
        <v>122</v>
      </c>
      <c r="S53" t="s">
        <v>92</v>
      </c>
      <c r="T53" t="s">
        <v>68</v>
      </c>
      <c r="U53" t="s">
        <v>85</v>
      </c>
    </row>
    <row r="54" spans="1:22" x14ac:dyDescent="0.3">
      <c r="A54" t="s">
        <v>198</v>
      </c>
      <c r="B54" s="3">
        <v>45681</v>
      </c>
      <c r="C54" t="s">
        <v>49</v>
      </c>
      <c r="D54" t="s">
        <v>50</v>
      </c>
      <c r="E54" t="s">
        <v>119</v>
      </c>
      <c r="F54" t="s">
        <v>124</v>
      </c>
      <c r="G54" t="s">
        <v>125</v>
      </c>
      <c r="H54" t="s">
        <v>28</v>
      </c>
      <c r="I54" t="s">
        <v>29</v>
      </c>
      <c r="J54" t="s">
        <v>66</v>
      </c>
      <c r="K54" t="s">
        <v>31</v>
      </c>
      <c r="L54" s="2">
        <v>0.375</v>
      </c>
      <c r="M54" s="2">
        <v>0.75</v>
      </c>
      <c r="N54">
        <v>8</v>
      </c>
      <c r="O54">
        <v>0</v>
      </c>
      <c r="P54" t="s">
        <v>32</v>
      </c>
      <c r="R54">
        <v>3</v>
      </c>
      <c r="S54" t="s">
        <v>67</v>
      </c>
      <c r="T54" t="s">
        <v>34</v>
      </c>
      <c r="U54" t="s">
        <v>85</v>
      </c>
      <c r="V54" t="s">
        <v>35</v>
      </c>
    </row>
    <row r="55" spans="1:22" x14ac:dyDescent="0.3">
      <c r="A55" t="s">
        <v>199</v>
      </c>
      <c r="B55" s="3">
        <v>45717</v>
      </c>
      <c r="C55" t="s">
        <v>71</v>
      </c>
      <c r="D55" t="s">
        <v>50</v>
      </c>
      <c r="E55" t="s">
        <v>38</v>
      </c>
      <c r="F55" t="s">
        <v>104</v>
      </c>
      <c r="G55" t="s">
        <v>105</v>
      </c>
      <c r="H55" t="s">
        <v>28</v>
      </c>
      <c r="I55" t="s">
        <v>29</v>
      </c>
      <c r="J55" t="s">
        <v>30</v>
      </c>
      <c r="K55" t="s">
        <v>54</v>
      </c>
      <c r="P55" t="s">
        <v>82</v>
      </c>
      <c r="Q55" t="s">
        <v>122</v>
      </c>
      <c r="S55" t="s">
        <v>33</v>
      </c>
      <c r="T55" t="s">
        <v>34</v>
      </c>
    </row>
    <row r="56" spans="1:22" x14ac:dyDescent="0.3">
      <c r="A56" t="s">
        <v>200</v>
      </c>
      <c r="B56" s="3">
        <v>45804</v>
      </c>
      <c r="C56" t="s">
        <v>57</v>
      </c>
      <c r="D56" t="s">
        <v>24</v>
      </c>
      <c r="E56" t="s">
        <v>87</v>
      </c>
      <c r="F56" t="s">
        <v>201</v>
      </c>
      <c r="G56" t="s">
        <v>202</v>
      </c>
      <c r="H56" t="s">
        <v>112</v>
      </c>
      <c r="I56" t="s">
        <v>113</v>
      </c>
      <c r="J56" t="s">
        <v>66</v>
      </c>
      <c r="K56" t="s">
        <v>81</v>
      </c>
      <c r="L56" s="2">
        <v>0.38194444444444442</v>
      </c>
      <c r="M56" s="2">
        <v>0.29166666666666669</v>
      </c>
      <c r="N56">
        <v>9.5</v>
      </c>
      <c r="O56">
        <v>1.5</v>
      </c>
      <c r="P56" t="s">
        <v>32</v>
      </c>
      <c r="R56">
        <v>3</v>
      </c>
      <c r="S56" t="s">
        <v>33</v>
      </c>
      <c r="T56" t="s">
        <v>114</v>
      </c>
      <c r="U56" t="s">
        <v>55</v>
      </c>
      <c r="V56" t="s">
        <v>69</v>
      </c>
    </row>
    <row r="57" spans="1:22" x14ac:dyDescent="0.3">
      <c r="A57" t="s">
        <v>203</v>
      </c>
      <c r="B57" s="3">
        <v>45737</v>
      </c>
      <c r="C57" t="s">
        <v>71</v>
      </c>
      <c r="D57" t="s">
        <v>50</v>
      </c>
      <c r="E57" t="s">
        <v>119</v>
      </c>
      <c r="F57" t="s">
        <v>204</v>
      </c>
      <c r="G57" t="s">
        <v>205</v>
      </c>
      <c r="H57" t="s">
        <v>90</v>
      </c>
      <c r="I57" t="s">
        <v>91</v>
      </c>
      <c r="J57" t="s">
        <v>74</v>
      </c>
      <c r="K57" t="s">
        <v>31</v>
      </c>
      <c r="L57" s="2">
        <v>0.375</v>
      </c>
      <c r="M57" s="2">
        <v>0.75</v>
      </c>
      <c r="N57">
        <v>8</v>
      </c>
      <c r="O57">
        <v>0</v>
      </c>
      <c r="P57" t="s">
        <v>32</v>
      </c>
      <c r="R57">
        <v>4</v>
      </c>
      <c r="S57" t="s">
        <v>45</v>
      </c>
      <c r="T57" t="s">
        <v>93</v>
      </c>
      <c r="U57" t="s">
        <v>47</v>
      </c>
      <c r="V57" t="s">
        <v>35</v>
      </c>
    </row>
    <row r="58" spans="1:22" x14ac:dyDescent="0.3">
      <c r="A58" t="s">
        <v>206</v>
      </c>
      <c r="B58" s="1">
        <v>45658</v>
      </c>
      <c r="C58" t="s">
        <v>49</v>
      </c>
      <c r="D58" t="s">
        <v>50</v>
      </c>
      <c r="E58" t="s">
        <v>51</v>
      </c>
      <c r="F58" t="s">
        <v>207</v>
      </c>
      <c r="G58" t="s">
        <v>208</v>
      </c>
      <c r="H58" t="s">
        <v>64</v>
      </c>
      <c r="I58" t="s">
        <v>65</v>
      </c>
      <c r="J58" t="s">
        <v>30</v>
      </c>
      <c r="K58" t="s">
        <v>81</v>
      </c>
      <c r="L58" s="2">
        <v>0.91666666666666663</v>
      </c>
      <c r="M58" s="2">
        <v>0.29166666666666669</v>
      </c>
      <c r="N58">
        <v>10</v>
      </c>
      <c r="O58">
        <v>2</v>
      </c>
      <c r="P58" t="s">
        <v>32</v>
      </c>
      <c r="R58">
        <v>5</v>
      </c>
      <c r="S58" t="s">
        <v>33</v>
      </c>
      <c r="T58" t="s">
        <v>68</v>
      </c>
      <c r="U58" t="s">
        <v>47</v>
      </c>
    </row>
    <row r="59" spans="1:22" x14ac:dyDescent="0.3">
      <c r="A59" t="s">
        <v>209</v>
      </c>
      <c r="B59" s="3">
        <v>45767</v>
      </c>
      <c r="C59" t="s">
        <v>37</v>
      </c>
      <c r="D59" t="s">
        <v>24</v>
      </c>
      <c r="E59" t="s">
        <v>103</v>
      </c>
      <c r="F59" t="s">
        <v>192</v>
      </c>
      <c r="G59" t="s">
        <v>193</v>
      </c>
      <c r="H59" t="s">
        <v>79</v>
      </c>
      <c r="I59" t="s">
        <v>80</v>
      </c>
      <c r="J59" t="s">
        <v>66</v>
      </c>
      <c r="K59" t="s">
        <v>31</v>
      </c>
      <c r="L59" s="2">
        <v>0.375</v>
      </c>
      <c r="M59" s="2">
        <v>0.75</v>
      </c>
      <c r="N59">
        <v>8</v>
      </c>
      <c r="O59">
        <v>0</v>
      </c>
      <c r="P59" t="s">
        <v>32</v>
      </c>
      <c r="R59">
        <v>4</v>
      </c>
      <c r="S59" t="s">
        <v>92</v>
      </c>
      <c r="T59" t="s">
        <v>84</v>
      </c>
      <c r="U59" t="s">
        <v>55</v>
      </c>
    </row>
    <row r="60" spans="1:22" x14ac:dyDescent="0.3">
      <c r="A60" t="s">
        <v>210</v>
      </c>
      <c r="B60" s="3">
        <v>45732</v>
      </c>
      <c r="C60" t="s">
        <v>71</v>
      </c>
      <c r="D60" t="s">
        <v>50</v>
      </c>
      <c r="E60" t="s">
        <v>103</v>
      </c>
      <c r="F60" t="s">
        <v>211</v>
      </c>
      <c r="G60" t="s">
        <v>212</v>
      </c>
      <c r="H60" t="s">
        <v>64</v>
      </c>
      <c r="I60" t="s">
        <v>65</v>
      </c>
      <c r="J60" t="s">
        <v>74</v>
      </c>
      <c r="K60" t="s">
        <v>44</v>
      </c>
      <c r="L60" s="2">
        <v>0.375</v>
      </c>
      <c r="M60" s="2">
        <v>0.75</v>
      </c>
      <c r="N60">
        <v>8.5</v>
      </c>
      <c r="O60">
        <v>0.5</v>
      </c>
      <c r="P60" t="s">
        <v>32</v>
      </c>
      <c r="R60">
        <v>5</v>
      </c>
      <c r="S60" t="s">
        <v>45</v>
      </c>
      <c r="T60" t="s">
        <v>68</v>
      </c>
      <c r="U60" t="s">
        <v>55</v>
      </c>
    </row>
    <row r="61" spans="1:22" x14ac:dyDescent="0.3">
      <c r="A61" t="s">
        <v>213</v>
      </c>
      <c r="B61" s="1">
        <v>45767</v>
      </c>
      <c r="C61" t="s">
        <v>37</v>
      </c>
      <c r="D61" t="s">
        <v>24</v>
      </c>
      <c r="E61" t="s">
        <v>103</v>
      </c>
      <c r="F61" t="s">
        <v>207</v>
      </c>
      <c r="G61" t="s">
        <v>208</v>
      </c>
      <c r="H61" t="s">
        <v>64</v>
      </c>
      <c r="I61" t="s">
        <v>65</v>
      </c>
      <c r="J61" t="s">
        <v>30</v>
      </c>
      <c r="K61" t="s">
        <v>31</v>
      </c>
      <c r="L61" s="2">
        <v>0.375</v>
      </c>
      <c r="M61" s="2">
        <v>0.75</v>
      </c>
      <c r="N61">
        <v>10</v>
      </c>
      <c r="O61">
        <v>2</v>
      </c>
      <c r="P61" t="s">
        <v>32</v>
      </c>
      <c r="R61">
        <v>4</v>
      </c>
      <c r="S61" t="s">
        <v>33</v>
      </c>
      <c r="T61" t="s">
        <v>68</v>
      </c>
      <c r="U61" t="s">
        <v>85</v>
      </c>
    </row>
    <row r="62" spans="1:22" x14ac:dyDescent="0.3">
      <c r="A62" t="s">
        <v>214</v>
      </c>
      <c r="B62" s="3">
        <v>45821</v>
      </c>
      <c r="C62" t="s">
        <v>23</v>
      </c>
      <c r="D62" t="s">
        <v>24</v>
      </c>
      <c r="E62" t="s">
        <v>119</v>
      </c>
      <c r="F62" t="s">
        <v>215</v>
      </c>
      <c r="G62" t="s">
        <v>216</v>
      </c>
      <c r="H62" t="s">
        <v>79</v>
      </c>
      <c r="I62" t="s">
        <v>80</v>
      </c>
      <c r="J62" t="s">
        <v>30</v>
      </c>
      <c r="K62" t="s">
        <v>54</v>
      </c>
      <c r="L62" s="2">
        <v>0.375</v>
      </c>
      <c r="M62" s="2">
        <v>0.75</v>
      </c>
      <c r="N62">
        <v>8</v>
      </c>
      <c r="O62">
        <v>0</v>
      </c>
      <c r="P62" t="s">
        <v>32</v>
      </c>
      <c r="S62" t="s">
        <v>33</v>
      </c>
      <c r="T62" t="s">
        <v>84</v>
      </c>
      <c r="U62" t="s">
        <v>85</v>
      </c>
    </row>
    <row r="63" spans="1:22" x14ac:dyDescent="0.3">
      <c r="A63" t="s">
        <v>217</v>
      </c>
      <c r="B63" s="3">
        <v>45690</v>
      </c>
      <c r="C63" t="s">
        <v>95</v>
      </c>
      <c r="D63" t="s">
        <v>50</v>
      </c>
      <c r="E63" t="s">
        <v>103</v>
      </c>
      <c r="F63" t="s">
        <v>154</v>
      </c>
      <c r="G63" t="s">
        <v>155</v>
      </c>
      <c r="H63" t="s">
        <v>41</v>
      </c>
      <c r="I63" t="s">
        <v>42</v>
      </c>
      <c r="J63" t="s">
        <v>74</v>
      </c>
      <c r="K63" t="s">
        <v>81</v>
      </c>
      <c r="L63" s="2">
        <v>0.91666666666666663</v>
      </c>
      <c r="M63" s="2">
        <v>0.29166666666666669</v>
      </c>
      <c r="N63">
        <v>8.5</v>
      </c>
      <c r="O63">
        <v>0.5</v>
      </c>
      <c r="P63" t="s">
        <v>32</v>
      </c>
      <c r="S63" t="s">
        <v>45</v>
      </c>
      <c r="T63" t="s">
        <v>46</v>
      </c>
      <c r="V63" t="s">
        <v>60</v>
      </c>
    </row>
    <row r="64" spans="1:22" x14ac:dyDescent="0.3">
      <c r="A64" t="s">
        <v>218</v>
      </c>
      <c r="B64" s="3">
        <v>45816</v>
      </c>
      <c r="C64" t="s">
        <v>23</v>
      </c>
      <c r="D64" t="s">
        <v>24</v>
      </c>
      <c r="E64" t="s">
        <v>103</v>
      </c>
      <c r="F64" t="s">
        <v>77</v>
      </c>
      <c r="G64" t="s">
        <v>78</v>
      </c>
      <c r="H64" t="s">
        <v>79</v>
      </c>
      <c r="I64" t="s">
        <v>80</v>
      </c>
      <c r="J64" t="s">
        <v>30</v>
      </c>
      <c r="K64" t="s">
        <v>75</v>
      </c>
      <c r="M64" s="2">
        <v>0.75</v>
      </c>
      <c r="N64">
        <v>8</v>
      </c>
      <c r="O64">
        <v>0</v>
      </c>
      <c r="P64" t="s">
        <v>32</v>
      </c>
      <c r="R64">
        <v>4</v>
      </c>
      <c r="S64" t="s">
        <v>33</v>
      </c>
      <c r="T64" t="s">
        <v>84</v>
      </c>
      <c r="U64" t="s">
        <v>47</v>
      </c>
      <c r="V64" t="s">
        <v>60</v>
      </c>
    </row>
    <row r="65" spans="1:22" x14ac:dyDescent="0.3">
      <c r="A65" t="s">
        <v>219</v>
      </c>
      <c r="B65" s="3">
        <v>45676</v>
      </c>
      <c r="C65" t="s">
        <v>49</v>
      </c>
      <c r="D65" t="s">
        <v>50</v>
      </c>
      <c r="E65" t="s">
        <v>103</v>
      </c>
      <c r="F65" t="s">
        <v>220</v>
      </c>
      <c r="G65" t="s">
        <v>221</v>
      </c>
      <c r="H65" t="s">
        <v>79</v>
      </c>
      <c r="I65" t="s">
        <v>80</v>
      </c>
      <c r="J65" t="s">
        <v>100</v>
      </c>
      <c r="K65" t="s">
        <v>54</v>
      </c>
      <c r="L65" s="2">
        <v>0.375</v>
      </c>
      <c r="M65" s="2">
        <v>0.75</v>
      </c>
      <c r="N65">
        <v>8</v>
      </c>
      <c r="O65">
        <v>0</v>
      </c>
      <c r="P65" t="s">
        <v>32</v>
      </c>
      <c r="R65">
        <v>3</v>
      </c>
      <c r="S65" t="s">
        <v>33</v>
      </c>
      <c r="T65" t="s">
        <v>84</v>
      </c>
      <c r="U65" t="s">
        <v>55</v>
      </c>
    </row>
    <row r="66" spans="1:22" x14ac:dyDescent="0.3">
      <c r="A66" t="s">
        <v>222</v>
      </c>
      <c r="B66" s="3">
        <v>45690</v>
      </c>
      <c r="C66" t="s">
        <v>95</v>
      </c>
      <c r="D66" t="s">
        <v>50</v>
      </c>
      <c r="E66" t="s">
        <v>103</v>
      </c>
      <c r="F66" t="s">
        <v>127</v>
      </c>
      <c r="G66" t="s">
        <v>128</v>
      </c>
      <c r="H66" t="s">
        <v>90</v>
      </c>
      <c r="I66" t="s">
        <v>91</v>
      </c>
      <c r="J66" t="s">
        <v>66</v>
      </c>
      <c r="K66" t="s">
        <v>75</v>
      </c>
      <c r="L66" s="2">
        <v>0.375</v>
      </c>
      <c r="M66" s="2">
        <v>0.75</v>
      </c>
      <c r="N66">
        <v>8</v>
      </c>
      <c r="O66">
        <v>0</v>
      </c>
      <c r="P66" t="s">
        <v>32</v>
      </c>
      <c r="R66">
        <v>4</v>
      </c>
      <c r="S66" t="s">
        <v>45</v>
      </c>
      <c r="T66" t="s">
        <v>93</v>
      </c>
      <c r="U66" t="s">
        <v>85</v>
      </c>
      <c r="V66" t="s">
        <v>69</v>
      </c>
    </row>
    <row r="67" spans="1:22" x14ac:dyDescent="0.3">
      <c r="A67" t="s">
        <v>223</v>
      </c>
      <c r="B67" s="1">
        <v>45761</v>
      </c>
      <c r="C67" t="s">
        <v>37</v>
      </c>
      <c r="D67" t="s">
        <v>24</v>
      </c>
      <c r="E67" t="s">
        <v>109</v>
      </c>
      <c r="F67" t="s">
        <v>159</v>
      </c>
      <c r="G67" t="s">
        <v>160</v>
      </c>
      <c r="H67" t="s">
        <v>64</v>
      </c>
      <c r="I67" t="s">
        <v>65</v>
      </c>
      <c r="J67" t="s">
        <v>100</v>
      </c>
      <c r="K67" t="s">
        <v>75</v>
      </c>
      <c r="L67" s="2">
        <v>0.375</v>
      </c>
      <c r="M67" s="2">
        <v>0.75</v>
      </c>
      <c r="N67">
        <v>10</v>
      </c>
      <c r="O67">
        <v>2</v>
      </c>
      <c r="P67" t="s">
        <v>32</v>
      </c>
      <c r="R67">
        <v>5</v>
      </c>
      <c r="S67" t="s">
        <v>92</v>
      </c>
      <c r="T67" t="s">
        <v>68</v>
      </c>
      <c r="V67" t="s">
        <v>69</v>
      </c>
    </row>
    <row r="68" spans="1:22" x14ac:dyDescent="0.3">
      <c r="A68" t="s">
        <v>224</v>
      </c>
      <c r="B68" s="3">
        <v>45679</v>
      </c>
      <c r="C68" t="s">
        <v>49</v>
      </c>
      <c r="D68" t="s">
        <v>50</v>
      </c>
      <c r="E68" t="s">
        <v>51</v>
      </c>
      <c r="F68" t="s">
        <v>116</v>
      </c>
      <c r="G68" t="s">
        <v>117</v>
      </c>
      <c r="H68" t="s">
        <v>112</v>
      </c>
      <c r="I68" t="s">
        <v>113</v>
      </c>
      <c r="J68" t="s">
        <v>100</v>
      </c>
      <c r="K68" t="s">
        <v>31</v>
      </c>
      <c r="P68" t="s">
        <v>82</v>
      </c>
      <c r="Q68" t="s">
        <v>225</v>
      </c>
      <c r="S68" t="s">
        <v>92</v>
      </c>
      <c r="T68" t="s">
        <v>114</v>
      </c>
      <c r="U68" t="s">
        <v>55</v>
      </c>
      <c r="V68" t="s">
        <v>69</v>
      </c>
    </row>
    <row r="69" spans="1:22" x14ac:dyDescent="0.3">
      <c r="A69" t="s">
        <v>226</v>
      </c>
      <c r="B69" s="3">
        <v>45689</v>
      </c>
      <c r="C69" t="s">
        <v>95</v>
      </c>
      <c r="D69" t="s">
        <v>50</v>
      </c>
      <c r="E69" t="s">
        <v>38</v>
      </c>
      <c r="F69" t="s">
        <v>201</v>
      </c>
      <c r="G69" t="s">
        <v>202</v>
      </c>
      <c r="H69" t="s">
        <v>112</v>
      </c>
      <c r="I69" t="s">
        <v>113</v>
      </c>
      <c r="J69" t="s">
        <v>66</v>
      </c>
      <c r="K69" t="s">
        <v>81</v>
      </c>
      <c r="L69" s="2">
        <v>0.39930555555555558</v>
      </c>
      <c r="M69" s="2">
        <v>0.29166666666666669</v>
      </c>
      <c r="N69">
        <v>9.5</v>
      </c>
      <c r="O69">
        <v>1.5</v>
      </c>
      <c r="P69" t="s">
        <v>32</v>
      </c>
      <c r="S69" t="s">
        <v>33</v>
      </c>
      <c r="T69" t="s">
        <v>114</v>
      </c>
      <c r="U69" t="s">
        <v>85</v>
      </c>
      <c r="V69" t="s">
        <v>69</v>
      </c>
    </row>
    <row r="70" spans="1:22" x14ac:dyDescent="0.3">
      <c r="A70" t="s">
        <v>227</v>
      </c>
      <c r="B70" s="3">
        <v>45709</v>
      </c>
      <c r="C70" t="s">
        <v>95</v>
      </c>
      <c r="D70" t="s">
        <v>50</v>
      </c>
      <c r="E70" t="s">
        <v>119</v>
      </c>
      <c r="F70" t="s">
        <v>228</v>
      </c>
      <c r="G70" t="s">
        <v>229</v>
      </c>
      <c r="H70" t="s">
        <v>79</v>
      </c>
      <c r="I70" t="s">
        <v>80</v>
      </c>
      <c r="J70" t="s">
        <v>43</v>
      </c>
      <c r="K70" t="s">
        <v>31</v>
      </c>
      <c r="L70" s="2">
        <v>0.375</v>
      </c>
      <c r="M70" s="2">
        <v>0.75</v>
      </c>
      <c r="N70">
        <v>8</v>
      </c>
      <c r="O70">
        <v>0</v>
      </c>
      <c r="P70" t="s">
        <v>32</v>
      </c>
      <c r="R70">
        <v>4</v>
      </c>
      <c r="S70" t="s">
        <v>33</v>
      </c>
      <c r="T70" t="s">
        <v>84</v>
      </c>
      <c r="U70" t="s">
        <v>47</v>
      </c>
      <c r="V70" t="s">
        <v>69</v>
      </c>
    </row>
    <row r="71" spans="1:22" x14ac:dyDescent="0.3">
      <c r="A71" t="s">
        <v>230</v>
      </c>
      <c r="B71" s="3">
        <v>45746</v>
      </c>
      <c r="C71" t="s">
        <v>71</v>
      </c>
      <c r="D71" t="s">
        <v>50</v>
      </c>
      <c r="E71" t="s">
        <v>103</v>
      </c>
      <c r="F71" t="s">
        <v>231</v>
      </c>
      <c r="G71" t="s">
        <v>232</v>
      </c>
      <c r="H71" t="s">
        <v>98</v>
      </c>
      <c r="I71" t="s">
        <v>99</v>
      </c>
      <c r="J71" t="s">
        <v>74</v>
      </c>
      <c r="K71" t="s">
        <v>81</v>
      </c>
      <c r="L71" s="2">
        <v>0.91666666666666663</v>
      </c>
      <c r="N71">
        <v>10</v>
      </c>
      <c r="O71">
        <v>2</v>
      </c>
      <c r="P71" t="s">
        <v>32</v>
      </c>
      <c r="S71" t="s">
        <v>33</v>
      </c>
      <c r="T71" t="s">
        <v>101</v>
      </c>
      <c r="U71" t="s">
        <v>85</v>
      </c>
      <c r="V71" t="s">
        <v>60</v>
      </c>
    </row>
    <row r="72" spans="1:22" x14ac:dyDescent="0.3">
      <c r="A72" t="s">
        <v>233</v>
      </c>
      <c r="B72" s="1">
        <v>45791</v>
      </c>
      <c r="C72" t="s">
        <v>57</v>
      </c>
      <c r="D72" t="s">
        <v>24</v>
      </c>
      <c r="E72" t="s">
        <v>51</v>
      </c>
      <c r="F72" t="s">
        <v>142</v>
      </c>
      <c r="G72" t="s">
        <v>143</v>
      </c>
      <c r="H72" t="s">
        <v>64</v>
      </c>
      <c r="I72" t="s">
        <v>65</v>
      </c>
      <c r="J72" t="s">
        <v>43</v>
      </c>
      <c r="K72" t="s">
        <v>44</v>
      </c>
      <c r="L72" s="2">
        <v>0.375</v>
      </c>
      <c r="M72" s="2">
        <v>0.75</v>
      </c>
      <c r="N72">
        <v>8.5</v>
      </c>
      <c r="O72">
        <v>0.5</v>
      </c>
      <c r="P72" t="s">
        <v>32</v>
      </c>
      <c r="R72">
        <v>3</v>
      </c>
      <c r="S72" t="s">
        <v>45</v>
      </c>
      <c r="T72" t="s">
        <v>68</v>
      </c>
      <c r="U72" t="s">
        <v>47</v>
      </c>
      <c r="V72" t="s">
        <v>35</v>
      </c>
    </row>
    <row r="73" spans="1:22" x14ac:dyDescent="0.3">
      <c r="A73" t="s">
        <v>234</v>
      </c>
      <c r="B73" s="3">
        <v>45785</v>
      </c>
      <c r="C73" t="s">
        <v>57</v>
      </c>
      <c r="D73" t="s">
        <v>24</v>
      </c>
      <c r="E73" t="s">
        <v>25</v>
      </c>
      <c r="F73" t="s">
        <v>148</v>
      </c>
      <c r="G73" t="s">
        <v>149</v>
      </c>
      <c r="H73" t="s">
        <v>112</v>
      </c>
      <c r="I73" t="s">
        <v>113</v>
      </c>
      <c r="J73" t="s">
        <v>43</v>
      </c>
      <c r="K73" t="s">
        <v>31</v>
      </c>
      <c r="L73" s="2">
        <v>0.39930555555555558</v>
      </c>
      <c r="M73" s="2">
        <v>0.75</v>
      </c>
      <c r="N73">
        <v>8</v>
      </c>
      <c r="O73">
        <v>0</v>
      </c>
      <c r="P73" t="s">
        <v>32</v>
      </c>
      <c r="R73">
        <v>5</v>
      </c>
      <c r="S73" t="s">
        <v>92</v>
      </c>
      <c r="T73" t="s">
        <v>114</v>
      </c>
      <c r="U73" t="s">
        <v>47</v>
      </c>
      <c r="V73" t="s">
        <v>35</v>
      </c>
    </row>
    <row r="74" spans="1:22" x14ac:dyDescent="0.3">
      <c r="A74" t="s">
        <v>235</v>
      </c>
      <c r="B74" s="3">
        <v>45680</v>
      </c>
      <c r="C74" t="s">
        <v>49</v>
      </c>
      <c r="D74" t="s">
        <v>50</v>
      </c>
      <c r="E74" t="s">
        <v>25</v>
      </c>
      <c r="F74" t="s">
        <v>182</v>
      </c>
      <c r="G74" t="s">
        <v>183</v>
      </c>
      <c r="H74" t="s">
        <v>112</v>
      </c>
      <c r="I74" t="s">
        <v>113</v>
      </c>
      <c r="J74" t="s">
        <v>30</v>
      </c>
      <c r="K74" t="s">
        <v>31</v>
      </c>
      <c r="L74" s="2">
        <v>0.375</v>
      </c>
      <c r="M74" s="2">
        <v>0.75</v>
      </c>
      <c r="N74">
        <v>8</v>
      </c>
      <c r="O74">
        <v>0</v>
      </c>
      <c r="P74" t="s">
        <v>32</v>
      </c>
      <c r="R74">
        <v>3</v>
      </c>
      <c r="S74" t="s">
        <v>92</v>
      </c>
      <c r="T74" t="s">
        <v>114</v>
      </c>
      <c r="U74" t="s">
        <v>47</v>
      </c>
      <c r="V74" t="s">
        <v>35</v>
      </c>
    </row>
    <row r="75" spans="1:22" x14ac:dyDescent="0.3">
      <c r="A75" t="s">
        <v>236</v>
      </c>
      <c r="B75" s="3">
        <v>45746</v>
      </c>
      <c r="C75" t="s">
        <v>71</v>
      </c>
      <c r="D75" t="s">
        <v>50</v>
      </c>
      <c r="E75" t="s">
        <v>103</v>
      </c>
      <c r="F75" t="s">
        <v>204</v>
      </c>
      <c r="G75" t="s">
        <v>205</v>
      </c>
      <c r="H75" t="s">
        <v>90</v>
      </c>
      <c r="I75" t="s">
        <v>91</v>
      </c>
      <c r="J75" t="s">
        <v>74</v>
      </c>
      <c r="K75" t="s">
        <v>31</v>
      </c>
      <c r="L75" s="2">
        <v>0.375</v>
      </c>
      <c r="M75" s="2">
        <v>0.75</v>
      </c>
      <c r="N75">
        <v>8</v>
      </c>
      <c r="O75">
        <v>0</v>
      </c>
      <c r="P75" t="s">
        <v>32</v>
      </c>
      <c r="S75" t="s">
        <v>33</v>
      </c>
      <c r="T75" t="s">
        <v>93</v>
      </c>
    </row>
    <row r="76" spans="1:22" x14ac:dyDescent="0.3">
      <c r="A76" t="s">
        <v>237</v>
      </c>
      <c r="B76" s="1">
        <v>45774</v>
      </c>
      <c r="C76" t="s">
        <v>37</v>
      </c>
      <c r="D76" t="s">
        <v>24</v>
      </c>
      <c r="E76" t="s">
        <v>103</v>
      </c>
      <c r="F76" t="s">
        <v>148</v>
      </c>
      <c r="G76" t="s">
        <v>149</v>
      </c>
      <c r="H76" t="s">
        <v>112</v>
      </c>
      <c r="I76" t="s">
        <v>113</v>
      </c>
      <c r="J76" t="s">
        <v>43</v>
      </c>
      <c r="K76" t="s">
        <v>44</v>
      </c>
      <c r="L76" s="2">
        <v>0.3888888888888889</v>
      </c>
      <c r="M76" s="2">
        <v>0.75</v>
      </c>
      <c r="N76">
        <v>8</v>
      </c>
      <c r="O76">
        <v>0</v>
      </c>
      <c r="P76" t="s">
        <v>32</v>
      </c>
      <c r="R76">
        <v>4</v>
      </c>
      <c r="S76" t="s">
        <v>67</v>
      </c>
      <c r="T76" t="s">
        <v>114</v>
      </c>
      <c r="U76" t="s">
        <v>85</v>
      </c>
      <c r="V76" t="s">
        <v>69</v>
      </c>
    </row>
    <row r="77" spans="1:22" x14ac:dyDescent="0.3">
      <c r="A77" t="s">
        <v>238</v>
      </c>
      <c r="B77" s="1">
        <v>45786</v>
      </c>
      <c r="C77" t="s">
        <v>57</v>
      </c>
      <c r="D77" t="s">
        <v>24</v>
      </c>
      <c r="E77" t="s">
        <v>119</v>
      </c>
      <c r="F77" t="s">
        <v>145</v>
      </c>
      <c r="G77" t="s">
        <v>146</v>
      </c>
      <c r="H77" t="s">
        <v>90</v>
      </c>
      <c r="I77" t="s">
        <v>91</v>
      </c>
      <c r="J77" t="s">
        <v>100</v>
      </c>
      <c r="K77" t="s">
        <v>54</v>
      </c>
      <c r="L77" s="2">
        <v>0.375</v>
      </c>
      <c r="M77" s="2">
        <v>0.75</v>
      </c>
      <c r="N77">
        <v>8</v>
      </c>
      <c r="O77">
        <v>0</v>
      </c>
      <c r="P77" t="s">
        <v>32</v>
      </c>
      <c r="R77">
        <v>5</v>
      </c>
      <c r="S77" t="s">
        <v>92</v>
      </c>
      <c r="T77" t="s">
        <v>93</v>
      </c>
      <c r="U77" t="s">
        <v>47</v>
      </c>
      <c r="V77" t="s">
        <v>60</v>
      </c>
    </row>
    <row r="78" spans="1:22" x14ac:dyDescent="0.3">
      <c r="A78" t="s">
        <v>239</v>
      </c>
      <c r="B78" s="1">
        <v>45673</v>
      </c>
      <c r="C78" t="s">
        <v>49</v>
      </c>
      <c r="D78" t="s">
        <v>50</v>
      </c>
      <c r="E78" t="s">
        <v>25</v>
      </c>
      <c r="F78" t="s">
        <v>240</v>
      </c>
      <c r="G78" t="s">
        <v>241</v>
      </c>
      <c r="H78" t="s">
        <v>41</v>
      </c>
      <c r="I78" t="s">
        <v>42</v>
      </c>
      <c r="J78" t="s">
        <v>66</v>
      </c>
      <c r="K78" t="s">
        <v>75</v>
      </c>
      <c r="L78" s="2">
        <v>0.375</v>
      </c>
      <c r="M78" s="2">
        <v>0.75</v>
      </c>
      <c r="N78">
        <v>8</v>
      </c>
      <c r="O78">
        <v>0</v>
      </c>
      <c r="P78" t="s">
        <v>32</v>
      </c>
      <c r="S78" t="s">
        <v>45</v>
      </c>
      <c r="T78" t="s">
        <v>46</v>
      </c>
      <c r="U78" t="s">
        <v>47</v>
      </c>
      <c r="V78" t="s">
        <v>69</v>
      </c>
    </row>
    <row r="79" spans="1:22" x14ac:dyDescent="0.3">
      <c r="A79" t="s">
        <v>242</v>
      </c>
      <c r="B79" s="3">
        <v>45666</v>
      </c>
      <c r="C79" t="s">
        <v>49</v>
      </c>
      <c r="D79" t="s">
        <v>50</v>
      </c>
      <c r="E79" t="s">
        <v>25</v>
      </c>
      <c r="F79" t="s">
        <v>243</v>
      </c>
      <c r="G79" t="s">
        <v>244</v>
      </c>
      <c r="H79" t="s">
        <v>90</v>
      </c>
      <c r="I79" t="s">
        <v>91</v>
      </c>
      <c r="J79" t="s">
        <v>30</v>
      </c>
      <c r="K79" t="s">
        <v>75</v>
      </c>
      <c r="L79" s="2">
        <v>0.375</v>
      </c>
      <c r="M79" s="2">
        <v>0.75</v>
      </c>
      <c r="N79">
        <v>8</v>
      </c>
      <c r="O79">
        <v>0</v>
      </c>
      <c r="P79" t="s">
        <v>32</v>
      </c>
      <c r="R79">
        <v>4</v>
      </c>
      <c r="S79" t="s">
        <v>33</v>
      </c>
      <c r="T79" t="s">
        <v>93</v>
      </c>
      <c r="U79" t="s">
        <v>47</v>
      </c>
    </row>
    <row r="80" spans="1:22" x14ac:dyDescent="0.3">
      <c r="A80" t="s">
        <v>245</v>
      </c>
      <c r="B80" s="3">
        <v>45802</v>
      </c>
      <c r="C80" t="s">
        <v>57</v>
      </c>
      <c r="D80" t="s">
        <v>24</v>
      </c>
      <c r="E80" t="s">
        <v>103</v>
      </c>
      <c r="F80" t="s">
        <v>88</v>
      </c>
      <c r="G80" t="s">
        <v>89</v>
      </c>
      <c r="H80" t="s">
        <v>90</v>
      </c>
      <c r="I80" t="s">
        <v>91</v>
      </c>
      <c r="J80" t="s">
        <v>43</v>
      </c>
      <c r="K80" t="s">
        <v>54</v>
      </c>
      <c r="L80" s="2">
        <v>0.375</v>
      </c>
      <c r="M80" s="2">
        <v>0.75</v>
      </c>
      <c r="N80">
        <v>8</v>
      </c>
      <c r="O80">
        <v>0</v>
      </c>
      <c r="P80" t="s">
        <v>32</v>
      </c>
      <c r="R80">
        <v>4</v>
      </c>
      <c r="S80" t="s">
        <v>92</v>
      </c>
      <c r="T80" t="s">
        <v>93</v>
      </c>
      <c r="U80" t="s">
        <v>55</v>
      </c>
      <c r="V80" t="s">
        <v>60</v>
      </c>
    </row>
    <row r="81" spans="1:22" x14ac:dyDescent="0.3">
      <c r="A81" t="s">
        <v>246</v>
      </c>
      <c r="B81" s="3">
        <v>45689</v>
      </c>
      <c r="C81" t="s">
        <v>95</v>
      </c>
      <c r="D81" t="s">
        <v>50</v>
      </c>
      <c r="E81" t="s">
        <v>38</v>
      </c>
      <c r="F81" t="s">
        <v>247</v>
      </c>
      <c r="G81" t="s">
        <v>248</v>
      </c>
      <c r="H81" t="s">
        <v>64</v>
      </c>
      <c r="I81" t="s">
        <v>65</v>
      </c>
      <c r="J81" t="s">
        <v>66</v>
      </c>
      <c r="K81" t="s">
        <v>81</v>
      </c>
      <c r="L81" s="2">
        <v>0.91666666666666663</v>
      </c>
      <c r="M81" s="2">
        <v>0.29166666666666669</v>
      </c>
      <c r="N81">
        <v>9</v>
      </c>
      <c r="O81">
        <v>1</v>
      </c>
      <c r="P81" t="s">
        <v>32</v>
      </c>
      <c r="R81">
        <v>4</v>
      </c>
      <c r="S81" t="s">
        <v>67</v>
      </c>
      <c r="T81" t="s">
        <v>68</v>
      </c>
      <c r="U81" t="s">
        <v>47</v>
      </c>
    </row>
    <row r="82" spans="1:22" x14ac:dyDescent="0.3">
      <c r="A82" t="s">
        <v>249</v>
      </c>
      <c r="B82" s="3">
        <v>45779</v>
      </c>
      <c r="C82" t="s">
        <v>57</v>
      </c>
      <c r="D82" t="s">
        <v>24</v>
      </c>
      <c r="E82" t="s">
        <v>119</v>
      </c>
      <c r="F82" t="s">
        <v>72</v>
      </c>
      <c r="G82" t="s">
        <v>73</v>
      </c>
      <c r="H82" t="s">
        <v>28</v>
      </c>
      <c r="I82" t="s">
        <v>29</v>
      </c>
      <c r="J82" t="s">
        <v>74</v>
      </c>
      <c r="K82" t="s">
        <v>31</v>
      </c>
      <c r="L82" s="2">
        <v>0.375</v>
      </c>
      <c r="M82" s="2">
        <v>0.75</v>
      </c>
      <c r="N82">
        <v>8</v>
      </c>
      <c r="O82">
        <v>0</v>
      </c>
      <c r="P82" t="s">
        <v>32</v>
      </c>
      <c r="R82">
        <v>4</v>
      </c>
      <c r="S82" t="s">
        <v>67</v>
      </c>
      <c r="T82" t="s">
        <v>34</v>
      </c>
      <c r="U82" t="s">
        <v>47</v>
      </c>
      <c r="V82" t="s">
        <v>35</v>
      </c>
    </row>
    <row r="83" spans="1:22" x14ac:dyDescent="0.3">
      <c r="A83" t="s">
        <v>250</v>
      </c>
      <c r="B83" s="3">
        <v>45772</v>
      </c>
      <c r="C83" t="s">
        <v>37</v>
      </c>
      <c r="D83" t="s">
        <v>24</v>
      </c>
      <c r="E83" t="s">
        <v>119</v>
      </c>
      <c r="F83" t="s">
        <v>166</v>
      </c>
      <c r="G83" t="s">
        <v>167</v>
      </c>
      <c r="H83" t="s">
        <v>41</v>
      </c>
      <c r="I83" t="s">
        <v>42</v>
      </c>
      <c r="J83" t="s">
        <v>100</v>
      </c>
      <c r="K83" t="s">
        <v>54</v>
      </c>
      <c r="L83" s="2">
        <v>0.375</v>
      </c>
      <c r="M83" s="2">
        <v>0.75</v>
      </c>
      <c r="N83">
        <v>8</v>
      </c>
      <c r="O83">
        <v>0</v>
      </c>
      <c r="P83" t="s">
        <v>32</v>
      </c>
      <c r="R83">
        <v>4</v>
      </c>
      <c r="S83" t="s">
        <v>92</v>
      </c>
      <c r="T83" t="s">
        <v>46</v>
      </c>
      <c r="U83" t="s">
        <v>85</v>
      </c>
      <c r="V83" t="s">
        <v>35</v>
      </c>
    </row>
    <row r="84" spans="1:22" x14ac:dyDescent="0.3">
      <c r="A84" t="s">
        <v>251</v>
      </c>
      <c r="B84" s="3">
        <v>45810</v>
      </c>
      <c r="C84" t="s">
        <v>23</v>
      </c>
      <c r="D84" t="s">
        <v>24</v>
      </c>
      <c r="E84" t="s">
        <v>109</v>
      </c>
      <c r="F84" t="s">
        <v>120</v>
      </c>
      <c r="G84" t="s">
        <v>121</v>
      </c>
      <c r="H84" t="s">
        <v>41</v>
      </c>
      <c r="I84" t="s">
        <v>42</v>
      </c>
      <c r="J84" t="s">
        <v>74</v>
      </c>
      <c r="K84" t="s">
        <v>31</v>
      </c>
      <c r="L84" s="2">
        <v>0.375</v>
      </c>
      <c r="M84" s="2">
        <v>0.75</v>
      </c>
      <c r="N84">
        <v>8</v>
      </c>
      <c r="O84">
        <v>0</v>
      </c>
      <c r="P84" t="s">
        <v>32</v>
      </c>
      <c r="S84" t="s">
        <v>33</v>
      </c>
      <c r="T84" t="s">
        <v>46</v>
      </c>
      <c r="U84" t="s">
        <v>47</v>
      </c>
    </row>
    <row r="85" spans="1:22" x14ac:dyDescent="0.3">
      <c r="A85" t="s">
        <v>252</v>
      </c>
      <c r="B85" s="1">
        <v>45818</v>
      </c>
      <c r="C85" t="s">
        <v>23</v>
      </c>
      <c r="D85" t="s">
        <v>24</v>
      </c>
      <c r="E85" t="s">
        <v>87</v>
      </c>
      <c r="F85" t="s">
        <v>58</v>
      </c>
      <c r="G85" t="s">
        <v>59</v>
      </c>
      <c r="H85" t="s">
        <v>41</v>
      </c>
      <c r="I85" t="s">
        <v>42</v>
      </c>
      <c r="J85" t="s">
        <v>30</v>
      </c>
      <c r="K85" t="s">
        <v>44</v>
      </c>
      <c r="L85" s="2">
        <v>0.375</v>
      </c>
      <c r="M85" s="2">
        <v>0.75</v>
      </c>
      <c r="N85">
        <v>8</v>
      </c>
      <c r="O85">
        <v>0</v>
      </c>
      <c r="P85" t="s">
        <v>32</v>
      </c>
      <c r="R85">
        <v>5</v>
      </c>
      <c r="S85" t="s">
        <v>67</v>
      </c>
      <c r="T85" t="s">
        <v>46</v>
      </c>
      <c r="V85" t="s">
        <v>69</v>
      </c>
    </row>
    <row r="86" spans="1:22" x14ac:dyDescent="0.3">
      <c r="A86" t="s">
        <v>253</v>
      </c>
      <c r="B86" s="1">
        <v>45796</v>
      </c>
      <c r="C86" t="s">
        <v>57</v>
      </c>
      <c r="D86" t="s">
        <v>24</v>
      </c>
      <c r="E86" t="s">
        <v>109</v>
      </c>
      <c r="F86" t="s">
        <v>166</v>
      </c>
      <c r="G86" t="s">
        <v>167</v>
      </c>
      <c r="H86" t="s">
        <v>41</v>
      </c>
      <c r="I86" t="s">
        <v>42</v>
      </c>
      <c r="J86" t="s">
        <v>100</v>
      </c>
      <c r="K86" t="s">
        <v>44</v>
      </c>
      <c r="P86" t="s">
        <v>135</v>
      </c>
      <c r="S86" t="s">
        <v>33</v>
      </c>
      <c r="T86" t="s">
        <v>46</v>
      </c>
      <c r="U86" t="s">
        <v>85</v>
      </c>
      <c r="V86" t="s">
        <v>35</v>
      </c>
    </row>
    <row r="87" spans="1:22" x14ac:dyDescent="0.3">
      <c r="A87" t="s">
        <v>254</v>
      </c>
      <c r="B87" s="1">
        <v>45688</v>
      </c>
      <c r="C87" t="s">
        <v>49</v>
      </c>
      <c r="D87" t="s">
        <v>50</v>
      </c>
      <c r="E87" t="s">
        <v>119</v>
      </c>
      <c r="F87" t="s">
        <v>220</v>
      </c>
      <c r="G87" t="s">
        <v>221</v>
      </c>
      <c r="H87" t="s">
        <v>79</v>
      </c>
      <c r="I87" t="s">
        <v>80</v>
      </c>
      <c r="J87" t="s">
        <v>100</v>
      </c>
      <c r="K87" t="s">
        <v>75</v>
      </c>
      <c r="L87" s="2">
        <v>0.375</v>
      </c>
      <c r="M87" s="2">
        <v>0.75</v>
      </c>
      <c r="N87">
        <v>8</v>
      </c>
      <c r="O87">
        <v>0</v>
      </c>
      <c r="P87" t="s">
        <v>32</v>
      </c>
      <c r="S87" t="s">
        <v>33</v>
      </c>
      <c r="T87" t="s">
        <v>84</v>
      </c>
      <c r="U87" t="s">
        <v>85</v>
      </c>
    </row>
    <row r="88" spans="1:22" x14ac:dyDescent="0.3">
      <c r="A88" t="s">
        <v>255</v>
      </c>
      <c r="B88" s="1">
        <v>45815</v>
      </c>
      <c r="C88" t="s">
        <v>23</v>
      </c>
      <c r="D88" t="s">
        <v>24</v>
      </c>
      <c r="E88" t="s">
        <v>38</v>
      </c>
      <c r="F88" t="s">
        <v>62</v>
      </c>
      <c r="G88" t="s">
        <v>63</v>
      </c>
      <c r="H88" t="s">
        <v>64</v>
      </c>
      <c r="I88" t="s">
        <v>65</v>
      </c>
      <c r="J88" t="s">
        <v>66</v>
      </c>
      <c r="K88" t="s">
        <v>31</v>
      </c>
      <c r="L88" s="2">
        <v>0.375</v>
      </c>
      <c r="M88" s="2">
        <v>0.75</v>
      </c>
      <c r="N88">
        <v>9.5</v>
      </c>
      <c r="O88">
        <v>1.5</v>
      </c>
      <c r="P88" t="s">
        <v>32</v>
      </c>
      <c r="R88">
        <v>4</v>
      </c>
      <c r="S88" t="s">
        <v>67</v>
      </c>
      <c r="T88" t="s">
        <v>68</v>
      </c>
      <c r="U88" t="s">
        <v>47</v>
      </c>
    </row>
    <row r="89" spans="1:22" x14ac:dyDescent="0.3">
      <c r="A89" t="s">
        <v>256</v>
      </c>
      <c r="B89" s="1">
        <v>45792</v>
      </c>
      <c r="C89" t="s">
        <v>57</v>
      </c>
      <c r="D89" t="s">
        <v>24</v>
      </c>
      <c r="E89" t="s">
        <v>25</v>
      </c>
      <c r="F89" t="s">
        <v>127</v>
      </c>
      <c r="G89" t="s">
        <v>128</v>
      </c>
      <c r="H89" t="s">
        <v>90</v>
      </c>
      <c r="I89" t="s">
        <v>91</v>
      </c>
      <c r="J89" t="s">
        <v>66</v>
      </c>
      <c r="K89" t="s">
        <v>31</v>
      </c>
      <c r="L89" s="2">
        <v>0.375</v>
      </c>
      <c r="M89" s="2">
        <v>0.75</v>
      </c>
      <c r="N89">
        <v>8</v>
      </c>
      <c r="O89">
        <v>0</v>
      </c>
      <c r="P89" t="s">
        <v>32</v>
      </c>
      <c r="R89">
        <v>4</v>
      </c>
      <c r="S89" t="s">
        <v>67</v>
      </c>
      <c r="T89" t="s">
        <v>93</v>
      </c>
      <c r="U89" t="s">
        <v>85</v>
      </c>
      <c r="V89" t="s">
        <v>35</v>
      </c>
    </row>
    <row r="90" spans="1:22" x14ac:dyDescent="0.3">
      <c r="A90" t="s">
        <v>257</v>
      </c>
      <c r="B90" s="3">
        <v>45710</v>
      </c>
      <c r="C90" t="s">
        <v>95</v>
      </c>
      <c r="D90" t="s">
        <v>50</v>
      </c>
      <c r="E90" t="s">
        <v>38</v>
      </c>
      <c r="F90" t="s">
        <v>258</v>
      </c>
      <c r="G90" t="s">
        <v>259</v>
      </c>
      <c r="H90" t="s">
        <v>112</v>
      </c>
      <c r="I90" t="s">
        <v>113</v>
      </c>
      <c r="J90" t="s">
        <v>74</v>
      </c>
      <c r="K90" t="s">
        <v>81</v>
      </c>
      <c r="L90" s="2">
        <v>0.375</v>
      </c>
      <c r="M90" s="2">
        <v>0.29166666666666669</v>
      </c>
      <c r="N90">
        <v>10</v>
      </c>
      <c r="O90">
        <v>2</v>
      </c>
      <c r="P90" t="s">
        <v>32</v>
      </c>
      <c r="R90">
        <v>5</v>
      </c>
      <c r="S90" t="s">
        <v>67</v>
      </c>
      <c r="T90" t="s">
        <v>114</v>
      </c>
      <c r="U90" t="s">
        <v>47</v>
      </c>
      <c r="V90" t="s">
        <v>60</v>
      </c>
    </row>
    <row r="91" spans="1:22" x14ac:dyDescent="0.3">
      <c r="A91" t="s">
        <v>260</v>
      </c>
      <c r="B91" s="3">
        <v>45821</v>
      </c>
      <c r="C91" t="s">
        <v>23</v>
      </c>
      <c r="D91" t="s">
        <v>24</v>
      </c>
      <c r="E91" t="s">
        <v>119</v>
      </c>
      <c r="F91" t="s">
        <v>163</v>
      </c>
      <c r="G91" t="s">
        <v>164</v>
      </c>
      <c r="H91" t="s">
        <v>112</v>
      </c>
      <c r="I91" t="s">
        <v>113</v>
      </c>
      <c r="J91" t="s">
        <v>100</v>
      </c>
      <c r="K91" t="s">
        <v>44</v>
      </c>
      <c r="L91" s="2">
        <v>0.39930555555555558</v>
      </c>
      <c r="M91" s="2">
        <v>0.75</v>
      </c>
      <c r="N91">
        <v>8</v>
      </c>
      <c r="O91">
        <v>0</v>
      </c>
      <c r="P91" t="s">
        <v>32</v>
      </c>
      <c r="R91">
        <v>4</v>
      </c>
      <c r="S91" t="s">
        <v>33</v>
      </c>
      <c r="T91" t="s">
        <v>114</v>
      </c>
      <c r="U91" t="s">
        <v>47</v>
      </c>
      <c r="V91" t="s">
        <v>60</v>
      </c>
    </row>
    <row r="92" spans="1:22" x14ac:dyDescent="0.3">
      <c r="A92" t="s">
        <v>261</v>
      </c>
      <c r="B92" s="3">
        <v>45701</v>
      </c>
      <c r="C92" t="s">
        <v>95</v>
      </c>
      <c r="D92" t="s">
        <v>50</v>
      </c>
      <c r="E92" t="s">
        <v>25</v>
      </c>
      <c r="F92" t="s">
        <v>133</v>
      </c>
      <c r="G92" t="s">
        <v>134</v>
      </c>
      <c r="H92" t="s">
        <v>98</v>
      </c>
      <c r="I92" t="s">
        <v>99</v>
      </c>
      <c r="J92" t="s">
        <v>66</v>
      </c>
      <c r="K92" t="s">
        <v>81</v>
      </c>
      <c r="L92" s="2">
        <v>0.91666666666666663</v>
      </c>
      <c r="M92" s="2">
        <v>0.29166666666666669</v>
      </c>
      <c r="N92">
        <v>9</v>
      </c>
      <c r="O92">
        <v>1</v>
      </c>
      <c r="P92" t="s">
        <v>32</v>
      </c>
      <c r="S92" t="s">
        <v>45</v>
      </c>
      <c r="T92" t="s">
        <v>101</v>
      </c>
      <c r="U92" t="s">
        <v>55</v>
      </c>
      <c r="V92" t="s">
        <v>69</v>
      </c>
    </row>
    <row r="93" spans="1:22" x14ac:dyDescent="0.3">
      <c r="A93" t="s">
        <v>262</v>
      </c>
      <c r="B93" s="1">
        <v>45690</v>
      </c>
      <c r="C93" t="s">
        <v>95</v>
      </c>
      <c r="D93" t="s">
        <v>50</v>
      </c>
      <c r="E93" t="s">
        <v>103</v>
      </c>
      <c r="F93" t="s">
        <v>110</v>
      </c>
      <c r="G93" t="s">
        <v>111</v>
      </c>
      <c r="H93" t="s">
        <v>112</v>
      </c>
      <c r="I93" t="s">
        <v>113</v>
      </c>
      <c r="J93" t="s">
        <v>43</v>
      </c>
      <c r="K93" t="s">
        <v>31</v>
      </c>
      <c r="L93" s="2">
        <v>0.375</v>
      </c>
      <c r="M93" s="2">
        <v>0.75</v>
      </c>
      <c r="N93">
        <v>8</v>
      </c>
      <c r="O93">
        <v>0</v>
      </c>
      <c r="P93" t="s">
        <v>32</v>
      </c>
      <c r="R93">
        <v>4</v>
      </c>
      <c r="S93" t="s">
        <v>33</v>
      </c>
      <c r="T93" t="s">
        <v>114</v>
      </c>
      <c r="U93" t="s">
        <v>55</v>
      </c>
      <c r="V93" t="s">
        <v>69</v>
      </c>
    </row>
    <row r="94" spans="1:22" x14ac:dyDescent="0.3">
      <c r="A94" t="s">
        <v>263</v>
      </c>
      <c r="B94" s="1">
        <v>45689</v>
      </c>
      <c r="C94" t="s">
        <v>95</v>
      </c>
      <c r="D94" t="s">
        <v>50</v>
      </c>
      <c r="E94" t="s">
        <v>38</v>
      </c>
      <c r="F94" t="s">
        <v>243</v>
      </c>
      <c r="G94" t="s">
        <v>244</v>
      </c>
      <c r="H94" t="s">
        <v>90</v>
      </c>
      <c r="I94" t="s">
        <v>91</v>
      </c>
      <c r="J94" t="s">
        <v>30</v>
      </c>
      <c r="K94" t="s">
        <v>54</v>
      </c>
      <c r="L94" s="2">
        <v>0.375</v>
      </c>
      <c r="M94" s="2">
        <v>0.75</v>
      </c>
      <c r="N94">
        <v>8</v>
      </c>
      <c r="O94">
        <v>0</v>
      </c>
      <c r="P94" t="s">
        <v>32</v>
      </c>
      <c r="R94">
        <v>4</v>
      </c>
      <c r="S94" t="s">
        <v>92</v>
      </c>
      <c r="T94" t="s">
        <v>93</v>
      </c>
      <c r="V94" t="s">
        <v>60</v>
      </c>
    </row>
    <row r="95" spans="1:22" x14ac:dyDescent="0.3">
      <c r="A95" t="s">
        <v>264</v>
      </c>
      <c r="B95" s="3">
        <v>45837</v>
      </c>
      <c r="C95" t="s">
        <v>23</v>
      </c>
      <c r="D95" t="s">
        <v>24</v>
      </c>
      <c r="E95" t="s">
        <v>103</v>
      </c>
      <c r="F95" t="s">
        <v>215</v>
      </c>
      <c r="G95" t="s">
        <v>216</v>
      </c>
      <c r="H95" t="s">
        <v>79</v>
      </c>
      <c r="I95" t="s">
        <v>80</v>
      </c>
      <c r="J95" t="s">
        <v>30</v>
      </c>
      <c r="K95" t="s">
        <v>44</v>
      </c>
      <c r="L95" s="2">
        <v>0.375</v>
      </c>
      <c r="M95" s="2">
        <v>0.75</v>
      </c>
      <c r="N95">
        <v>8</v>
      </c>
      <c r="O95">
        <v>0</v>
      </c>
      <c r="P95" t="s">
        <v>32</v>
      </c>
      <c r="R95">
        <v>4</v>
      </c>
      <c r="S95" t="s">
        <v>33</v>
      </c>
      <c r="T95" t="s">
        <v>84</v>
      </c>
      <c r="U95" t="s">
        <v>47</v>
      </c>
    </row>
    <row r="96" spans="1:22" x14ac:dyDescent="0.3">
      <c r="A96" t="s">
        <v>265</v>
      </c>
      <c r="B96" s="3">
        <v>45785</v>
      </c>
      <c r="C96" t="s">
        <v>57</v>
      </c>
      <c r="D96" t="s">
        <v>24</v>
      </c>
      <c r="E96" t="s">
        <v>25</v>
      </c>
      <c r="F96" t="s">
        <v>266</v>
      </c>
      <c r="G96" t="s">
        <v>267</v>
      </c>
      <c r="H96" t="s">
        <v>98</v>
      </c>
      <c r="I96" t="s">
        <v>99</v>
      </c>
      <c r="J96" t="s">
        <v>66</v>
      </c>
      <c r="K96" t="s">
        <v>44</v>
      </c>
      <c r="L96" s="2">
        <v>0.375</v>
      </c>
      <c r="M96" s="2">
        <v>0.75</v>
      </c>
      <c r="N96">
        <v>8</v>
      </c>
      <c r="O96">
        <v>0</v>
      </c>
      <c r="P96" t="s">
        <v>32</v>
      </c>
      <c r="R96">
        <v>4</v>
      </c>
      <c r="S96" t="s">
        <v>92</v>
      </c>
      <c r="T96" t="s">
        <v>101</v>
      </c>
      <c r="U96" t="s">
        <v>85</v>
      </c>
    </row>
    <row r="97" spans="1:22" x14ac:dyDescent="0.3">
      <c r="A97" t="s">
        <v>268</v>
      </c>
      <c r="B97" s="3">
        <v>45838</v>
      </c>
      <c r="C97" t="s">
        <v>23</v>
      </c>
      <c r="D97" t="s">
        <v>24</v>
      </c>
      <c r="E97" t="s">
        <v>109</v>
      </c>
      <c r="F97" t="s">
        <v>195</v>
      </c>
      <c r="G97" t="s">
        <v>196</v>
      </c>
      <c r="H97" t="s">
        <v>98</v>
      </c>
      <c r="I97" t="s">
        <v>99</v>
      </c>
      <c r="J97" t="s">
        <v>43</v>
      </c>
      <c r="K97" t="s">
        <v>44</v>
      </c>
      <c r="L97" s="2">
        <v>0.375</v>
      </c>
      <c r="M97" s="2">
        <v>0.75</v>
      </c>
      <c r="N97">
        <v>8</v>
      </c>
      <c r="O97">
        <v>0</v>
      </c>
      <c r="P97" t="s">
        <v>32</v>
      </c>
      <c r="R97">
        <v>5</v>
      </c>
      <c r="S97" t="s">
        <v>67</v>
      </c>
      <c r="T97" t="s">
        <v>101</v>
      </c>
      <c r="U97" t="s">
        <v>85</v>
      </c>
    </row>
    <row r="98" spans="1:22" x14ac:dyDescent="0.3">
      <c r="A98" t="s">
        <v>269</v>
      </c>
      <c r="B98" s="3">
        <v>45688</v>
      </c>
      <c r="C98" t="s">
        <v>49</v>
      </c>
      <c r="D98" t="s">
        <v>50</v>
      </c>
      <c r="E98" t="s">
        <v>119</v>
      </c>
      <c r="F98" t="s">
        <v>231</v>
      </c>
      <c r="G98" t="s">
        <v>232</v>
      </c>
      <c r="H98" t="s">
        <v>98</v>
      </c>
      <c r="I98" t="s">
        <v>99</v>
      </c>
      <c r="J98" t="s">
        <v>74</v>
      </c>
      <c r="K98" t="s">
        <v>81</v>
      </c>
      <c r="L98" s="2">
        <v>0.91666666666666663</v>
      </c>
      <c r="M98" s="2">
        <v>0.29166666666666669</v>
      </c>
      <c r="N98">
        <v>10</v>
      </c>
      <c r="O98">
        <v>2</v>
      </c>
      <c r="P98" t="s">
        <v>32</v>
      </c>
      <c r="R98">
        <v>3</v>
      </c>
      <c r="S98" t="s">
        <v>92</v>
      </c>
      <c r="T98" t="s">
        <v>101</v>
      </c>
      <c r="U98" t="s">
        <v>55</v>
      </c>
      <c r="V98" t="s">
        <v>35</v>
      </c>
    </row>
    <row r="99" spans="1:22" x14ac:dyDescent="0.3">
      <c r="A99" t="s">
        <v>270</v>
      </c>
      <c r="B99" s="3">
        <v>45820</v>
      </c>
      <c r="C99" t="s">
        <v>23</v>
      </c>
      <c r="D99" t="s">
        <v>24</v>
      </c>
      <c r="E99" t="s">
        <v>25</v>
      </c>
      <c r="F99" t="s">
        <v>258</v>
      </c>
      <c r="G99" t="s">
        <v>259</v>
      </c>
      <c r="H99" t="s">
        <v>112</v>
      </c>
      <c r="I99" t="s">
        <v>113</v>
      </c>
      <c r="J99" t="s">
        <v>74</v>
      </c>
      <c r="K99" t="s">
        <v>75</v>
      </c>
      <c r="L99" s="2">
        <v>0.3888888888888889</v>
      </c>
      <c r="M99" s="2">
        <v>0.75</v>
      </c>
      <c r="N99">
        <v>8</v>
      </c>
      <c r="O99">
        <v>0</v>
      </c>
      <c r="P99" t="s">
        <v>32</v>
      </c>
      <c r="R99">
        <v>4</v>
      </c>
      <c r="S99" t="s">
        <v>67</v>
      </c>
      <c r="T99" t="s">
        <v>114</v>
      </c>
      <c r="U99" t="s">
        <v>85</v>
      </c>
      <c r="V99" t="s">
        <v>60</v>
      </c>
    </row>
    <row r="100" spans="1:22" x14ac:dyDescent="0.3">
      <c r="A100" t="s">
        <v>271</v>
      </c>
      <c r="B100" s="1">
        <v>45668</v>
      </c>
      <c r="C100" t="s">
        <v>49</v>
      </c>
      <c r="D100" t="s">
        <v>50</v>
      </c>
      <c r="E100" t="s">
        <v>38</v>
      </c>
      <c r="F100" t="s">
        <v>142</v>
      </c>
      <c r="G100" t="s">
        <v>143</v>
      </c>
      <c r="H100" t="s">
        <v>64</v>
      </c>
      <c r="I100" t="s">
        <v>65</v>
      </c>
      <c r="J100" t="s">
        <v>43</v>
      </c>
      <c r="K100" t="s">
        <v>81</v>
      </c>
      <c r="L100" s="2">
        <v>0.91666666666666663</v>
      </c>
      <c r="M100" s="2">
        <v>0.29166666666666669</v>
      </c>
      <c r="N100">
        <v>10</v>
      </c>
      <c r="O100">
        <v>2</v>
      </c>
      <c r="P100" t="s">
        <v>32</v>
      </c>
      <c r="R100">
        <v>4</v>
      </c>
      <c r="S100" t="s">
        <v>92</v>
      </c>
      <c r="T100" t="s">
        <v>68</v>
      </c>
      <c r="V100" t="s">
        <v>60</v>
      </c>
    </row>
    <row r="101" spans="1:22" x14ac:dyDescent="0.3">
      <c r="A101" t="s">
        <v>272</v>
      </c>
      <c r="B101" s="3">
        <v>45785</v>
      </c>
      <c r="C101" t="s">
        <v>57</v>
      </c>
      <c r="D101" t="s">
        <v>24</v>
      </c>
      <c r="E101" t="s">
        <v>25</v>
      </c>
      <c r="F101" t="s">
        <v>124</v>
      </c>
      <c r="G101" t="s">
        <v>125</v>
      </c>
      <c r="H101" t="s">
        <v>28</v>
      </c>
      <c r="I101" t="s">
        <v>29</v>
      </c>
      <c r="J101" t="s">
        <v>66</v>
      </c>
      <c r="K101" t="s">
        <v>75</v>
      </c>
      <c r="L101" s="2">
        <v>0.375</v>
      </c>
      <c r="M101" s="2">
        <v>0.75</v>
      </c>
      <c r="N101">
        <v>8</v>
      </c>
      <c r="O101">
        <v>0</v>
      </c>
      <c r="P101" t="s">
        <v>32</v>
      </c>
      <c r="R101">
        <v>5</v>
      </c>
      <c r="S101" t="s">
        <v>92</v>
      </c>
      <c r="T101" t="s">
        <v>34</v>
      </c>
      <c r="V101" t="s">
        <v>60</v>
      </c>
    </row>
    <row r="102" spans="1:22" x14ac:dyDescent="0.3">
      <c r="A102" t="s">
        <v>273</v>
      </c>
      <c r="B102" s="3">
        <v>45730</v>
      </c>
      <c r="C102" t="s">
        <v>71</v>
      </c>
      <c r="D102" t="s">
        <v>50</v>
      </c>
      <c r="E102" t="s">
        <v>119</v>
      </c>
      <c r="F102" t="s">
        <v>58</v>
      </c>
      <c r="G102" t="s">
        <v>59</v>
      </c>
      <c r="H102" t="s">
        <v>41</v>
      </c>
      <c r="I102" t="s">
        <v>42</v>
      </c>
      <c r="J102" t="s">
        <v>30</v>
      </c>
      <c r="K102" t="s">
        <v>44</v>
      </c>
      <c r="L102" s="2">
        <v>0.375</v>
      </c>
      <c r="M102" s="2">
        <v>0.75</v>
      </c>
      <c r="N102">
        <v>8</v>
      </c>
      <c r="O102">
        <v>0</v>
      </c>
      <c r="P102" t="s">
        <v>32</v>
      </c>
      <c r="R102">
        <v>5</v>
      </c>
      <c r="S102" t="s">
        <v>45</v>
      </c>
      <c r="T102" t="s">
        <v>46</v>
      </c>
      <c r="V102" t="s">
        <v>35</v>
      </c>
    </row>
    <row r="103" spans="1:22" x14ac:dyDescent="0.3">
      <c r="A103" t="s">
        <v>274</v>
      </c>
      <c r="B103" s="1">
        <v>45750</v>
      </c>
      <c r="C103" t="s">
        <v>37</v>
      </c>
      <c r="D103" t="s">
        <v>24</v>
      </c>
      <c r="E103" t="s">
        <v>25</v>
      </c>
      <c r="F103" t="s">
        <v>275</v>
      </c>
      <c r="G103" t="s">
        <v>276</v>
      </c>
      <c r="H103" t="s">
        <v>64</v>
      </c>
      <c r="I103" t="s">
        <v>65</v>
      </c>
      <c r="J103" t="s">
        <v>100</v>
      </c>
      <c r="K103" t="s">
        <v>75</v>
      </c>
      <c r="L103" s="2">
        <v>0.375</v>
      </c>
      <c r="M103" s="2">
        <v>0.75</v>
      </c>
      <c r="N103">
        <v>9</v>
      </c>
      <c r="O103">
        <v>1</v>
      </c>
      <c r="P103" t="s">
        <v>32</v>
      </c>
      <c r="R103">
        <v>5</v>
      </c>
      <c r="S103" t="s">
        <v>33</v>
      </c>
      <c r="T103" t="s">
        <v>68</v>
      </c>
      <c r="U103" t="s">
        <v>55</v>
      </c>
      <c r="V103" t="s">
        <v>69</v>
      </c>
    </row>
    <row r="104" spans="1:22" x14ac:dyDescent="0.3">
      <c r="A104" t="s">
        <v>277</v>
      </c>
      <c r="B104" s="1">
        <v>45676</v>
      </c>
      <c r="C104" t="s">
        <v>49</v>
      </c>
      <c r="D104" t="s">
        <v>50</v>
      </c>
      <c r="E104" t="s">
        <v>103</v>
      </c>
      <c r="F104" t="s">
        <v>88</v>
      </c>
      <c r="G104" t="s">
        <v>89</v>
      </c>
      <c r="H104" t="s">
        <v>90</v>
      </c>
      <c r="I104" t="s">
        <v>91</v>
      </c>
      <c r="J104" t="s">
        <v>43</v>
      </c>
      <c r="K104" t="s">
        <v>54</v>
      </c>
      <c r="L104" s="2">
        <v>0.375</v>
      </c>
      <c r="M104" s="2">
        <v>0.75</v>
      </c>
      <c r="N104">
        <v>8</v>
      </c>
      <c r="O104">
        <v>0</v>
      </c>
      <c r="P104" t="s">
        <v>32</v>
      </c>
      <c r="R104">
        <v>3</v>
      </c>
      <c r="S104" t="s">
        <v>45</v>
      </c>
      <c r="T104" t="s">
        <v>93</v>
      </c>
      <c r="U104" t="s">
        <v>55</v>
      </c>
    </row>
    <row r="105" spans="1:22" x14ac:dyDescent="0.3">
      <c r="A105" t="s">
        <v>278</v>
      </c>
      <c r="B105" s="3">
        <v>45730</v>
      </c>
      <c r="C105" t="s">
        <v>71</v>
      </c>
      <c r="D105" t="s">
        <v>50</v>
      </c>
      <c r="E105" t="s">
        <v>119</v>
      </c>
      <c r="F105" t="s">
        <v>58</v>
      </c>
      <c r="G105" t="s">
        <v>59</v>
      </c>
      <c r="H105" t="s">
        <v>41</v>
      </c>
      <c r="I105" t="s">
        <v>42</v>
      </c>
      <c r="J105" t="s">
        <v>30</v>
      </c>
      <c r="K105" t="s">
        <v>75</v>
      </c>
      <c r="L105" s="2">
        <v>0.375</v>
      </c>
      <c r="M105" s="2">
        <v>0.75</v>
      </c>
      <c r="N105">
        <v>8</v>
      </c>
      <c r="O105">
        <v>0</v>
      </c>
      <c r="P105" t="s">
        <v>32</v>
      </c>
      <c r="S105" t="s">
        <v>92</v>
      </c>
      <c r="T105" t="s">
        <v>46</v>
      </c>
      <c r="U105" t="s">
        <v>85</v>
      </c>
      <c r="V105" t="s">
        <v>35</v>
      </c>
    </row>
    <row r="106" spans="1:22" x14ac:dyDescent="0.3">
      <c r="A106" t="s">
        <v>279</v>
      </c>
      <c r="B106" s="3">
        <v>45716</v>
      </c>
      <c r="C106" t="s">
        <v>95</v>
      </c>
      <c r="D106" t="s">
        <v>50</v>
      </c>
      <c r="E106" t="s">
        <v>119</v>
      </c>
      <c r="F106" t="s">
        <v>120</v>
      </c>
      <c r="G106" t="s">
        <v>121</v>
      </c>
      <c r="H106" t="s">
        <v>41</v>
      </c>
      <c r="I106" t="s">
        <v>42</v>
      </c>
      <c r="J106" t="s">
        <v>74</v>
      </c>
      <c r="K106" t="s">
        <v>81</v>
      </c>
      <c r="L106" s="2">
        <v>0.91666666666666663</v>
      </c>
      <c r="M106" s="2">
        <v>0.29166666666666669</v>
      </c>
      <c r="N106">
        <v>9</v>
      </c>
      <c r="O106">
        <v>1</v>
      </c>
      <c r="P106" t="s">
        <v>32</v>
      </c>
      <c r="R106">
        <v>4</v>
      </c>
      <c r="S106" t="s">
        <v>45</v>
      </c>
      <c r="T106" t="s">
        <v>46</v>
      </c>
      <c r="U106" t="s">
        <v>55</v>
      </c>
      <c r="V106" t="s">
        <v>60</v>
      </c>
    </row>
    <row r="107" spans="1:22" x14ac:dyDescent="0.3">
      <c r="A107" t="s">
        <v>280</v>
      </c>
      <c r="B107" s="3">
        <v>45825</v>
      </c>
      <c r="C107" t="s">
        <v>23</v>
      </c>
      <c r="D107" t="s">
        <v>24</v>
      </c>
      <c r="E107" t="s">
        <v>87</v>
      </c>
      <c r="F107" t="s">
        <v>281</v>
      </c>
      <c r="G107" t="s">
        <v>282</v>
      </c>
      <c r="H107" t="s">
        <v>90</v>
      </c>
      <c r="I107" t="s">
        <v>91</v>
      </c>
      <c r="J107" t="s">
        <v>30</v>
      </c>
      <c r="K107" t="s">
        <v>54</v>
      </c>
      <c r="L107" s="2">
        <v>0.375</v>
      </c>
      <c r="M107" s="2">
        <v>0.75</v>
      </c>
      <c r="N107">
        <v>8</v>
      </c>
      <c r="O107">
        <v>0</v>
      </c>
      <c r="P107" t="s">
        <v>32</v>
      </c>
      <c r="R107">
        <v>3</v>
      </c>
      <c r="S107" t="s">
        <v>67</v>
      </c>
      <c r="T107" t="s">
        <v>93</v>
      </c>
      <c r="U107" t="s">
        <v>55</v>
      </c>
      <c r="V107" t="s">
        <v>35</v>
      </c>
    </row>
    <row r="108" spans="1:22" x14ac:dyDescent="0.3">
      <c r="A108" t="s">
        <v>283</v>
      </c>
      <c r="B108" s="3">
        <v>45782</v>
      </c>
      <c r="C108" t="s">
        <v>57</v>
      </c>
      <c r="D108" t="s">
        <v>24</v>
      </c>
      <c r="E108" t="s">
        <v>109</v>
      </c>
      <c r="F108" t="s">
        <v>77</v>
      </c>
      <c r="G108" t="s">
        <v>78</v>
      </c>
      <c r="H108" t="s">
        <v>79</v>
      </c>
      <c r="I108" t="s">
        <v>80</v>
      </c>
      <c r="J108" t="s">
        <v>30</v>
      </c>
      <c r="K108" t="s">
        <v>81</v>
      </c>
      <c r="L108" s="2">
        <v>0.91666666666666663</v>
      </c>
      <c r="M108" s="2">
        <v>0.29166666666666669</v>
      </c>
      <c r="N108">
        <v>8.5</v>
      </c>
      <c r="O108">
        <v>0.5</v>
      </c>
      <c r="P108" t="s">
        <v>32</v>
      </c>
      <c r="R108">
        <v>5</v>
      </c>
      <c r="S108" t="s">
        <v>45</v>
      </c>
      <c r="T108" t="s">
        <v>84</v>
      </c>
      <c r="U108" t="s">
        <v>47</v>
      </c>
      <c r="V108" t="s">
        <v>60</v>
      </c>
    </row>
    <row r="109" spans="1:22" x14ac:dyDescent="0.3">
      <c r="A109" t="s">
        <v>284</v>
      </c>
      <c r="B109" s="3">
        <v>45673</v>
      </c>
      <c r="C109" t="s">
        <v>49</v>
      </c>
      <c r="D109" t="s">
        <v>50</v>
      </c>
      <c r="E109" t="s">
        <v>25</v>
      </c>
      <c r="F109" t="s">
        <v>201</v>
      </c>
      <c r="G109" t="s">
        <v>202</v>
      </c>
      <c r="H109" t="s">
        <v>112</v>
      </c>
      <c r="I109" t="s">
        <v>113</v>
      </c>
      <c r="J109" t="s">
        <v>66</v>
      </c>
      <c r="K109" t="s">
        <v>31</v>
      </c>
      <c r="L109" s="2">
        <v>0.38194444444444442</v>
      </c>
      <c r="M109" s="2">
        <v>0.75</v>
      </c>
      <c r="N109">
        <v>8</v>
      </c>
      <c r="O109">
        <v>0</v>
      </c>
      <c r="P109" t="s">
        <v>32</v>
      </c>
      <c r="R109">
        <v>4</v>
      </c>
      <c r="S109" t="s">
        <v>45</v>
      </c>
      <c r="T109" t="s">
        <v>114</v>
      </c>
      <c r="U109" t="s">
        <v>47</v>
      </c>
      <c r="V109" t="s">
        <v>60</v>
      </c>
    </row>
    <row r="110" spans="1:22" x14ac:dyDescent="0.3">
      <c r="A110" t="s">
        <v>285</v>
      </c>
      <c r="B110" s="1">
        <v>45810</v>
      </c>
      <c r="C110" t="s">
        <v>23</v>
      </c>
      <c r="D110" t="s">
        <v>24</v>
      </c>
      <c r="E110" t="s">
        <v>109</v>
      </c>
      <c r="F110" t="s">
        <v>72</v>
      </c>
      <c r="G110" t="s">
        <v>73</v>
      </c>
      <c r="H110" t="s">
        <v>28</v>
      </c>
      <c r="I110" t="s">
        <v>29</v>
      </c>
      <c r="J110" t="s">
        <v>74</v>
      </c>
      <c r="K110" t="s">
        <v>81</v>
      </c>
      <c r="L110" s="2">
        <v>0.91666666666666663</v>
      </c>
      <c r="M110" s="2">
        <v>0.29166666666666669</v>
      </c>
      <c r="N110">
        <v>9</v>
      </c>
      <c r="O110">
        <v>1</v>
      </c>
      <c r="P110" t="s">
        <v>32</v>
      </c>
      <c r="R110">
        <v>4</v>
      </c>
      <c r="S110" t="s">
        <v>92</v>
      </c>
      <c r="T110" t="s">
        <v>34</v>
      </c>
      <c r="V110" t="s">
        <v>60</v>
      </c>
    </row>
    <row r="111" spans="1:22" x14ac:dyDescent="0.3">
      <c r="A111" t="s">
        <v>286</v>
      </c>
      <c r="B111" s="3">
        <v>45816</v>
      </c>
      <c r="C111" t="s">
        <v>23</v>
      </c>
      <c r="D111" t="s">
        <v>24</v>
      </c>
      <c r="E111" t="s">
        <v>103</v>
      </c>
      <c r="F111" t="s">
        <v>148</v>
      </c>
      <c r="G111" t="s">
        <v>149</v>
      </c>
      <c r="H111" t="s">
        <v>112</v>
      </c>
      <c r="I111" t="s">
        <v>113</v>
      </c>
      <c r="J111" t="s">
        <v>43</v>
      </c>
      <c r="K111" t="s">
        <v>75</v>
      </c>
      <c r="L111" s="2">
        <v>0.3888888888888889</v>
      </c>
      <c r="M111" s="2">
        <v>0.75</v>
      </c>
      <c r="N111">
        <v>8</v>
      </c>
      <c r="O111">
        <v>0</v>
      </c>
      <c r="P111" t="s">
        <v>32</v>
      </c>
      <c r="R111">
        <v>5</v>
      </c>
      <c r="S111" t="s">
        <v>67</v>
      </c>
      <c r="T111" t="s">
        <v>114</v>
      </c>
      <c r="U111" t="s">
        <v>47</v>
      </c>
      <c r="V111" t="s">
        <v>35</v>
      </c>
    </row>
    <row r="112" spans="1:22" x14ac:dyDescent="0.3">
      <c r="A112" t="s">
        <v>287</v>
      </c>
      <c r="B112" s="3">
        <v>45707</v>
      </c>
      <c r="C112" t="s">
        <v>95</v>
      </c>
      <c r="D112" t="s">
        <v>50</v>
      </c>
      <c r="E112" t="s">
        <v>51</v>
      </c>
      <c r="F112" t="s">
        <v>288</v>
      </c>
      <c r="G112" t="s">
        <v>289</v>
      </c>
      <c r="H112" t="s">
        <v>28</v>
      </c>
      <c r="I112" t="s">
        <v>29</v>
      </c>
      <c r="J112" t="s">
        <v>74</v>
      </c>
      <c r="K112" t="s">
        <v>31</v>
      </c>
      <c r="L112" s="2">
        <v>0.375</v>
      </c>
      <c r="M112" s="2">
        <v>0.75</v>
      </c>
      <c r="N112">
        <v>8</v>
      </c>
      <c r="O112">
        <v>0</v>
      </c>
      <c r="P112" t="s">
        <v>32</v>
      </c>
      <c r="R112">
        <v>5</v>
      </c>
      <c r="S112" t="s">
        <v>45</v>
      </c>
      <c r="T112" t="s">
        <v>34</v>
      </c>
    </row>
    <row r="113" spans="1:22" x14ac:dyDescent="0.3">
      <c r="A113" t="s">
        <v>290</v>
      </c>
      <c r="B113" s="1">
        <v>45773</v>
      </c>
      <c r="C113" t="s">
        <v>37</v>
      </c>
      <c r="D113" t="s">
        <v>24</v>
      </c>
      <c r="E113" t="s">
        <v>38</v>
      </c>
      <c r="F113" t="s">
        <v>281</v>
      </c>
      <c r="G113" t="s">
        <v>282</v>
      </c>
      <c r="H113" t="s">
        <v>90</v>
      </c>
      <c r="I113" t="s">
        <v>91</v>
      </c>
      <c r="J113" t="s">
        <v>30</v>
      </c>
      <c r="K113" t="s">
        <v>54</v>
      </c>
      <c r="L113" s="2">
        <v>0.375</v>
      </c>
      <c r="M113" s="2">
        <v>0.75</v>
      </c>
      <c r="N113">
        <v>8</v>
      </c>
      <c r="O113">
        <v>0</v>
      </c>
      <c r="P113" t="s">
        <v>32</v>
      </c>
      <c r="R113">
        <v>4</v>
      </c>
      <c r="S113" t="s">
        <v>45</v>
      </c>
      <c r="T113" t="s">
        <v>93</v>
      </c>
      <c r="U113" t="s">
        <v>55</v>
      </c>
      <c r="V113" t="s">
        <v>69</v>
      </c>
    </row>
    <row r="114" spans="1:22" x14ac:dyDescent="0.3">
      <c r="A114" t="s">
        <v>291</v>
      </c>
      <c r="B114" s="3">
        <v>45680</v>
      </c>
      <c r="C114" t="s">
        <v>49</v>
      </c>
      <c r="D114" t="s">
        <v>50</v>
      </c>
      <c r="E114" t="s">
        <v>25</v>
      </c>
      <c r="F114" t="s">
        <v>182</v>
      </c>
      <c r="G114" t="s">
        <v>183</v>
      </c>
      <c r="H114" t="s">
        <v>112</v>
      </c>
      <c r="I114" t="s">
        <v>113</v>
      </c>
      <c r="J114" t="s">
        <v>30</v>
      </c>
      <c r="K114" t="s">
        <v>75</v>
      </c>
      <c r="L114" s="2">
        <v>0.375</v>
      </c>
      <c r="M114" s="2">
        <v>0.75</v>
      </c>
      <c r="N114">
        <v>8</v>
      </c>
      <c r="O114">
        <v>0</v>
      </c>
      <c r="P114" t="s">
        <v>32</v>
      </c>
      <c r="R114">
        <v>5</v>
      </c>
      <c r="S114" t="s">
        <v>45</v>
      </c>
      <c r="T114" t="s">
        <v>114</v>
      </c>
      <c r="U114" t="s">
        <v>47</v>
      </c>
    </row>
    <row r="115" spans="1:22" x14ac:dyDescent="0.3">
      <c r="A115" t="s">
        <v>292</v>
      </c>
      <c r="B115" s="3">
        <v>45759</v>
      </c>
      <c r="C115" t="s">
        <v>37</v>
      </c>
      <c r="D115" t="s">
        <v>24</v>
      </c>
      <c r="E115" t="s">
        <v>38</v>
      </c>
      <c r="F115" t="s">
        <v>258</v>
      </c>
      <c r="G115" t="s">
        <v>259</v>
      </c>
      <c r="H115" t="s">
        <v>112</v>
      </c>
      <c r="I115" t="s">
        <v>113</v>
      </c>
      <c r="J115" t="s">
        <v>74</v>
      </c>
      <c r="K115" t="s">
        <v>54</v>
      </c>
      <c r="L115" s="2">
        <v>0.38194444444444442</v>
      </c>
      <c r="M115" s="2">
        <v>0.75</v>
      </c>
      <c r="N115">
        <v>8</v>
      </c>
      <c r="O115">
        <v>0</v>
      </c>
      <c r="P115" t="s">
        <v>32</v>
      </c>
      <c r="R115">
        <v>5</v>
      </c>
      <c r="S115" t="s">
        <v>67</v>
      </c>
      <c r="T115" t="s">
        <v>114</v>
      </c>
      <c r="U115" t="s">
        <v>47</v>
      </c>
      <c r="V115" t="s">
        <v>35</v>
      </c>
    </row>
    <row r="116" spans="1:22" x14ac:dyDescent="0.3">
      <c r="A116" t="s">
        <v>293</v>
      </c>
      <c r="B116" s="3">
        <v>45678</v>
      </c>
      <c r="C116" t="s">
        <v>49</v>
      </c>
      <c r="D116" t="s">
        <v>50</v>
      </c>
      <c r="E116" t="s">
        <v>87</v>
      </c>
      <c r="F116" t="s">
        <v>124</v>
      </c>
      <c r="G116" t="s">
        <v>125</v>
      </c>
      <c r="H116" t="s">
        <v>28</v>
      </c>
      <c r="I116" t="s">
        <v>29</v>
      </c>
      <c r="J116" t="s">
        <v>66</v>
      </c>
      <c r="K116" t="s">
        <v>54</v>
      </c>
      <c r="M116" s="2">
        <v>0.75</v>
      </c>
      <c r="N116">
        <v>8</v>
      </c>
      <c r="O116">
        <v>0</v>
      </c>
      <c r="P116" t="s">
        <v>32</v>
      </c>
      <c r="R116">
        <v>5</v>
      </c>
      <c r="S116" t="s">
        <v>67</v>
      </c>
      <c r="T116" t="s">
        <v>34</v>
      </c>
      <c r="U116" t="s">
        <v>55</v>
      </c>
    </row>
    <row r="117" spans="1:22" x14ac:dyDescent="0.3">
      <c r="A117" t="s">
        <v>294</v>
      </c>
      <c r="B117" s="3">
        <v>45812</v>
      </c>
      <c r="C117" t="s">
        <v>23</v>
      </c>
      <c r="D117" t="s">
        <v>24</v>
      </c>
      <c r="E117" t="s">
        <v>51</v>
      </c>
      <c r="F117" t="s">
        <v>185</v>
      </c>
      <c r="G117" t="s">
        <v>186</v>
      </c>
      <c r="H117" t="s">
        <v>79</v>
      </c>
      <c r="I117" t="s">
        <v>80</v>
      </c>
      <c r="J117" t="s">
        <v>66</v>
      </c>
      <c r="K117" t="s">
        <v>31</v>
      </c>
      <c r="L117" s="2">
        <v>0.375</v>
      </c>
      <c r="M117" s="2">
        <v>0.75</v>
      </c>
      <c r="N117">
        <v>8</v>
      </c>
      <c r="O117">
        <v>0</v>
      </c>
      <c r="P117" t="s">
        <v>32</v>
      </c>
      <c r="R117">
        <v>5</v>
      </c>
      <c r="S117" t="s">
        <v>45</v>
      </c>
      <c r="T117" t="s">
        <v>84</v>
      </c>
      <c r="U117" t="s">
        <v>55</v>
      </c>
      <c r="V117" t="s">
        <v>69</v>
      </c>
    </row>
    <row r="118" spans="1:22" x14ac:dyDescent="0.3">
      <c r="A118" t="s">
        <v>295</v>
      </c>
      <c r="B118" s="3">
        <v>45797</v>
      </c>
      <c r="C118" t="s">
        <v>57</v>
      </c>
      <c r="D118" t="s">
        <v>24</v>
      </c>
      <c r="E118" t="s">
        <v>87</v>
      </c>
      <c r="F118" t="s">
        <v>243</v>
      </c>
      <c r="G118" t="s">
        <v>244</v>
      </c>
      <c r="H118" t="s">
        <v>90</v>
      </c>
      <c r="I118" t="s">
        <v>91</v>
      </c>
      <c r="J118" t="s">
        <v>30</v>
      </c>
      <c r="K118" t="s">
        <v>31</v>
      </c>
      <c r="L118" s="2">
        <v>0.375</v>
      </c>
      <c r="M118" s="2">
        <v>0.75</v>
      </c>
      <c r="N118">
        <v>8</v>
      </c>
      <c r="O118">
        <v>0</v>
      </c>
      <c r="P118" t="s">
        <v>32</v>
      </c>
      <c r="S118" t="s">
        <v>67</v>
      </c>
      <c r="T118" t="s">
        <v>93</v>
      </c>
      <c r="V118" t="s">
        <v>35</v>
      </c>
    </row>
    <row r="119" spans="1:22" x14ac:dyDescent="0.3">
      <c r="A119" t="s">
        <v>296</v>
      </c>
      <c r="B119" s="3">
        <v>45808</v>
      </c>
      <c r="C119" t="s">
        <v>57</v>
      </c>
      <c r="D119" t="s">
        <v>24</v>
      </c>
      <c r="E119" t="s">
        <v>38</v>
      </c>
      <c r="F119" t="s">
        <v>170</v>
      </c>
      <c r="G119" t="s">
        <v>171</v>
      </c>
      <c r="H119" t="s">
        <v>64</v>
      </c>
      <c r="I119" t="s">
        <v>65</v>
      </c>
      <c r="J119" t="s">
        <v>43</v>
      </c>
      <c r="K119" t="s">
        <v>75</v>
      </c>
      <c r="L119" s="2">
        <v>0.375</v>
      </c>
      <c r="M119" s="2">
        <v>0.75</v>
      </c>
      <c r="N119">
        <v>9</v>
      </c>
      <c r="O119">
        <v>1</v>
      </c>
      <c r="P119" t="s">
        <v>32</v>
      </c>
      <c r="R119">
        <v>4</v>
      </c>
      <c r="S119" t="s">
        <v>45</v>
      </c>
      <c r="T119" t="s">
        <v>68</v>
      </c>
      <c r="U119" t="s">
        <v>47</v>
      </c>
      <c r="V119" t="s">
        <v>35</v>
      </c>
    </row>
    <row r="120" spans="1:22" x14ac:dyDescent="0.3">
      <c r="A120" t="s">
        <v>297</v>
      </c>
      <c r="B120" s="3">
        <v>45819</v>
      </c>
      <c r="C120" t="s">
        <v>23</v>
      </c>
      <c r="D120" t="s">
        <v>24</v>
      </c>
      <c r="E120" t="s">
        <v>51</v>
      </c>
      <c r="F120" t="s">
        <v>170</v>
      </c>
      <c r="G120" t="s">
        <v>171</v>
      </c>
      <c r="H120" t="s">
        <v>64</v>
      </c>
      <c r="I120" t="s">
        <v>65</v>
      </c>
      <c r="J120" t="s">
        <v>43</v>
      </c>
      <c r="K120" t="s">
        <v>81</v>
      </c>
      <c r="L120" s="2">
        <v>0.91666666666666663</v>
      </c>
      <c r="M120" s="2">
        <v>0.29166666666666669</v>
      </c>
      <c r="N120">
        <v>9</v>
      </c>
      <c r="O120">
        <v>1</v>
      </c>
      <c r="P120" t="s">
        <v>32</v>
      </c>
      <c r="R120">
        <v>4</v>
      </c>
      <c r="S120" t="s">
        <v>33</v>
      </c>
      <c r="T120" t="s">
        <v>68</v>
      </c>
      <c r="U120" t="s">
        <v>85</v>
      </c>
    </row>
    <row r="121" spans="1:22" x14ac:dyDescent="0.3">
      <c r="A121" t="s">
        <v>298</v>
      </c>
      <c r="B121" s="3">
        <v>45661</v>
      </c>
      <c r="C121" t="s">
        <v>49</v>
      </c>
      <c r="D121" t="s">
        <v>50</v>
      </c>
      <c r="E121" t="s">
        <v>38</v>
      </c>
      <c r="F121" t="s">
        <v>133</v>
      </c>
      <c r="G121" t="s">
        <v>134</v>
      </c>
      <c r="H121" t="s">
        <v>98</v>
      </c>
      <c r="I121" t="s">
        <v>99</v>
      </c>
      <c r="J121" t="s">
        <v>66</v>
      </c>
      <c r="K121" t="s">
        <v>54</v>
      </c>
      <c r="L121" s="2">
        <v>0.375</v>
      </c>
      <c r="M121" s="2">
        <v>0.75</v>
      </c>
      <c r="N121">
        <v>8</v>
      </c>
      <c r="O121">
        <v>0</v>
      </c>
      <c r="P121" t="s">
        <v>32</v>
      </c>
      <c r="R121">
        <v>4</v>
      </c>
      <c r="S121" t="s">
        <v>45</v>
      </c>
      <c r="T121" t="s">
        <v>101</v>
      </c>
      <c r="U121" t="s">
        <v>55</v>
      </c>
      <c r="V121" t="s">
        <v>69</v>
      </c>
    </row>
    <row r="122" spans="1:22" x14ac:dyDescent="0.3">
      <c r="A122" t="s">
        <v>299</v>
      </c>
      <c r="B122" s="3">
        <v>45799</v>
      </c>
      <c r="C122" t="s">
        <v>57</v>
      </c>
      <c r="D122" t="s">
        <v>24</v>
      </c>
      <c r="E122" t="s">
        <v>25</v>
      </c>
      <c r="F122" t="s">
        <v>288</v>
      </c>
      <c r="G122" t="s">
        <v>289</v>
      </c>
      <c r="H122" t="s">
        <v>107</v>
      </c>
      <c r="I122" t="s">
        <v>29</v>
      </c>
      <c r="J122" t="s">
        <v>74</v>
      </c>
      <c r="K122" t="s">
        <v>44</v>
      </c>
      <c r="P122" t="s">
        <v>82</v>
      </c>
      <c r="Q122" t="s">
        <v>83</v>
      </c>
      <c r="S122" t="s">
        <v>45</v>
      </c>
      <c r="T122" t="s">
        <v>34</v>
      </c>
      <c r="U122" t="s">
        <v>55</v>
      </c>
      <c r="V122" t="s">
        <v>69</v>
      </c>
    </row>
    <row r="123" spans="1:22" x14ac:dyDescent="0.3">
      <c r="A123" t="s">
        <v>300</v>
      </c>
      <c r="B123" s="1">
        <v>45803</v>
      </c>
      <c r="C123" t="s">
        <v>57</v>
      </c>
      <c r="D123" t="s">
        <v>24</v>
      </c>
      <c r="E123" t="s">
        <v>109</v>
      </c>
      <c r="F123" t="s">
        <v>211</v>
      </c>
      <c r="G123" t="s">
        <v>212</v>
      </c>
      <c r="H123" t="s">
        <v>64</v>
      </c>
      <c r="I123" t="s">
        <v>65</v>
      </c>
      <c r="J123" t="s">
        <v>74</v>
      </c>
      <c r="K123" t="s">
        <v>31</v>
      </c>
      <c r="L123" s="2">
        <v>0.375</v>
      </c>
      <c r="M123" s="2">
        <v>0.75</v>
      </c>
      <c r="N123">
        <v>10</v>
      </c>
      <c r="O123">
        <v>2</v>
      </c>
      <c r="P123" t="s">
        <v>32</v>
      </c>
      <c r="S123" t="s">
        <v>33</v>
      </c>
      <c r="T123" t="s">
        <v>68</v>
      </c>
      <c r="U123" t="s">
        <v>85</v>
      </c>
    </row>
    <row r="124" spans="1:22" x14ac:dyDescent="0.3">
      <c r="A124" t="s">
        <v>301</v>
      </c>
      <c r="B124" s="1">
        <v>45693</v>
      </c>
      <c r="C124" t="s">
        <v>95</v>
      </c>
      <c r="D124" t="s">
        <v>50</v>
      </c>
      <c r="E124" t="s">
        <v>51</v>
      </c>
      <c r="F124" t="s">
        <v>159</v>
      </c>
      <c r="G124" t="s">
        <v>160</v>
      </c>
      <c r="H124" t="s">
        <v>64</v>
      </c>
      <c r="I124" t="s">
        <v>65</v>
      </c>
      <c r="J124" t="s">
        <v>100</v>
      </c>
      <c r="K124" t="s">
        <v>44</v>
      </c>
      <c r="L124" s="2">
        <v>0.375</v>
      </c>
      <c r="M124" s="2">
        <v>0.75</v>
      </c>
      <c r="N124">
        <v>8.5</v>
      </c>
      <c r="O124">
        <v>0.5</v>
      </c>
      <c r="P124" t="s">
        <v>32</v>
      </c>
      <c r="R124">
        <v>5</v>
      </c>
      <c r="S124" t="s">
        <v>33</v>
      </c>
      <c r="T124" t="s">
        <v>68</v>
      </c>
      <c r="U124" t="s">
        <v>47</v>
      </c>
      <c r="V124" t="s">
        <v>60</v>
      </c>
    </row>
    <row r="125" spans="1:22" x14ac:dyDescent="0.3">
      <c r="A125" t="s">
        <v>302</v>
      </c>
      <c r="B125" s="3">
        <v>45713</v>
      </c>
      <c r="C125" t="s">
        <v>95</v>
      </c>
      <c r="D125" t="s">
        <v>50</v>
      </c>
      <c r="E125" t="s">
        <v>87</v>
      </c>
      <c r="F125" t="s">
        <v>228</v>
      </c>
      <c r="G125" t="s">
        <v>229</v>
      </c>
      <c r="H125" t="s">
        <v>79</v>
      </c>
      <c r="I125" t="s">
        <v>80</v>
      </c>
      <c r="J125" t="s">
        <v>43</v>
      </c>
      <c r="K125" t="s">
        <v>81</v>
      </c>
      <c r="L125" s="2">
        <v>0.91666666666666663</v>
      </c>
      <c r="M125" s="2">
        <v>0.29166666666666669</v>
      </c>
      <c r="N125">
        <v>9.5</v>
      </c>
      <c r="O125">
        <v>1.5</v>
      </c>
      <c r="P125" t="s">
        <v>32</v>
      </c>
      <c r="S125" t="s">
        <v>67</v>
      </c>
      <c r="T125" t="s">
        <v>84</v>
      </c>
      <c r="V125" t="s">
        <v>60</v>
      </c>
    </row>
    <row r="126" spans="1:22" x14ac:dyDescent="0.3">
      <c r="A126" t="s">
        <v>303</v>
      </c>
      <c r="B126" s="3">
        <v>45696</v>
      </c>
      <c r="C126" t="s">
        <v>95</v>
      </c>
      <c r="D126" t="s">
        <v>50</v>
      </c>
      <c r="E126" t="s">
        <v>38</v>
      </c>
      <c r="F126" t="s">
        <v>201</v>
      </c>
      <c r="G126" t="s">
        <v>202</v>
      </c>
      <c r="H126" t="s">
        <v>112</v>
      </c>
      <c r="I126" t="s">
        <v>113</v>
      </c>
      <c r="J126" t="s">
        <v>66</v>
      </c>
      <c r="K126" t="s">
        <v>54</v>
      </c>
      <c r="L126" s="2">
        <v>0.375</v>
      </c>
      <c r="M126" s="2">
        <v>0.75</v>
      </c>
      <c r="N126">
        <v>8</v>
      </c>
      <c r="O126">
        <v>0</v>
      </c>
      <c r="P126" t="s">
        <v>32</v>
      </c>
      <c r="R126">
        <v>4</v>
      </c>
      <c r="S126" t="s">
        <v>92</v>
      </c>
      <c r="T126" t="s">
        <v>114</v>
      </c>
      <c r="U126" t="s">
        <v>47</v>
      </c>
      <c r="V126" t="s">
        <v>60</v>
      </c>
    </row>
    <row r="127" spans="1:22" x14ac:dyDescent="0.3">
      <c r="A127" t="s">
        <v>304</v>
      </c>
      <c r="B127" s="3">
        <v>45737</v>
      </c>
      <c r="C127" t="s">
        <v>71</v>
      </c>
      <c r="D127" t="s">
        <v>50</v>
      </c>
      <c r="E127" t="s">
        <v>119</v>
      </c>
      <c r="F127" t="s">
        <v>305</v>
      </c>
      <c r="G127" t="s">
        <v>306</v>
      </c>
      <c r="H127" t="s">
        <v>79</v>
      </c>
      <c r="I127" t="s">
        <v>80</v>
      </c>
      <c r="J127" t="s">
        <v>74</v>
      </c>
      <c r="K127" t="s">
        <v>75</v>
      </c>
      <c r="L127" s="2">
        <v>0.375</v>
      </c>
      <c r="M127" s="2">
        <v>0.75</v>
      </c>
      <c r="N127">
        <v>8</v>
      </c>
      <c r="O127">
        <v>0</v>
      </c>
      <c r="P127" t="s">
        <v>32</v>
      </c>
      <c r="R127">
        <v>4</v>
      </c>
      <c r="S127" t="s">
        <v>45</v>
      </c>
      <c r="T127" t="s">
        <v>84</v>
      </c>
      <c r="V127" t="s">
        <v>35</v>
      </c>
    </row>
    <row r="128" spans="1:22" x14ac:dyDescent="0.3">
      <c r="A128" t="s">
        <v>307</v>
      </c>
      <c r="B128" s="3">
        <v>45742</v>
      </c>
      <c r="C128" t="s">
        <v>71</v>
      </c>
      <c r="D128" t="s">
        <v>50</v>
      </c>
      <c r="E128" t="s">
        <v>51</v>
      </c>
      <c r="F128" t="s">
        <v>163</v>
      </c>
      <c r="G128" t="s">
        <v>164</v>
      </c>
      <c r="H128" t="s">
        <v>112</v>
      </c>
      <c r="I128" t="s">
        <v>113</v>
      </c>
      <c r="J128" t="s">
        <v>100</v>
      </c>
      <c r="K128" t="s">
        <v>31</v>
      </c>
      <c r="L128" s="2">
        <v>0.375</v>
      </c>
      <c r="M128" s="2">
        <v>0.75</v>
      </c>
      <c r="N128">
        <v>8</v>
      </c>
      <c r="O128">
        <v>0</v>
      </c>
      <c r="P128" t="s">
        <v>32</v>
      </c>
      <c r="R128">
        <v>4</v>
      </c>
      <c r="S128" t="s">
        <v>33</v>
      </c>
      <c r="T128" t="s">
        <v>114</v>
      </c>
      <c r="V128" t="s">
        <v>60</v>
      </c>
    </row>
    <row r="129" spans="1:22" x14ac:dyDescent="0.3">
      <c r="A129" t="s">
        <v>308</v>
      </c>
      <c r="B129" s="1">
        <v>45828</v>
      </c>
      <c r="C129" t="s">
        <v>23</v>
      </c>
      <c r="D129" t="s">
        <v>24</v>
      </c>
      <c r="E129" t="s">
        <v>119</v>
      </c>
      <c r="F129" t="s">
        <v>309</v>
      </c>
      <c r="G129" t="s">
        <v>310</v>
      </c>
      <c r="H129" t="s">
        <v>28</v>
      </c>
      <c r="I129" t="s">
        <v>29</v>
      </c>
      <c r="J129" t="s">
        <v>43</v>
      </c>
      <c r="K129" t="s">
        <v>75</v>
      </c>
      <c r="L129" s="2">
        <v>0.375</v>
      </c>
      <c r="M129" s="2">
        <v>0.75</v>
      </c>
      <c r="N129">
        <v>8</v>
      </c>
      <c r="O129">
        <v>0</v>
      </c>
      <c r="P129" t="s">
        <v>32</v>
      </c>
      <c r="R129">
        <v>5</v>
      </c>
      <c r="S129" t="s">
        <v>92</v>
      </c>
      <c r="T129" t="s">
        <v>34</v>
      </c>
      <c r="V129" t="s">
        <v>35</v>
      </c>
    </row>
    <row r="130" spans="1:22" x14ac:dyDescent="0.3">
      <c r="A130" t="s">
        <v>311</v>
      </c>
      <c r="B130" s="1">
        <v>45736</v>
      </c>
      <c r="C130" t="s">
        <v>71</v>
      </c>
      <c r="D130" t="s">
        <v>50</v>
      </c>
      <c r="E130" t="s">
        <v>25</v>
      </c>
      <c r="F130" t="s">
        <v>127</v>
      </c>
      <c r="G130" t="s">
        <v>128</v>
      </c>
      <c r="H130" t="s">
        <v>90</v>
      </c>
      <c r="I130" t="s">
        <v>91</v>
      </c>
      <c r="J130" t="s">
        <v>66</v>
      </c>
      <c r="K130" t="s">
        <v>44</v>
      </c>
      <c r="L130" s="2">
        <v>0.375</v>
      </c>
      <c r="M130" s="2">
        <v>0.75</v>
      </c>
      <c r="N130">
        <v>8</v>
      </c>
      <c r="O130">
        <v>0</v>
      </c>
      <c r="P130" t="s">
        <v>32</v>
      </c>
      <c r="S130" t="s">
        <v>45</v>
      </c>
      <c r="T130" t="s">
        <v>93</v>
      </c>
      <c r="U130" t="s">
        <v>55</v>
      </c>
    </row>
    <row r="131" spans="1:22" x14ac:dyDescent="0.3">
      <c r="A131" t="s">
        <v>312</v>
      </c>
      <c r="B131" s="3">
        <v>45775</v>
      </c>
      <c r="C131" t="s">
        <v>37</v>
      </c>
      <c r="D131" t="s">
        <v>24</v>
      </c>
      <c r="E131" t="s">
        <v>109</v>
      </c>
      <c r="F131" t="s">
        <v>26</v>
      </c>
      <c r="G131" t="s">
        <v>27</v>
      </c>
      <c r="H131" t="s">
        <v>28</v>
      </c>
      <c r="I131" t="s">
        <v>29</v>
      </c>
      <c r="J131" t="s">
        <v>30</v>
      </c>
      <c r="K131" t="s">
        <v>44</v>
      </c>
      <c r="L131" s="2">
        <v>0.375</v>
      </c>
      <c r="M131" s="2">
        <v>0.75</v>
      </c>
      <c r="N131">
        <v>8</v>
      </c>
      <c r="O131">
        <v>0</v>
      </c>
      <c r="P131" t="s">
        <v>32</v>
      </c>
      <c r="R131">
        <v>4</v>
      </c>
      <c r="S131" t="s">
        <v>67</v>
      </c>
      <c r="T131" t="s">
        <v>34</v>
      </c>
      <c r="U131" t="s">
        <v>47</v>
      </c>
      <c r="V131" t="s">
        <v>35</v>
      </c>
    </row>
    <row r="132" spans="1:22" x14ac:dyDescent="0.3">
      <c r="A132" t="s">
        <v>313</v>
      </c>
      <c r="B132" s="3">
        <v>45827</v>
      </c>
      <c r="C132" t="s">
        <v>23</v>
      </c>
      <c r="D132" t="s">
        <v>24</v>
      </c>
      <c r="E132" t="s">
        <v>25</v>
      </c>
      <c r="F132" t="s">
        <v>148</v>
      </c>
      <c r="G132" t="s">
        <v>149</v>
      </c>
      <c r="H132" t="s">
        <v>314</v>
      </c>
      <c r="I132" t="s">
        <v>113</v>
      </c>
      <c r="J132" t="s">
        <v>43</v>
      </c>
      <c r="K132" t="s">
        <v>81</v>
      </c>
      <c r="L132" s="2">
        <v>0.3888888888888889</v>
      </c>
      <c r="N132">
        <v>10</v>
      </c>
      <c r="O132">
        <v>2</v>
      </c>
      <c r="P132" t="s">
        <v>32</v>
      </c>
      <c r="R132">
        <v>4</v>
      </c>
      <c r="S132" t="s">
        <v>92</v>
      </c>
      <c r="T132" t="s">
        <v>114</v>
      </c>
      <c r="U132" t="s">
        <v>47</v>
      </c>
      <c r="V132" t="s">
        <v>60</v>
      </c>
    </row>
    <row r="133" spans="1:22" x14ac:dyDescent="0.3">
      <c r="A133" t="s">
        <v>315</v>
      </c>
      <c r="B133" s="3">
        <v>45705</v>
      </c>
      <c r="C133" t="s">
        <v>95</v>
      </c>
      <c r="D133" t="s">
        <v>50</v>
      </c>
      <c r="E133" t="s">
        <v>109</v>
      </c>
      <c r="F133" t="s">
        <v>72</v>
      </c>
      <c r="G133" t="s">
        <v>73</v>
      </c>
      <c r="H133" t="s">
        <v>28</v>
      </c>
      <c r="I133" t="s">
        <v>29</v>
      </c>
      <c r="J133" t="s">
        <v>74</v>
      </c>
      <c r="K133" t="s">
        <v>54</v>
      </c>
      <c r="L133" s="2">
        <v>0.375</v>
      </c>
      <c r="N133">
        <v>8</v>
      </c>
      <c r="O133">
        <v>0</v>
      </c>
      <c r="P133" t="s">
        <v>32</v>
      </c>
      <c r="R133">
        <v>4</v>
      </c>
      <c r="S133" t="s">
        <v>92</v>
      </c>
      <c r="T133" t="s">
        <v>34</v>
      </c>
      <c r="U133" t="s">
        <v>85</v>
      </c>
      <c r="V133" t="s">
        <v>69</v>
      </c>
    </row>
    <row r="134" spans="1:22" x14ac:dyDescent="0.3">
      <c r="A134" t="s">
        <v>316</v>
      </c>
      <c r="B134" s="1">
        <v>45665</v>
      </c>
      <c r="C134" t="s">
        <v>49</v>
      </c>
      <c r="D134" t="s">
        <v>50</v>
      </c>
      <c r="E134" t="s">
        <v>51</v>
      </c>
      <c r="F134" t="s">
        <v>228</v>
      </c>
      <c r="G134" t="s">
        <v>229</v>
      </c>
      <c r="H134" t="s">
        <v>79</v>
      </c>
      <c r="I134" t="s">
        <v>80</v>
      </c>
      <c r="J134" t="s">
        <v>43</v>
      </c>
      <c r="K134" t="s">
        <v>54</v>
      </c>
      <c r="L134" s="2">
        <v>0.375</v>
      </c>
      <c r="M134" s="2">
        <v>0.75</v>
      </c>
      <c r="N134">
        <v>8</v>
      </c>
      <c r="O134">
        <v>0</v>
      </c>
      <c r="P134" t="s">
        <v>32</v>
      </c>
      <c r="R134">
        <v>3</v>
      </c>
      <c r="S134" t="s">
        <v>33</v>
      </c>
      <c r="T134" t="s">
        <v>84</v>
      </c>
      <c r="V134" t="s">
        <v>60</v>
      </c>
    </row>
    <row r="135" spans="1:22" x14ac:dyDescent="0.3">
      <c r="A135" t="s">
        <v>317</v>
      </c>
      <c r="B135" s="3">
        <v>45753</v>
      </c>
      <c r="C135" t="s">
        <v>37</v>
      </c>
      <c r="D135" t="s">
        <v>24</v>
      </c>
      <c r="E135" t="s">
        <v>103</v>
      </c>
      <c r="F135" t="s">
        <v>77</v>
      </c>
      <c r="G135" t="s">
        <v>78</v>
      </c>
      <c r="H135" t="s">
        <v>79</v>
      </c>
      <c r="I135" t="s">
        <v>80</v>
      </c>
      <c r="J135" t="s">
        <v>30</v>
      </c>
      <c r="K135" t="s">
        <v>75</v>
      </c>
      <c r="P135" t="s">
        <v>82</v>
      </c>
      <c r="Q135" t="s">
        <v>225</v>
      </c>
      <c r="S135" t="s">
        <v>92</v>
      </c>
      <c r="T135" t="s">
        <v>84</v>
      </c>
      <c r="U135" t="s">
        <v>55</v>
      </c>
      <c r="V135" t="s">
        <v>35</v>
      </c>
    </row>
    <row r="136" spans="1:22" x14ac:dyDescent="0.3">
      <c r="A136" t="s">
        <v>318</v>
      </c>
      <c r="B136" s="3">
        <v>45696</v>
      </c>
      <c r="C136" t="s">
        <v>95</v>
      </c>
      <c r="D136" t="s">
        <v>50</v>
      </c>
      <c r="E136" t="s">
        <v>38</v>
      </c>
      <c r="F136" t="s">
        <v>166</v>
      </c>
      <c r="G136" t="s">
        <v>167</v>
      </c>
      <c r="H136" t="s">
        <v>41</v>
      </c>
      <c r="I136" t="s">
        <v>42</v>
      </c>
      <c r="J136" t="s">
        <v>100</v>
      </c>
      <c r="K136" t="s">
        <v>44</v>
      </c>
      <c r="L136" s="2">
        <v>0.375</v>
      </c>
      <c r="M136" s="2">
        <v>0.75</v>
      </c>
      <c r="N136">
        <v>8</v>
      </c>
      <c r="O136">
        <v>0</v>
      </c>
      <c r="P136" t="s">
        <v>32</v>
      </c>
      <c r="R136">
        <v>4</v>
      </c>
      <c r="S136" t="s">
        <v>67</v>
      </c>
      <c r="T136" t="s">
        <v>46</v>
      </c>
      <c r="V136" t="s">
        <v>60</v>
      </c>
    </row>
    <row r="137" spans="1:22" x14ac:dyDescent="0.3">
      <c r="A137" t="s">
        <v>319</v>
      </c>
      <c r="B137" s="1">
        <v>45707</v>
      </c>
      <c r="C137" t="s">
        <v>95</v>
      </c>
      <c r="D137" t="s">
        <v>50</v>
      </c>
      <c r="E137" t="s">
        <v>51</v>
      </c>
      <c r="F137" t="s">
        <v>166</v>
      </c>
      <c r="G137" t="s">
        <v>167</v>
      </c>
      <c r="H137" t="s">
        <v>41</v>
      </c>
      <c r="I137" t="s">
        <v>42</v>
      </c>
      <c r="J137" t="s">
        <v>100</v>
      </c>
      <c r="K137" t="s">
        <v>54</v>
      </c>
      <c r="L137" s="2">
        <v>0.375</v>
      </c>
      <c r="M137" s="2">
        <v>0.75</v>
      </c>
      <c r="N137">
        <v>8</v>
      </c>
      <c r="O137">
        <v>0</v>
      </c>
      <c r="P137" t="s">
        <v>32</v>
      </c>
      <c r="S137" t="s">
        <v>33</v>
      </c>
      <c r="T137" t="s">
        <v>46</v>
      </c>
      <c r="U137" t="s">
        <v>85</v>
      </c>
      <c r="V137" t="s">
        <v>35</v>
      </c>
    </row>
    <row r="138" spans="1:22" x14ac:dyDescent="0.3">
      <c r="A138" t="s">
        <v>320</v>
      </c>
      <c r="B138" s="1">
        <v>45757</v>
      </c>
      <c r="C138" t="s">
        <v>37</v>
      </c>
      <c r="D138" t="s">
        <v>24</v>
      </c>
      <c r="E138" t="s">
        <v>25</v>
      </c>
      <c r="F138" t="s">
        <v>145</v>
      </c>
      <c r="G138" t="s">
        <v>146</v>
      </c>
      <c r="H138" t="s">
        <v>90</v>
      </c>
      <c r="I138" t="s">
        <v>91</v>
      </c>
      <c r="J138" t="s">
        <v>100</v>
      </c>
      <c r="K138" t="s">
        <v>44</v>
      </c>
      <c r="L138" s="2">
        <v>0.375</v>
      </c>
      <c r="M138" s="2">
        <v>0.75</v>
      </c>
      <c r="N138">
        <v>8</v>
      </c>
      <c r="O138">
        <v>0</v>
      </c>
      <c r="P138" t="s">
        <v>32</v>
      </c>
      <c r="R138">
        <v>4</v>
      </c>
      <c r="S138" t="s">
        <v>33</v>
      </c>
      <c r="T138" t="s">
        <v>93</v>
      </c>
      <c r="U138" t="s">
        <v>55</v>
      </c>
    </row>
    <row r="139" spans="1:22" x14ac:dyDescent="0.3">
      <c r="A139" t="s">
        <v>321</v>
      </c>
      <c r="B139" s="3">
        <v>45809</v>
      </c>
      <c r="C139" t="s">
        <v>23</v>
      </c>
      <c r="D139" t="s">
        <v>24</v>
      </c>
      <c r="E139" t="s">
        <v>103</v>
      </c>
      <c r="F139" t="s">
        <v>185</v>
      </c>
      <c r="G139" t="s">
        <v>186</v>
      </c>
      <c r="H139" t="s">
        <v>79</v>
      </c>
      <c r="I139" t="s">
        <v>80</v>
      </c>
      <c r="J139" t="s">
        <v>66</v>
      </c>
      <c r="K139" t="s">
        <v>31</v>
      </c>
      <c r="L139" s="2">
        <v>0.375</v>
      </c>
      <c r="M139" s="2">
        <v>0.75</v>
      </c>
      <c r="N139">
        <v>8</v>
      </c>
      <c r="O139">
        <v>0</v>
      </c>
      <c r="P139" t="s">
        <v>32</v>
      </c>
      <c r="S139" t="s">
        <v>92</v>
      </c>
      <c r="T139" t="s">
        <v>84</v>
      </c>
      <c r="U139" t="s">
        <v>55</v>
      </c>
      <c r="V139" t="s">
        <v>60</v>
      </c>
    </row>
    <row r="140" spans="1:22" x14ac:dyDescent="0.3">
      <c r="A140" t="s">
        <v>322</v>
      </c>
      <c r="B140" s="3">
        <v>45833</v>
      </c>
      <c r="C140" t="s">
        <v>23</v>
      </c>
      <c r="D140" t="s">
        <v>24</v>
      </c>
      <c r="E140" t="s">
        <v>51</v>
      </c>
      <c r="F140" t="s">
        <v>173</v>
      </c>
      <c r="G140" t="s">
        <v>174</v>
      </c>
      <c r="H140" t="s">
        <v>90</v>
      </c>
      <c r="I140" t="s">
        <v>91</v>
      </c>
      <c r="J140" t="s">
        <v>74</v>
      </c>
      <c r="K140" t="s">
        <v>54</v>
      </c>
      <c r="L140" s="2">
        <v>0.375</v>
      </c>
      <c r="M140" s="2">
        <v>0.75</v>
      </c>
      <c r="N140">
        <v>8</v>
      </c>
      <c r="O140">
        <v>0</v>
      </c>
      <c r="P140" t="s">
        <v>32</v>
      </c>
      <c r="R140">
        <v>4</v>
      </c>
      <c r="S140" t="s">
        <v>33</v>
      </c>
      <c r="T140" t="s">
        <v>93</v>
      </c>
      <c r="U140" t="s">
        <v>55</v>
      </c>
    </row>
    <row r="141" spans="1:22" x14ac:dyDescent="0.3">
      <c r="A141" t="s">
        <v>323</v>
      </c>
      <c r="B141" s="3">
        <v>45743</v>
      </c>
      <c r="C141" t="s">
        <v>71</v>
      </c>
      <c r="D141" t="s">
        <v>50</v>
      </c>
      <c r="E141" t="s">
        <v>25</v>
      </c>
      <c r="F141" t="s">
        <v>151</v>
      </c>
      <c r="G141" t="s">
        <v>152</v>
      </c>
      <c r="H141" t="s">
        <v>98</v>
      </c>
      <c r="I141" t="s">
        <v>99</v>
      </c>
      <c r="J141" t="s">
        <v>30</v>
      </c>
      <c r="K141" t="s">
        <v>54</v>
      </c>
      <c r="L141" s="2">
        <v>0.375</v>
      </c>
      <c r="M141" s="2">
        <v>0.75</v>
      </c>
      <c r="N141">
        <v>8</v>
      </c>
      <c r="O141">
        <v>0</v>
      </c>
      <c r="P141" t="s">
        <v>32</v>
      </c>
      <c r="R141">
        <v>3</v>
      </c>
      <c r="S141" t="s">
        <v>92</v>
      </c>
      <c r="T141" t="s">
        <v>101</v>
      </c>
      <c r="U141" t="s">
        <v>85</v>
      </c>
    </row>
    <row r="142" spans="1:22" x14ac:dyDescent="0.3">
      <c r="A142" t="s">
        <v>324</v>
      </c>
      <c r="B142" s="3">
        <v>45720</v>
      </c>
      <c r="C142" t="s">
        <v>71</v>
      </c>
      <c r="D142" t="s">
        <v>50</v>
      </c>
      <c r="E142" t="s">
        <v>87</v>
      </c>
      <c r="F142" t="s">
        <v>170</v>
      </c>
      <c r="G142" t="s">
        <v>171</v>
      </c>
      <c r="H142" t="s">
        <v>64</v>
      </c>
      <c r="I142" t="s">
        <v>65</v>
      </c>
      <c r="J142" t="s">
        <v>43</v>
      </c>
      <c r="K142" t="s">
        <v>75</v>
      </c>
      <c r="L142" s="2">
        <v>0.375</v>
      </c>
      <c r="M142" s="2">
        <v>0.75</v>
      </c>
      <c r="N142">
        <v>8.5</v>
      </c>
      <c r="O142">
        <v>0.5</v>
      </c>
      <c r="P142" t="s">
        <v>32</v>
      </c>
      <c r="R142">
        <v>5</v>
      </c>
      <c r="S142" t="s">
        <v>67</v>
      </c>
      <c r="T142" t="s">
        <v>68</v>
      </c>
      <c r="U142" t="s">
        <v>85</v>
      </c>
      <c r="V142" t="s">
        <v>35</v>
      </c>
    </row>
    <row r="143" spans="1:22" x14ac:dyDescent="0.3">
      <c r="A143" t="s">
        <v>325</v>
      </c>
      <c r="B143" s="1">
        <v>45784</v>
      </c>
      <c r="C143" t="s">
        <v>57</v>
      </c>
      <c r="D143" t="s">
        <v>24</v>
      </c>
      <c r="E143" t="s">
        <v>51</v>
      </c>
      <c r="F143" t="s">
        <v>163</v>
      </c>
      <c r="G143" t="s">
        <v>164</v>
      </c>
      <c r="H143" t="s">
        <v>112</v>
      </c>
      <c r="I143" t="s">
        <v>113</v>
      </c>
      <c r="J143" t="s">
        <v>100</v>
      </c>
      <c r="K143" t="s">
        <v>31</v>
      </c>
      <c r="L143" s="2">
        <v>0.39930555555555558</v>
      </c>
      <c r="M143" s="2">
        <v>0.75</v>
      </c>
      <c r="N143">
        <v>8</v>
      </c>
      <c r="O143">
        <v>0</v>
      </c>
      <c r="P143" t="s">
        <v>32</v>
      </c>
      <c r="R143">
        <v>3</v>
      </c>
      <c r="S143" t="s">
        <v>92</v>
      </c>
      <c r="T143" t="s">
        <v>114</v>
      </c>
    </row>
    <row r="144" spans="1:22" x14ac:dyDescent="0.3">
      <c r="A144" t="s">
        <v>326</v>
      </c>
      <c r="B144" s="1">
        <v>45726</v>
      </c>
      <c r="C144" t="s">
        <v>71</v>
      </c>
      <c r="D144" t="s">
        <v>50</v>
      </c>
      <c r="E144" t="s">
        <v>109</v>
      </c>
      <c r="F144" t="s">
        <v>309</v>
      </c>
      <c r="G144" t="s">
        <v>310</v>
      </c>
      <c r="H144" t="s">
        <v>28</v>
      </c>
      <c r="I144" t="s">
        <v>29</v>
      </c>
      <c r="J144" t="s">
        <v>43</v>
      </c>
      <c r="K144" t="s">
        <v>31</v>
      </c>
      <c r="L144" s="2">
        <v>0.375</v>
      </c>
      <c r="M144" s="2">
        <v>0.75</v>
      </c>
      <c r="N144">
        <v>8</v>
      </c>
      <c r="O144">
        <v>0</v>
      </c>
      <c r="P144" t="s">
        <v>32</v>
      </c>
      <c r="R144">
        <v>5</v>
      </c>
      <c r="S144" t="s">
        <v>45</v>
      </c>
      <c r="T144" t="s">
        <v>34</v>
      </c>
      <c r="U144" t="s">
        <v>85</v>
      </c>
    </row>
    <row r="145" spans="1:22" x14ac:dyDescent="0.3">
      <c r="A145" t="s">
        <v>327</v>
      </c>
      <c r="B145" s="3">
        <v>45780</v>
      </c>
      <c r="C145" t="s">
        <v>57</v>
      </c>
      <c r="D145" t="s">
        <v>24</v>
      </c>
      <c r="E145" t="s">
        <v>38</v>
      </c>
      <c r="F145" t="s">
        <v>88</v>
      </c>
      <c r="G145" t="s">
        <v>89</v>
      </c>
      <c r="H145" t="s">
        <v>90</v>
      </c>
      <c r="I145" t="s">
        <v>91</v>
      </c>
      <c r="J145" t="s">
        <v>43</v>
      </c>
      <c r="K145" t="s">
        <v>31</v>
      </c>
      <c r="L145" s="2">
        <v>0.375</v>
      </c>
      <c r="M145" s="2">
        <v>0.75</v>
      </c>
      <c r="N145">
        <v>8</v>
      </c>
      <c r="O145">
        <v>0</v>
      </c>
      <c r="P145" t="s">
        <v>32</v>
      </c>
      <c r="R145">
        <v>4</v>
      </c>
      <c r="S145" t="s">
        <v>92</v>
      </c>
      <c r="T145" t="s">
        <v>93</v>
      </c>
      <c r="U145" t="s">
        <v>55</v>
      </c>
    </row>
    <row r="146" spans="1:22" x14ac:dyDescent="0.3">
      <c r="A146" t="s">
        <v>328</v>
      </c>
      <c r="B146" s="3">
        <v>45710</v>
      </c>
      <c r="C146" t="s">
        <v>95</v>
      </c>
      <c r="D146" t="s">
        <v>50</v>
      </c>
      <c r="E146" t="s">
        <v>38</v>
      </c>
      <c r="F146" t="s">
        <v>185</v>
      </c>
      <c r="G146" t="s">
        <v>186</v>
      </c>
      <c r="H146" t="s">
        <v>79</v>
      </c>
      <c r="I146" t="s">
        <v>80</v>
      </c>
      <c r="J146" t="s">
        <v>66</v>
      </c>
      <c r="K146" t="s">
        <v>54</v>
      </c>
      <c r="L146" s="2">
        <v>0.375</v>
      </c>
      <c r="M146" s="2">
        <v>0.75</v>
      </c>
      <c r="N146">
        <v>8</v>
      </c>
      <c r="O146">
        <v>0</v>
      </c>
      <c r="P146" t="s">
        <v>32</v>
      </c>
      <c r="R146">
        <v>3</v>
      </c>
      <c r="S146" t="s">
        <v>67</v>
      </c>
      <c r="T146" t="s">
        <v>84</v>
      </c>
      <c r="V146" t="s">
        <v>69</v>
      </c>
    </row>
    <row r="147" spans="1:22" x14ac:dyDescent="0.3">
      <c r="A147" t="s">
        <v>329</v>
      </c>
      <c r="B147" s="3">
        <v>45695</v>
      </c>
      <c r="C147" t="s">
        <v>95</v>
      </c>
      <c r="D147" t="s">
        <v>50</v>
      </c>
      <c r="E147" t="s">
        <v>119</v>
      </c>
      <c r="F147" t="s">
        <v>192</v>
      </c>
      <c r="G147" t="s">
        <v>193</v>
      </c>
      <c r="H147" t="s">
        <v>79</v>
      </c>
      <c r="I147" t="s">
        <v>80</v>
      </c>
      <c r="J147" t="s">
        <v>66</v>
      </c>
      <c r="K147" t="s">
        <v>44</v>
      </c>
      <c r="L147" s="2">
        <v>0.375</v>
      </c>
      <c r="M147" s="2">
        <v>0.75</v>
      </c>
      <c r="N147">
        <v>8</v>
      </c>
      <c r="O147">
        <v>0</v>
      </c>
      <c r="P147" t="s">
        <v>32</v>
      </c>
      <c r="R147">
        <v>4</v>
      </c>
      <c r="S147" t="s">
        <v>92</v>
      </c>
      <c r="T147" t="s">
        <v>84</v>
      </c>
      <c r="U147" t="s">
        <v>47</v>
      </c>
    </row>
    <row r="148" spans="1:22" x14ac:dyDescent="0.3">
      <c r="A148" t="s">
        <v>330</v>
      </c>
      <c r="B148" s="3">
        <v>45734</v>
      </c>
      <c r="C148" t="s">
        <v>71</v>
      </c>
      <c r="D148" t="s">
        <v>50</v>
      </c>
      <c r="E148" t="s">
        <v>87</v>
      </c>
      <c r="F148" t="s">
        <v>62</v>
      </c>
      <c r="G148" t="s">
        <v>63</v>
      </c>
      <c r="H148" t="s">
        <v>64</v>
      </c>
      <c r="I148" t="s">
        <v>65</v>
      </c>
      <c r="J148" t="s">
        <v>66</v>
      </c>
      <c r="K148" t="s">
        <v>81</v>
      </c>
      <c r="L148" s="2">
        <v>0.91666666666666663</v>
      </c>
      <c r="M148" s="2">
        <v>0.29166666666666669</v>
      </c>
      <c r="N148">
        <v>9.5</v>
      </c>
      <c r="O148">
        <v>1.5</v>
      </c>
      <c r="P148" t="s">
        <v>32</v>
      </c>
      <c r="R148">
        <v>3</v>
      </c>
      <c r="S148" t="s">
        <v>33</v>
      </c>
      <c r="T148" t="s">
        <v>68</v>
      </c>
      <c r="U148" t="s">
        <v>55</v>
      </c>
      <c r="V148" t="s">
        <v>69</v>
      </c>
    </row>
    <row r="149" spans="1:22" x14ac:dyDescent="0.3">
      <c r="A149" t="s">
        <v>331</v>
      </c>
      <c r="B149" s="3">
        <v>45668</v>
      </c>
      <c r="C149" t="s">
        <v>49</v>
      </c>
      <c r="D149" t="s">
        <v>50</v>
      </c>
      <c r="E149" t="s">
        <v>38</v>
      </c>
      <c r="F149" t="s">
        <v>182</v>
      </c>
      <c r="G149" t="s">
        <v>183</v>
      </c>
      <c r="H149" t="s">
        <v>112</v>
      </c>
      <c r="I149" t="s">
        <v>113</v>
      </c>
      <c r="J149" t="s">
        <v>30</v>
      </c>
      <c r="K149" t="s">
        <v>81</v>
      </c>
      <c r="L149" s="2">
        <v>0.375</v>
      </c>
      <c r="M149" s="2">
        <v>0.29166666666666669</v>
      </c>
      <c r="N149">
        <v>9</v>
      </c>
      <c r="O149">
        <v>1</v>
      </c>
      <c r="P149" t="s">
        <v>32</v>
      </c>
      <c r="R149">
        <v>3</v>
      </c>
      <c r="S149" t="s">
        <v>45</v>
      </c>
      <c r="T149" t="s">
        <v>114</v>
      </c>
      <c r="U149" t="s">
        <v>55</v>
      </c>
      <c r="V149" t="s">
        <v>35</v>
      </c>
    </row>
    <row r="150" spans="1:22" x14ac:dyDescent="0.3">
      <c r="A150" t="s">
        <v>332</v>
      </c>
      <c r="B150" s="3">
        <v>45836</v>
      </c>
      <c r="C150" t="s">
        <v>23</v>
      </c>
      <c r="D150" t="s">
        <v>24</v>
      </c>
      <c r="E150" t="s">
        <v>38</v>
      </c>
      <c r="F150" t="s">
        <v>116</v>
      </c>
      <c r="G150" t="s">
        <v>117</v>
      </c>
      <c r="H150" t="s">
        <v>112</v>
      </c>
      <c r="I150" t="s">
        <v>113</v>
      </c>
      <c r="J150" t="s">
        <v>100</v>
      </c>
      <c r="K150" t="s">
        <v>54</v>
      </c>
      <c r="L150" s="2">
        <v>0.3888888888888889</v>
      </c>
      <c r="M150" s="2">
        <v>0.75</v>
      </c>
      <c r="N150">
        <v>8</v>
      </c>
      <c r="O150">
        <v>0</v>
      </c>
      <c r="P150" t="s">
        <v>32</v>
      </c>
      <c r="R150">
        <v>5</v>
      </c>
      <c r="S150" t="s">
        <v>33</v>
      </c>
      <c r="T150" t="s">
        <v>114</v>
      </c>
      <c r="U150" t="s">
        <v>47</v>
      </c>
    </row>
    <row r="151" spans="1:22" x14ac:dyDescent="0.3">
      <c r="A151" t="s">
        <v>333</v>
      </c>
      <c r="B151" s="1">
        <v>45774</v>
      </c>
      <c r="C151" t="s">
        <v>37</v>
      </c>
      <c r="D151" t="s">
        <v>24</v>
      </c>
      <c r="E151" t="s">
        <v>103</v>
      </c>
      <c r="F151" t="s">
        <v>151</v>
      </c>
      <c r="G151" t="s">
        <v>152</v>
      </c>
      <c r="H151" t="s">
        <v>98</v>
      </c>
      <c r="I151" t="s">
        <v>99</v>
      </c>
      <c r="J151" t="s">
        <v>30</v>
      </c>
      <c r="K151" t="s">
        <v>54</v>
      </c>
      <c r="L151" s="2">
        <v>0.375</v>
      </c>
      <c r="M151" s="2">
        <v>0.75</v>
      </c>
      <c r="N151">
        <v>8</v>
      </c>
      <c r="O151">
        <v>0</v>
      </c>
      <c r="P151" t="s">
        <v>32</v>
      </c>
      <c r="R151">
        <v>4</v>
      </c>
      <c r="S151" t="s">
        <v>33</v>
      </c>
      <c r="T151" t="s">
        <v>101</v>
      </c>
      <c r="U151" t="s">
        <v>55</v>
      </c>
      <c r="V151" t="s">
        <v>69</v>
      </c>
    </row>
    <row r="152" spans="1:22" x14ac:dyDescent="0.3">
      <c r="A152" t="s">
        <v>334</v>
      </c>
      <c r="B152" s="1">
        <v>45833</v>
      </c>
      <c r="C152" t="s">
        <v>23</v>
      </c>
      <c r="D152" t="s">
        <v>24</v>
      </c>
      <c r="E152" t="s">
        <v>51</v>
      </c>
      <c r="F152" t="s">
        <v>192</v>
      </c>
      <c r="G152" t="s">
        <v>193</v>
      </c>
      <c r="H152" t="s">
        <v>79</v>
      </c>
      <c r="I152" t="s">
        <v>80</v>
      </c>
      <c r="J152" t="s">
        <v>66</v>
      </c>
      <c r="K152" t="s">
        <v>75</v>
      </c>
      <c r="L152" s="2">
        <v>0.375</v>
      </c>
      <c r="M152" s="2">
        <v>0.75</v>
      </c>
      <c r="N152">
        <v>8</v>
      </c>
      <c r="O152">
        <v>0</v>
      </c>
      <c r="P152" t="s">
        <v>32</v>
      </c>
      <c r="R152">
        <v>3</v>
      </c>
      <c r="S152" t="s">
        <v>92</v>
      </c>
      <c r="T152" t="s">
        <v>84</v>
      </c>
      <c r="U152" t="s">
        <v>85</v>
      </c>
      <c r="V152" t="s">
        <v>35</v>
      </c>
    </row>
    <row r="153" spans="1:22" x14ac:dyDescent="0.3">
      <c r="A153" t="s">
        <v>335</v>
      </c>
      <c r="B153" s="3">
        <v>45750</v>
      </c>
      <c r="C153" t="s">
        <v>37</v>
      </c>
      <c r="D153" t="s">
        <v>24</v>
      </c>
      <c r="E153" t="s">
        <v>25</v>
      </c>
      <c r="F153" t="s">
        <v>104</v>
      </c>
      <c r="G153" t="s">
        <v>105</v>
      </c>
      <c r="H153" t="s">
        <v>28</v>
      </c>
      <c r="I153" t="s">
        <v>29</v>
      </c>
      <c r="J153" t="s">
        <v>30</v>
      </c>
      <c r="K153" t="s">
        <v>81</v>
      </c>
      <c r="L153" s="2">
        <v>0.91666666666666663</v>
      </c>
      <c r="N153">
        <v>10</v>
      </c>
      <c r="O153">
        <v>2</v>
      </c>
      <c r="P153" t="s">
        <v>32</v>
      </c>
      <c r="R153">
        <v>4</v>
      </c>
      <c r="S153" t="s">
        <v>67</v>
      </c>
      <c r="T153" t="s">
        <v>34</v>
      </c>
      <c r="U153" t="s">
        <v>55</v>
      </c>
      <c r="V153" t="s">
        <v>60</v>
      </c>
    </row>
    <row r="154" spans="1:22" x14ac:dyDescent="0.3">
      <c r="A154" t="s">
        <v>336</v>
      </c>
      <c r="B154" s="3">
        <v>45714</v>
      </c>
      <c r="C154" t="s">
        <v>95</v>
      </c>
      <c r="D154" t="s">
        <v>50</v>
      </c>
      <c r="E154" t="s">
        <v>51</v>
      </c>
      <c r="F154" t="s">
        <v>154</v>
      </c>
      <c r="G154" t="s">
        <v>155</v>
      </c>
      <c r="H154" t="s">
        <v>41</v>
      </c>
      <c r="I154" t="s">
        <v>42</v>
      </c>
      <c r="J154" t="s">
        <v>74</v>
      </c>
      <c r="K154" t="s">
        <v>54</v>
      </c>
      <c r="L154" s="2">
        <v>0.375</v>
      </c>
      <c r="M154" s="2">
        <v>0.75</v>
      </c>
      <c r="N154">
        <v>8</v>
      </c>
      <c r="O154">
        <v>0</v>
      </c>
      <c r="P154" t="s">
        <v>32</v>
      </c>
      <c r="R154">
        <v>4</v>
      </c>
      <c r="S154" t="s">
        <v>92</v>
      </c>
      <c r="T154" t="s">
        <v>46</v>
      </c>
      <c r="U154" t="s">
        <v>47</v>
      </c>
      <c r="V154" t="s">
        <v>69</v>
      </c>
    </row>
    <row r="155" spans="1:22" x14ac:dyDescent="0.3">
      <c r="A155" t="s">
        <v>337</v>
      </c>
      <c r="B155" s="3">
        <v>45748</v>
      </c>
      <c r="C155" t="s">
        <v>37</v>
      </c>
      <c r="D155" t="s">
        <v>24</v>
      </c>
      <c r="E155" t="s">
        <v>87</v>
      </c>
      <c r="F155" t="s">
        <v>170</v>
      </c>
      <c r="G155" t="s">
        <v>171</v>
      </c>
      <c r="H155" t="s">
        <v>64</v>
      </c>
      <c r="I155" t="s">
        <v>65</v>
      </c>
      <c r="J155" t="s">
        <v>43</v>
      </c>
      <c r="K155" t="s">
        <v>54</v>
      </c>
      <c r="L155" s="2">
        <v>0.375</v>
      </c>
      <c r="M155" s="2">
        <v>0.75</v>
      </c>
      <c r="N155">
        <v>10</v>
      </c>
      <c r="O155">
        <v>2</v>
      </c>
      <c r="P155" t="s">
        <v>32</v>
      </c>
      <c r="R155">
        <v>5</v>
      </c>
      <c r="S155" t="s">
        <v>33</v>
      </c>
      <c r="T155" t="s">
        <v>68</v>
      </c>
      <c r="U155" t="s">
        <v>85</v>
      </c>
      <c r="V155" t="s">
        <v>35</v>
      </c>
    </row>
    <row r="156" spans="1:22" x14ac:dyDescent="0.3">
      <c r="A156" t="s">
        <v>338</v>
      </c>
      <c r="B156" s="1">
        <v>45828</v>
      </c>
      <c r="C156" t="s">
        <v>23</v>
      </c>
      <c r="D156" t="s">
        <v>24</v>
      </c>
      <c r="E156" t="s">
        <v>119</v>
      </c>
      <c r="F156" t="s">
        <v>266</v>
      </c>
      <c r="G156" t="s">
        <v>267</v>
      </c>
      <c r="H156" t="s">
        <v>98</v>
      </c>
      <c r="I156" t="s">
        <v>99</v>
      </c>
      <c r="J156" t="s">
        <v>66</v>
      </c>
      <c r="K156" t="s">
        <v>44</v>
      </c>
      <c r="L156" s="2">
        <v>0.375</v>
      </c>
      <c r="M156" s="2">
        <v>0.75</v>
      </c>
      <c r="N156">
        <v>8</v>
      </c>
      <c r="O156">
        <v>0</v>
      </c>
      <c r="P156" t="s">
        <v>32</v>
      </c>
      <c r="R156">
        <v>4</v>
      </c>
      <c r="S156" t="s">
        <v>45</v>
      </c>
      <c r="T156" t="s">
        <v>101</v>
      </c>
      <c r="U156" t="s">
        <v>55</v>
      </c>
      <c r="V156" t="s">
        <v>69</v>
      </c>
    </row>
    <row r="157" spans="1:22" x14ac:dyDescent="0.3">
      <c r="A157" t="s">
        <v>339</v>
      </c>
      <c r="B157" s="1">
        <v>45708</v>
      </c>
      <c r="C157" t="s">
        <v>95</v>
      </c>
      <c r="D157" t="s">
        <v>50</v>
      </c>
      <c r="E157" t="s">
        <v>25</v>
      </c>
      <c r="F157" t="s">
        <v>266</v>
      </c>
      <c r="G157" t="s">
        <v>267</v>
      </c>
      <c r="H157" t="s">
        <v>98</v>
      </c>
      <c r="I157" t="s">
        <v>99</v>
      </c>
      <c r="J157" t="s">
        <v>66</v>
      </c>
      <c r="K157" t="s">
        <v>81</v>
      </c>
      <c r="P157" t="s">
        <v>135</v>
      </c>
      <c r="S157" t="s">
        <v>45</v>
      </c>
      <c r="T157" t="s">
        <v>101</v>
      </c>
      <c r="V157" t="s">
        <v>60</v>
      </c>
    </row>
    <row r="158" spans="1:22" x14ac:dyDescent="0.3">
      <c r="A158" t="s">
        <v>340</v>
      </c>
      <c r="B158" s="3">
        <v>45814</v>
      </c>
      <c r="C158" t="s">
        <v>23</v>
      </c>
      <c r="D158" t="s">
        <v>24</v>
      </c>
      <c r="E158" t="s">
        <v>119</v>
      </c>
      <c r="F158" t="s">
        <v>258</v>
      </c>
      <c r="G158" t="s">
        <v>259</v>
      </c>
      <c r="H158" t="s">
        <v>112</v>
      </c>
      <c r="I158" t="s">
        <v>113</v>
      </c>
      <c r="J158" t="s">
        <v>74</v>
      </c>
      <c r="K158" t="s">
        <v>75</v>
      </c>
      <c r="L158" s="2">
        <v>0.3888888888888889</v>
      </c>
      <c r="M158" s="2">
        <v>0.75</v>
      </c>
      <c r="N158">
        <v>8</v>
      </c>
      <c r="O158">
        <v>0</v>
      </c>
      <c r="P158" t="s">
        <v>32</v>
      </c>
      <c r="R158">
        <v>3</v>
      </c>
      <c r="S158" t="s">
        <v>67</v>
      </c>
      <c r="T158" t="s">
        <v>114</v>
      </c>
      <c r="V158" t="s">
        <v>35</v>
      </c>
    </row>
    <row r="159" spans="1:22" x14ac:dyDescent="0.3">
      <c r="A159" t="s">
        <v>341</v>
      </c>
      <c r="B159" s="1">
        <v>45834</v>
      </c>
      <c r="C159" t="s">
        <v>23</v>
      </c>
      <c r="D159" t="s">
        <v>24</v>
      </c>
      <c r="E159" t="s">
        <v>25</v>
      </c>
      <c r="F159" t="s">
        <v>104</v>
      </c>
      <c r="G159" t="s">
        <v>105</v>
      </c>
      <c r="H159" t="s">
        <v>28</v>
      </c>
      <c r="I159" t="s">
        <v>29</v>
      </c>
      <c r="J159" t="s">
        <v>30</v>
      </c>
      <c r="K159" t="s">
        <v>81</v>
      </c>
      <c r="L159" s="2">
        <v>0.91666666666666663</v>
      </c>
      <c r="M159" s="2">
        <v>0.29166666666666669</v>
      </c>
      <c r="N159">
        <v>9.5</v>
      </c>
      <c r="O159">
        <v>1.5</v>
      </c>
      <c r="P159" t="s">
        <v>32</v>
      </c>
      <c r="R159">
        <v>4</v>
      </c>
      <c r="S159" t="s">
        <v>45</v>
      </c>
      <c r="T159" t="s">
        <v>34</v>
      </c>
      <c r="U159" t="s">
        <v>85</v>
      </c>
      <c r="V159" t="s">
        <v>69</v>
      </c>
    </row>
    <row r="160" spans="1:22" x14ac:dyDescent="0.3">
      <c r="A160" t="s">
        <v>342</v>
      </c>
      <c r="B160" s="1">
        <v>45774</v>
      </c>
      <c r="C160" t="s">
        <v>37</v>
      </c>
      <c r="D160" t="s">
        <v>24</v>
      </c>
      <c r="E160" t="s">
        <v>103</v>
      </c>
      <c r="F160" t="s">
        <v>201</v>
      </c>
      <c r="G160" t="s">
        <v>202</v>
      </c>
      <c r="H160" t="s">
        <v>112</v>
      </c>
      <c r="I160" t="s">
        <v>113</v>
      </c>
      <c r="J160" t="s">
        <v>66</v>
      </c>
      <c r="K160" t="s">
        <v>81</v>
      </c>
      <c r="L160" s="2">
        <v>0.39930555555555558</v>
      </c>
      <c r="M160" s="2">
        <v>0.29166666666666669</v>
      </c>
      <c r="N160">
        <v>10</v>
      </c>
      <c r="O160">
        <v>2</v>
      </c>
      <c r="P160" t="s">
        <v>32</v>
      </c>
      <c r="R160">
        <v>4</v>
      </c>
      <c r="S160" t="s">
        <v>45</v>
      </c>
      <c r="T160" t="s">
        <v>114</v>
      </c>
      <c r="U160" t="s">
        <v>55</v>
      </c>
      <c r="V160" t="s">
        <v>69</v>
      </c>
    </row>
    <row r="161" spans="1:22" x14ac:dyDescent="0.3">
      <c r="A161" t="s">
        <v>343</v>
      </c>
      <c r="B161" s="3">
        <v>45778</v>
      </c>
      <c r="C161" t="s">
        <v>57</v>
      </c>
      <c r="D161" t="s">
        <v>24</v>
      </c>
      <c r="E161" t="s">
        <v>25</v>
      </c>
      <c r="F161" t="s">
        <v>182</v>
      </c>
      <c r="G161" t="s">
        <v>183</v>
      </c>
      <c r="H161" t="s">
        <v>112</v>
      </c>
      <c r="I161" t="s">
        <v>113</v>
      </c>
      <c r="J161" t="s">
        <v>30</v>
      </c>
      <c r="K161" t="s">
        <v>44</v>
      </c>
      <c r="L161" s="2">
        <v>0.375</v>
      </c>
      <c r="N161">
        <v>8</v>
      </c>
      <c r="O161">
        <v>0</v>
      </c>
      <c r="P161" t="s">
        <v>32</v>
      </c>
      <c r="R161">
        <v>3</v>
      </c>
      <c r="S161" t="s">
        <v>45</v>
      </c>
      <c r="T161" t="s">
        <v>114</v>
      </c>
      <c r="U161" t="s">
        <v>47</v>
      </c>
      <c r="V161" t="s">
        <v>35</v>
      </c>
    </row>
    <row r="162" spans="1:22" x14ac:dyDescent="0.3">
      <c r="A162" t="s">
        <v>344</v>
      </c>
      <c r="B162" s="3">
        <v>45820</v>
      </c>
      <c r="C162" t="s">
        <v>23</v>
      </c>
      <c r="D162" t="s">
        <v>24</v>
      </c>
      <c r="E162" t="s">
        <v>25</v>
      </c>
      <c r="F162" t="s">
        <v>72</v>
      </c>
      <c r="G162" t="s">
        <v>73</v>
      </c>
      <c r="H162" t="s">
        <v>28</v>
      </c>
      <c r="I162" t="s">
        <v>29</v>
      </c>
      <c r="J162" t="s">
        <v>74</v>
      </c>
      <c r="K162" t="s">
        <v>81</v>
      </c>
      <c r="L162" s="2">
        <v>0.91666666666666663</v>
      </c>
      <c r="N162">
        <v>9</v>
      </c>
      <c r="O162">
        <v>1</v>
      </c>
      <c r="P162" t="s">
        <v>32</v>
      </c>
      <c r="R162">
        <v>5</v>
      </c>
      <c r="S162" t="s">
        <v>92</v>
      </c>
      <c r="T162" t="s">
        <v>34</v>
      </c>
      <c r="U162" t="s">
        <v>85</v>
      </c>
      <c r="V162" t="s">
        <v>60</v>
      </c>
    </row>
    <row r="163" spans="1:22" x14ac:dyDescent="0.3">
      <c r="A163" t="s">
        <v>345</v>
      </c>
      <c r="B163" s="3">
        <v>45677</v>
      </c>
      <c r="C163" t="s">
        <v>49</v>
      </c>
      <c r="D163" t="s">
        <v>50</v>
      </c>
      <c r="E163" t="s">
        <v>109</v>
      </c>
      <c r="F163" t="s">
        <v>151</v>
      </c>
      <c r="G163" t="s">
        <v>152</v>
      </c>
      <c r="H163" t="s">
        <v>98</v>
      </c>
      <c r="I163" t="s">
        <v>99</v>
      </c>
      <c r="J163" t="s">
        <v>30</v>
      </c>
      <c r="K163" t="s">
        <v>54</v>
      </c>
      <c r="L163" s="2">
        <v>0.375</v>
      </c>
      <c r="M163" s="2">
        <v>0.75</v>
      </c>
      <c r="N163">
        <v>8</v>
      </c>
      <c r="O163">
        <v>0</v>
      </c>
      <c r="P163" t="s">
        <v>32</v>
      </c>
      <c r="R163">
        <v>4</v>
      </c>
      <c r="S163" t="s">
        <v>33</v>
      </c>
      <c r="T163" t="s">
        <v>101</v>
      </c>
      <c r="V163" t="s">
        <v>35</v>
      </c>
    </row>
    <row r="164" spans="1:22" x14ac:dyDescent="0.3">
      <c r="A164" t="s">
        <v>346</v>
      </c>
      <c r="B164" s="3">
        <v>45838</v>
      </c>
      <c r="C164" t="s">
        <v>23</v>
      </c>
      <c r="D164" t="s">
        <v>24</v>
      </c>
      <c r="E164" t="s">
        <v>109</v>
      </c>
      <c r="F164" t="s">
        <v>243</v>
      </c>
      <c r="G164" t="s">
        <v>244</v>
      </c>
      <c r="H164" t="s">
        <v>90</v>
      </c>
      <c r="I164" t="s">
        <v>91</v>
      </c>
      <c r="J164" t="s">
        <v>30</v>
      </c>
      <c r="K164" t="s">
        <v>31</v>
      </c>
      <c r="P164" t="s">
        <v>135</v>
      </c>
      <c r="S164" t="s">
        <v>45</v>
      </c>
      <c r="T164" t="s">
        <v>93</v>
      </c>
      <c r="U164" t="s">
        <v>55</v>
      </c>
    </row>
    <row r="165" spans="1:22" x14ac:dyDescent="0.3">
      <c r="A165" t="s">
        <v>347</v>
      </c>
      <c r="B165" s="3">
        <v>45747</v>
      </c>
      <c r="C165" t="s">
        <v>71</v>
      </c>
      <c r="D165" t="s">
        <v>50</v>
      </c>
      <c r="E165" t="s">
        <v>109</v>
      </c>
      <c r="F165" t="s">
        <v>88</v>
      </c>
      <c r="G165" t="s">
        <v>89</v>
      </c>
      <c r="H165" t="s">
        <v>90</v>
      </c>
      <c r="I165" t="s">
        <v>91</v>
      </c>
      <c r="J165" t="s">
        <v>43</v>
      </c>
      <c r="K165" t="s">
        <v>81</v>
      </c>
      <c r="L165" s="2">
        <v>0.91666666666666663</v>
      </c>
      <c r="M165" s="2">
        <v>0.29166666666666669</v>
      </c>
      <c r="N165">
        <v>9</v>
      </c>
      <c r="O165">
        <v>1</v>
      </c>
      <c r="P165" t="s">
        <v>32</v>
      </c>
      <c r="R165">
        <v>4</v>
      </c>
      <c r="S165" t="s">
        <v>45</v>
      </c>
      <c r="T165" t="s">
        <v>93</v>
      </c>
      <c r="V165" t="s">
        <v>60</v>
      </c>
    </row>
    <row r="166" spans="1:22" x14ac:dyDescent="0.3">
      <c r="A166" t="s">
        <v>348</v>
      </c>
      <c r="B166" s="3">
        <v>45660</v>
      </c>
      <c r="C166" t="s">
        <v>49</v>
      </c>
      <c r="D166" t="s">
        <v>50</v>
      </c>
      <c r="E166" t="s">
        <v>119</v>
      </c>
      <c r="F166" t="s">
        <v>154</v>
      </c>
      <c r="G166" t="s">
        <v>155</v>
      </c>
      <c r="H166" t="s">
        <v>41</v>
      </c>
      <c r="I166" t="s">
        <v>42</v>
      </c>
      <c r="J166" t="s">
        <v>74</v>
      </c>
      <c r="K166" t="s">
        <v>75</v>
      </c>
      <c r="L166" s="2">
        <v>0.375</v>
      </c>
      <c r="M166" s="2">
        <v>0.75</v>
      </c>
      <c r="N166">
        <v>8</v>
      </c>
      <c r="O166">
        <v>0</v>
      </c>
      <c r="P166" t="s">
        <v>32</v>
      </c>
      <c r="R166">
        <v>4</v>
      </c>
      <c r="S166" t="s">
        <v>67</v>
      </c>
      <c r="T166" t="s">
        <v>46</v>
      </c>
      <c r="V166" t="s">
        <v>69</v>
      </c>
    </row>
    <row r="167" spans="1:22" x14ac:dyDescent="0.3">
      <c r="A167" t="s">
        <v>349</v>
      </c>
      <c r="B167" s="3">
        <v>45820</v>
      </c>
      <c r="C167" t="s">
        <v>23</v>
      </c>
      <c r="D167" t="s">
        <v>24</v>
      </c>
      <c r="E167" t="s">
        <v>25</v>
      </c>
      <c r="F167" t="s">
        <v>127</v>
      </c>
      <c r="G167" t="s">
        <v>128</v>
      </c>
      <c r="H167" t="s">
        <v>90</v>
      </c>
      <c r="I167" t="s">
        <v>91</v>
      </c>
      <c r="J167" t="s">
        <v>66</v>
      </c>
      <c r="K167" t="s">
        <v>54</v>
      </c>
      <c r="L167" s="2">
        <v>0.375</v>
      </c>
      <c r="M167" s="2">
        <v>0.75</v>
      </c>
      <c r="N167">
        <v>8</v>
      </c>
      <c r="O167">
        <v>0</v>
      </c>
      <c r="P167" t="s">
        <v>32</v>
      </c>
      <c r="R167">
        <v>4</v>
      </c>
      <c r="S167" t="s">
        <v>92</v>
      </c>
      <c r="T167" t="s">
        <v>93</v>
      </c>
    </row>
    <row r="168" spans="1:22" x14ac:dyDescent="0.3">
      <c r="A168" t="s">
        <v>350</v>
      </c>
      <c r="B168" s="3">
        <v>45817</v>
      </c>
      <c r="C168" t="s">
        <v>23</v>
      </c>
      <c r="D168" t="s">
        <v>24</v>
      </c>
      <c r="E168" t="s">
        <v>109</v>
      </c>
      <c r="F168" t="s">
        <v>154</v>
      </c>
      <c r="G168" t="s">
        <v>155</v>
      </c>
      <c r="H168" t="s">
        <v>41</v>
      </c>
      <c r="I168" t="s">
        <v>42</v>
      </c>
      <c r="J168" t="s">
        <v>74</v>
      </c>
      <c r="K168" t="s">
        <v>31</v>
      </c>
      <c r="L168" s="2">
        <v>0.375</v>
      </c>
      <c r="M168" s="2">
        <v>0.75</v>
      </c>
      <c r="N168">
        <v>8</v>
      </c>
      <c r="O168">
        <v>0</v>
      </c>
      <c r="P168" t="s">
        <v>32</v>
      </c>
      <c r="R168">
        <v>4</v>
      </c>
      <c r="S168" t="s">
        <v>92</v>
      </c>
      <c r="T168" t="s">
        <v>46</v>
      </c>
      <c r="V168" t="s">
        <v>60</v>
      </c>
    </row>
    <row r="169" spans="1:22" x14ac:dyDescent="0.3">
      <c r="A169" t="s">
        <v>351</v>
      </c>
      <c r="B169" s="1">
        <v>45746</v>
      </c>
      <c r="C169" t="s">
        <v>71</v>
      </c>
      <c r="D169" t="s">
        <v>50</v>
      </c>
      <c r="E169" t="s">
        <v>103</v>
      </c>
      <c r="F169" t="s">
        <v>309</v>
      </c>
      <c r="G169" t="s">
        <v>310</v>
      </c>
      <c r="H169" t="s">
        <v>28</v>
      </c>
      <c r="I169" t="s">
        <v>29</v>
      </c>
      <c r="J169" t="s">
        <v>43</v>
      </c>
      <c r="K169" t="s">
        <v>54</v>
      </c>
      <c r="P169" t="s">
        <v>135</v>
      </c>
      <c r="S169" t="s">
        <v>33</v>
      </c>
      <c r="T169" t="s">
        <v>34</v>
      </c>
      <c r="U169" t="s">
        <v>55</v>
      </c>
      <c r="V169" t="s">
        <v>69</v>
      </c>
    </row>
    <row r="170" spans="1:22" x14ac:dyDescent="0.3">
      <c r="A170" t="s">
        <v>352</v>
      </c>
      <c r="B170" s="3">
        <v>45780</v>
      </c>
      <c r="C170" t="s">
        <v>57</v>
      </c>
      <c r="D170" t="s">
        <v>24</v>
      </c>
      <c r="E170" t="s">
        <v>38</v>
      </c>
      <c r="F170" t="s">
        <v>182</v>
      </c>
      <c r="G170" t="s">
        <v>183</v>
      </c>
      <c r="H170" t="s">
        <v>112</v>
      </c>
      <c r="I170" t="s">
        <v>113</v>
      </c>
      <c r="J170" t="s">
        <v>30</v>
      </c>
      <c r="K170" t="s">
        <v>75</v>
      </c>
      <c r="L170" s="2">
        <v>0.3888888888888889</v>
      </c>
      <c r="M170" s="2">
        <v>0.75</v>
      </c>
      <c r="N170">
        <v>8</v>
      </c>
      <c r="O170">
        <v>0</v>
      </c>
      <c r="P170" t="s">
        <v>32</v>
      </c>
      <c r="R170">
        <v>4</v>
      </c>
      <c r="S170" t="s">
        <v>33</v>
      </c>
      <c r="T170" t="s">
        <v>114</v>
      </c>
      <c r="U170" t="s">
        <v>55</v>
      </c>
      <c r="V170" t="s">
        <v>35</v>
      </c>
    </row>
    <row r="171" spans="1:22" x14ac:dyDescent="0.3">
      <c r="A171" t="s">
        <v>353</v>
      </c>
      <c r="B171" s="3">
        <v>45765</v>
      </c>
      <c r="C171" t="s">
        <v>37</v>
      </c>
      <c r="D171" t="s">
        <v>24</v>
      </c>
      <c r="E171" t="s">
        <v>119</v>
      </c>
      <c r="F171" t="s">
        <v>354</v>
      </c>
      <c r="G171" t="s">
        <v>355</v>
      </c>
      <c r="H171" t="s">
        <v>28</v>
      </c>
      <c r="I171" t="s">
        <v>29</v>
      </c>
      <c r="J171" t="s">
        <v>100</v>
      </c>
      <c r="K171" t="s">
        <v>75</v>
      </c>
      <c r="L171" s="2">
        <v>0.375</v>
      </c>
      <c r="M171" s="2">
        <v>0.75</v>
      </c>
      <c r="N171">
        <v>8</v>
      </c>
      <c r="O171">
        <v>0</v>
      </c>
      <c r="P171" t="s">
        <v>32</v>
      </c>
      <c r="S171" t="s">
        <v>67</v>
      </c>
      <c r="T171" t="s">
        <v>34</v>
      </c>
      <c r="V171" t="s">
        <v>69</v>
      </c>
    </row>
    <row r="172" spans="1:22" x14ac:dyDescent="0.3">
      <c r="A172" t="s">
        <v>356</v>
      </c>
      <c r="B172" s="3">
        <v>45789</v>
      </c>
      <c r="C172" t="s">
        <v>57</v>
      </c>
      <c r="D172" t="s">
        <v>24</v>
      </c>
      <c r="E172" t="s">
        <v>109</v>
      </c>
      <c r="F172" t="s">
        <v>211</v>
      </c>
      <c r="G172" t="s">
        <v>212</v>
      </c>
      <c r="H172" t="s">
        <v>64</v>
      </c>
      <c r="I172" t="s">
        <v>65</v>
      </c>
      <c r="J172" t="s">
        <v>74</v>
      </c>
      <c r="K172" t="s">
        <v>54</v>
      </c>
      <c r="L172" s="2">
        <v>0.375</v>
      </c>
      <c r="M172" s="2">
        <v>0.75</v>
      </c>
      <c r="N172">
        <v>8</v>
      </c>
      <c r="O172">
        <v>0</v>
      </c>
      <c r="P172" t="s">
        <v>32</v>
      </c>
      <c r="R172">
        <v>3</v>
      </c>
      <c r="S172" t="s">
        <v>45</v>
      </c>
      <c r="T172" t="s">
        <v>68</v>
      </c>
      <c r="U172" t="s">
        <v>55</v>
      </c>
    </row>
    <row r="173" spans="1:22" x14ac:dyDescent="0.3">
      <c r="A173" t="s">
        <v>357</v>
      </c>
      <c r="B173" s="3">
        <v>45728</v>
      </c>
      <c r="C173" t="s">
        <v>71</v>
      </c>
      <c r="D173" t="s">
        <v>50</v>
      </c>
      <c r="E173" t="s">
        <v>51</v>
      </c>
      <c r="F173" t="s">
        <v>207</v>
      </c>
      <c r="G173" t="s">
        <v>208</v>
      </c>
      <c r="H173" t="s">
        <v>64</v>
      </c>
      <c r="I173" t="s">
        <v>65</v>
      </c>
      <c r="J173" t="s">
        <v>30</v>
      </c>
      <c r="K173" t="s">
        <v>75</v>
      </c>
      <c r="P173" t="s">
        <v>82</v>
      </c>
      <c r="S173" t="s">
        <v>92</v>
      </c>
      <c r="T173" t="s">
        <v>68</v>
      </c>
      <c r="U173" t="s">
        <v>55</v>
      </c>
    </row>
    <row r="174" spans="1:22" x14ac:dyDescent="0.3">
      <c r="A174" t="s">
        <v>358</v>
      </c>
      <c r="B174" s="1">
        <v>45766</v>
      </c>
      <c r="C174" t="s">
        <v>37</v>
      </c>
      <c r="D174" t="s">
        <v>24</v>
      </c>
      <c r="E174" t="s">
        <v>38</v>
      </c>
      <c r="F174" t="s">
        <v>305</v>
      </c>
      <c r="G174" t="s">
        <v>306</v>
      </c>
      <c r="H174" t="s">
        <v>79</v>
      </c>
      <c r="I174" t="s">
        <v>80</v>
      </c>
      <c r="J174" t="s">
        <v>74</v>
      </c>
      <c r="K174" t="s">
        <v>54</v>
      </c>
      <c r="L174" s="2">
        <v>0.375</v>
      </c>
      <c r="M174" s="2">
        <v>0.75</v>
      </c>
      <c r="N174">
        <v>8</v>
      </c>
      <c r="O174">
        <v>0</v>
      </c>
      <c r="P174" t="s">
        <v>32</v>
      </c>
      <c r="R174">
        <v>4</v>
      </c>
      <c r="S174" t="s">
        <v>67</v>
      </c>
      <c r="T174" t="s">
        <v>84</v>
      </c>
      <c r="U174" t="s">
        <v>85</v>
      </c>
    </row>
    <row r="175" spans="1:22" x14ac:dyDescent="0.3">
      <c r="A175" t="s">
        <v>359</v>
      </c>
      <c r="B175" s="3">
        <v>45833</v>
      </c>
      <c r="C175" t="s">
        <v>23</v>
      </c>
      <c r="D175" t="s">
        <v>24</v>
      </c>
      <c r="E175" t="s">
        <v>51</v>
      </c>
      <c r="F175" t="s">
        <v>182</v>
      </c>
      <c r="G175" t="s">
        <v>183</v>
      </c>
      <c r="H175" t="s">
        <v>112</v>
      </c>
      <c r="I175" t="s">
        <v>113</v>
      </c>
      <c r="J175" t="s">
        <v>30</v>
      </c>
      <c r="K175" t="s">
        <v>44</v>
      </c>
      <c r="L175" s="2">
        <v>0.375</v>
      </c>
      <c r="M175" s="2">
        <v>0.75</v>
      </c>
      <c r="N175">
        <v>8</v>
      </c>
      <c r="O175">
        <v>0</v>
      </c>
      <c r="P175" t="s">
        <v>32</v>
      </c>
      <c r="S175" t="s">
        <v>33</v>
      </c>
      <c r="T175" t="s">
        <v>114</v>
      </c>
      <c r="U175" t="s">
        <v>47</v>
      </c>
      <c r="V175" t="s">
        <v>60</v>
      </c>
    </row>
    <row r="176" spans="1:22" x14ac:dyDescent="0.3">
      <c r="A176" t="s">
        <v>360</v>
      </c>
      <c r="B176" s="3">
        <v>45779</v>
      </c>
      <c r="C176" t="s">
        <v>57</v>
      </c>
      <c r="D176" t="s">
        <v>24</v>
      </c>
      <c r="E176" t="s">
        <v>119</v>
      </c>
      <c r="F176" t="s">
        <v>88</v>
      </c>
      <c r="G176" t="s">
        <v>89</v>
      </c>
      <c r="H176" t="s">
        <v>90</v>
      </c>
      <c r="I176" t="s">
        <v>91</v>
      </c>
      <c r="J176" t="s">
        <v>43</v>
      </c>
      <c r="K176" t="s">
        <v>31</v>
      </c>
      <c r="L176" s="2">
        <v>0.375</v>
      </c>
      <c r="M176" s="2">
        <v>0.75</v>
      </c>
      <c r="N176">
        <v>8</v>
      </c>
      <c r="O176">
        <v>0</v>
      </c>
      <c r="P176" t="s">
        <v>32</v>
      </c>
      <c r="R176">
        <v>4</v>
      </c>
      <c r="S176" t="s">
        <v>67</v>
      </c>
      <c r="T176" t="s">
        <v>93</v>
      </c>
      <c r="U176" t="s">
        <v>47</v>
      </c>
      <c r="V176" t="s">
        <v>60</v>
      </c>
    </row>
    <row r="177" spans="1:22" x14ac:dyDescent="0.3">
      <c r="A177" t="s">
        <v>361</v>
      </c>
      <c r="B177" s="3">
        <v>45719</v>
      </c>
      <c r="C177" t="s">
        <v>71</v>
      </c>
      <c r="D177" t="s">
        <v>50</v>
      </c>
      <c r="E177" t="s">
        <v>109</v>
      </c>
      <c r="F177" t="s">
        <v>72</v>
      </c>
      <c r="G177" t="s">
        <v>73</v>
      </c>
      <c r="H177" t="s">
        <v>28</v>
      </c>
      <c r="I177" t="s">
        <v>29</v>
      </c>
      <c r="J177" t="s">
        <v>74</v>
      </c>
      <c r="K177" t="s">
        <v>75</v>
      </c>
      <c r="L177" s="2">
        <v>0.375</v>
      </c>
      <c r="M177" s="2">
        <v>0.75</v>
      </c>
      <c r="N177">
        <v>8</v>
      </c>
      <c r="O177">
        <v>0</v>
      </c>
      <c r="P177" t="s">
        <v>32</v>
      </c>
      <c r="S177" t="s">
        <v>92</v>
      </c>
      <c r="T177" t="s">
        <v>34</v>
      </c>
      <c r="U177" t="s">
        <v>85</v>
      </c>
    </row>
    <row r="178" spans="1:22" x14ac:dyDescent="0.3">
      <c r="A178" t="s">
        <v>362</v>
      </c>
      <c r="B178" s="1">
        <v>45812</v>
      </c>
      <c r="C178" t="s">
        <v>23</v>
      </c>
      <c r="D178" t="s">
        <v>24</v>
      </c>
      <c r="E178" t="s">
        <v>51</v>
      </c>
      <c r="F178" t="s">
        <v>166</v>
      </c>
      <c r="G178" t="s">
        <v>167</v>
      </c>
      <c r="H178" t="s">
        <v>41</v>
      </c>
      <c r="I178" t="s">
        <v>42</v>
      </c>
      <c r="J178" t="s">
        <v>100</v>
      </c>
      <c r="K178" t="s">
        <v>44</v>
      </c>
      <c r="L178" s="2">
        <v>0.375</v>
      </c>
      <c r="M178" s="2">
        <v>0.75</v>
      </c>
      <c r="N178">
        <v>8</v>
      </c>
      <c r="O178">
        <v>0</v>
      </c>
      <c r="P178" t="s">
        <v>32</v>
      </c>
      <c r="R178">
        <v>3</v>
      </c>
      <c r="S178" t="s">
        <v>92</v>
      </c>
      <c r="T178" t="s">
        <v>46</v>
      </c>
      <c r="U178" t="s">
        <v>85</v>
      </c>
      <c r="V178" t="s">
        <v>69</v>
      </c>
    </row>
    <row r="179" spans="1:22" x14ac:dyDescent="0.3">
      <c r="A179" t="s">
        <v>363</v>
      </c>
      <c r="B179" s="3">
        <v>45747</v>
      </c>
      <c r="C179" t="s">
        <v>71</v>
      </c>
      <c r="D179" t="s">
        <v>50</v>
      </c>
      <c r="E179" t="s">
        <v>109</v>
      </c>
      <c r="F179" t="s">
        <v>220</v>
      </c>
      <c r="G179" t="s">
        <v>221</v>
      </c>
      <c r="H179" t="s">
        <v>79</v>
      </c>
      <c r="I179" t="s">
        <v>80</v>
      </c>
      <c r="J179" t="s">
        <v>100</v>
      </c>
      <c r="K179" t="s">
        <v>81</v>
      </c>
      <c r="L179" s="2">
        <v>0.91666666666666663</v>
      </c>
      <c r="M179" s="2">
        <v>0.29166666666666669</v>
      </c>
      <c r="N179">
        <v>9</v>
      </c>
      <c r="O179">
        <v>1</v>
      </c>
      <c r="P179" t="s">
        <v>32</v>
      </c>
      <c r="R179">
        <v>5</v>
      </c>
      <c r="S179" t="s">
        <v>45</v>
      </c>
      <c r="T179" t="s">
        <v>84</v>
      </c>
      <c r="U179" t="s">
        <v>85</v>
      </c>
      <c r="V179" t="s">
        <v>35</v>
      </c>
    </row>
    <row r="180" spans="1:22" x14ac:dyDescent="0.3">
      <c r="A180" t="s">
        <v>364</v>
      </c>
      <c r="B180" s="1">
        <v>45767</v>
      </c>
      <c r="C180" t="s">
        <v>37</v>
      </c>
      <c r="D180" t="s">
        <v>24</v>
      </c>
      <c r="E180" t="s">
        <v>103</v>
      </c>
      <c r="F180" t="s">
        <v>281</v>
      </c>
      <c r="G180" t="s">
        <v>282</v>
      </c>
      <c r="H180" t="s">
        <v>90</v>
      </c>
      <c r="I180" t="s">
        <v>91</v>
      </c>
      <c r="J180" t="s">
        <v>30</v>
      </c>
      <c r="K180" t="s">
        <v>75</v>
      </c>
      <c r="L180" s="2">
        <v>0.375</v>
      </c>
      <c r="M180" s="2">
        <v>0.75</v>
      </c>
      <c r="N180">
        <v>8</v>
      </c>
      <c r="O180">
        <v>0</v>
      </c>
      <c r="P180" t="s">
        <v>32</v>
      </c>
      <c r="R180">
        <v>3</v>
      </c>
      <c r="S180" t="s">
        <v>45</v>
      </c>
      <c r="T180" t="s">
        <v>93</v>
      </c>
      <c r="U180" t="s">
        <v>55</v>
      </c>
      <c r="V180" t="s">
        <v>69</v>
      </c>
    </row>
    <row r="181" spans="1:22" x14ac:dyDescent="0.3">
      <c r="A181" t="s">
        <v>365</v>
      </c>
      <c r="B181" s="3">
        <v>45678</v>
      </c>
      <c r="C181" t="s">
        <v>49</v>
      </c>
      <c r="D181" t="s">
        <v>50</v>
      </c>
      <c r="E181" t="s">
        <v>87</v>
      </c>
      <c r="F181" t="s">
        <v>62</v>
      </c>
      <c r="G181" t="s">
        <v>63</v>
      </c>
      <c r="H181" t="s">
        <v>64</v>
      </c>
      <c r="I181" t="s">
        <v>65</v>
      </c>
      <c r="J181" t="s">
        <v>66</v>
      </c>
      <c r="K181" t="s">
        <v>31</v>
      </c>
      <c r="L181" s="2">
        <v>0.375</v>
      </c>
      <c r="M181" s="2">
        <v>0.75</v>
      </c>
      <c r="N181">
        <v>10</v>
      </c>
      <c r="O181">
        <v>2</v>
      </c>
      <c r="P181" t="s">
        <v>32</v>
      </c>
      <c r="R181">
        <v>4</v>
      </c>
      <c r="S181" t="s">
        <v>45</v>
      </c>
      <c r="T181" t="s">
        <v>68</v>
      </c>
      <c r="U181" t="s">
        <v>47</v>
      </c>
      <c r="V181" t="s">
        <v>60</v>
      </c>
    </row>
    <row r="182" spans="1:22" x14ac:dyDescent="0.3">
      <c r="A182" t="s">
        <v>366</v>
      </c>
      <c r="B182" s="1">
        <v>45769</v>
      </c>
      <c r="C182" t="s">
        <v>37</v>
      </c>
      <c r="D182" t="s">
        <v>24</v>
      </c>
      <c r="E182" t="s">
        <v>87</v>
      </c>
      <c r="F182" t="s">
        <v>247</v>
      </c>
      <c r="G182" t="s">
        <v>248</v>
      </c>
      <c r="H182" t="s">
        <v>64</v>
      </c>
      <c r="I182" t="s">
        <v>65</v>
      </c>
      <c r="J182" t="s">
        <v>66</v>
      </c>
      <c r="K182" t="s">
        <v>44</v>
      </c>
      <c r="M182" s="2">
        <v>0.75</v>
      </c>
      <c r="N182">
        <v>8.5</v>
      </c>
      <c r="O182">
        <v>0.5</v>
      </c>
      <c r="P182" t="s">
        <v>32</v>
      </c>
      <c r="R182">
        <v>4</v>
      </c>
      <c r="S182" t="s">
        <v>92</v>
      </c>
      <c r="T182" t="s">
        <v>68</v>
      </c>
      <c r="U182" t="s">
        <v>55</v>
      </c>
      <c r="V182" t="s">
        <v>69</v>
      </c>
    </row>
    <row r="183" spans="1:22" x14ac:dyDescent="0.3">
      <c r="A183" t="s">
        <v>367</v>
      </c>
      <c r="B183" s="3">
        <v>45726</v>
      </c>
      <c r="C183" t="s">
        <v>71</v>
      </c>
      <c r="D183" t="s">
        <v>50</v>
      </c>
      <c r="E183" t="s">
        <v>109</v>
      </c>
      <c r="F183" t="s">
        <v>231</v>
      </c>
      <c r="G183" t="s">
        <v>232</v>
      </c>
      <c r="H183" t="s">
        <v>98</v>
      </c>
      <c r="I183" t="s">
        <v>99</v>
      </c>
      <c r="J183" t="s">
        <v>74</v>
      </c>
      <c r="K183" t="s">
        <v>75</v>
      </c>
      <c r="L183" s="2">
        <v>0.375</v>
      </c>
      <c r="M183" s="2">
        <v>0.75</v>
      </c>
      <c r="N183">
        <v>8</v>
      </c>
      <c r="O183">
        <v>0</v>
      </c>
      <c r="P183" t="s">
        <v>32</v>
      </c>
      <c r="R183">
        <v>4</v>
      </c>
      <c r="S183" t="s">
        <v>33</v>
      </c>
      <c r="T183" t="s">
        <v>101</v>
      </c>
      <c r="U183" t="s">
        <v>85</v>
      </c>
      <c r="V183" t="s">
        <v>60</v>
      </c>
    </row>
    <row r="184" spans="1:22" x14ac:dyDescent="0.3">
      <c r="A184" t="s">
        <v>368</v>
      </c>
      <c r="B184" s="1">
        <v>45810</v>
      </c>
      <c r="C184" t="s">
        <v>23</v>
      </c>
      <c r="D184" t="s">
        <v>24</v>
      </c>
      <c r="E184" t="s">
        <v>109</v>
      </c>
      <c r="F184" t="s">
        <v>170</v>
      </c>
      <c r="G184" t="s">
        <v>171</v>
      </c>
      <c r="H184" t="s">
        <v>64</v>
      </c>
      <c r="I184" t="s">
        <v>65</v>
      </c>
      <c r="J184" t="s">
        <v>43</v>
      </c>
      <c r="K184" t="s">
        <v>31</v>
      </c>
      <c r="P184" t="s">
        <v>135</v>
      </c>
      <c r="S184" t="s">
        <v>67</v>
      </c>
      <c r="T184" t="s">
        <v>68</v>
      </c>
      <c r="U184" t="s">
        <v>55</v>
      </c>
      <c r="V184" t="s">
        <v>35</v>
      </c>
    </row>
    <row r="185" spans="1:22" x14ac:dyDescent="0.3">
      <c r="A185" t="s">
        <v>369</v>
      </c>
      <c r="B185" s="3">
        <v>45679</v>
      </c>
      <c r="C185" t="s">
        <v>49</v>
      </c>
      <c r="D185" t="s">
        <v>50</v>
      </c>
      <c r="E185" t="s">
        <v>51</v>
      </c>
      <c r="F185" t="s">
        <v>305</v>
      </c>
      <c r="G185" t="s">
        <v>306</v>
      </c>
      <c r="H185" t="s">
        <v>79</v>
      </c>
      <c r="I185" t="s">
        <v>80</v>
      </c>
      <c r="J185" t="s">
        <v>74</v>
      </c>
      <c r="K185" t="s">
        <v>31</v>
      </c>
      <c r="L185" s="2">
        <v>0.375</v>
      </c>
      <c r="M185" s="2">
        <v>0.75</v>
      </c>
      <c r="N185">
        <v>8</v>
      </c>
      <c r="O185">
        <v>0</v>
      </c>
      <c r="P185" t="s">
        <v>32</v>
      </c>
      <c r="R185">
        <v>3</v>
      </c>
      <c r="S185" t="s">
        <v>92</v>
      </c>
      <c r="T185" t="s">
        <v>84</v>
      </c>
      <c r="U185" t="s">
        <v>85</v>
      </c>
      <c r="V185" t="s">
        <v>35</v>
      </c>
    </row>
    <row r="186" spans="1:22" x14ac:dyDescent="0.3">
      <c r="A186" t="s">
        <v>370</v>
      </c>
      <c r="B186" s="3">
        <v>45720</v>
      </c>
      <c r="C186" t="s">
        <v>71</v>
      </c>
      <c r="D186" t="s">
        <v>50</v>
      </c>
      <c r="E186" t="s">
        <v>87</v>
      </c>
      <c r="F186" t="s">
        <v>77</v>
      </c>
      <c r="G186" t="s">
        <v>78</v>
      </c>
      <c r="H186" t="s">
        <v>79</v>
      </c>
      <c r="I186" t="s">
        <v>80</v>
      </c>
      <c r="J186" t="s">
        <v>30</v>
      </c>
      <c r="K186" t="s">
        <v>44</v>
      </c>
      <c r="L186" s="2">
        <v>0.375</v>
      </c>
      <c r="M186" s="2">
        <v>0.75</v>
      </c>
      <c r="N186">
        <v>8</v>
      </c>
      <c r="O186">
        <v>0</v>
      </c>
      <c r="P186" t="s">
        <v>32</v>
      </c>
      <c r="R186">
        <v>4</v>
      </c>
      <c r="S186" t="s">
        <v>45</v>
      </c>
      <c r="T186" t="s">
        <v>84</v>
      </c>
      <c r="U186" t="s">
        <v>85</v>
      </c>
      <c r="V186" t="s">
        <v>69</v>
      </c>
    </row>
    <row r="187" spans="1:22" x14ac:dyDescent="0.3">
      <c r="A187" t="s">
        <v>371</v>
      </c>
      <c r="B187" s="3">
        <v>45784</v>
      </c>
      <c r="C187" t="s">
        <v>57</v>
      </c>
      <c r="D187" t="s">
        <v>24</v>
      </c>
      <c r="E187" t="s">
        <v>51</v>
      </c>
      <c r="F187" t="s">
        <v>148</v>
      </c>
      <c r="G187" t="s">
        <v>149</v>
      </c>
      <c r="H187" t="s">
        <v>112</v>
      </c>
      <c r="I187" t="s">
        <v>113</v>
      </c>
      <c r="J187" t="s">
        <v>43</v>
      </c>
      <c r="K187" t="s">
        <v>54</v>
      </c>
      <c r="P187" t="s">
        <v>82</v>
      </c>
      <c r="Q187" t="s">
        <v>122</v>
      </c>
      <c r="S187" t="s">
        <v>92</v>
      </c>
      <c r="T187" t="s">
        <v>114</v>
      </c>
      <c r="U187" t="s">
        <v>55</v>
      </c>
    </row>
    <row r="188" spans="1:22" x14ac:dyDescent="0.3">
      <c r="A188" t="s">
        <v>372</v>
      </c>
      <c r="B188" s="1">
        <v>45679</v>
      </c>
      <c r="C188" t="s">
        <v>49</v>
      </c>
      <c r="D188" t="s">
        <v>50</v>
      </c>
      <c r="E188" t="s">
        <v>51</v>
      </c>
      <c r="F188" t="s">
        <v>240</v>
      </c>
      <c r="G188" t="s">
        <v>241</v>
      </c>
      <c r="H188" t="s">
        <v>41</v>
      </c>
      <c r="I188" t="s">
        <v>42</v>
      </c>
      <c r="J188" t="s">
        <v>66</v>
      </c>
      <c r="K188" t="s">
        <v>31</v>
      </c>
      <c r="L188" s="2">
        <v>0.375</v>
      </c>
      <c r="M188" s="2">
        <v>0.75</v>
      </c>
      <c r="N188">
        <v>8</v>
      </c>
      <c r="O188">
        <v>0</v>
      </c>
      <c r="P188" t="s">
        <v>32</v>
      </c>
      <c r="R188">
        <v>4</v>
      </c>
      <c r="S188" t="s">
        <v>45</v>
      </c>
      <c r="T188" t="s">
        <v>46</v>
      </c>
      <c r="U188" t="s">
        <v>55</v>
      </c>
      <c r="V188" t="s">
        <v>69</v>
      </c>
    </row>
    <row r="189" spans="1:22" x14ac:dyDescent="0.3">
      <c r="A189" t="s">
        <v>373</v>
      </c>
      <c r="B189" s="3">
        <v>45670</v>
      </c>
      <c r="C189" t="s">
        <v>49</v>
      </c>
      <c r="D189" t="s">
        <v>50</v>
      </c>
      <c r="E189" t="s">
        <v>109</v>
      </c>
      <c r="F189" t="s">
        <v>142</v>
      </c>
      <c r="G189" t="s">
        <v>143</v>
      </c>
      <c r="H189" t="s">
        <v>64</v>
      </c>
      <c r="I189" t="s">
        <v>65</v>
      </c>
      <c r="J189" t="s">
        <v>43</v>
      </c>
      <c r="K189" t="s">
        <v>54</v>
      </c>
      <c r="L189" s="2">
        <v>0.375</v>
      </c>
      <c r="M189" s="2">
        <v>0.75</v>
      </c>
      <c r="N189">
        <v>9</v>
      </c>
      <c r="O189">
        <v>1</v>
      </c>
      <c r="P189" t="s">
        <v>32</v>
      </c>
      <c r="R189">
        <v>5</v>
      </c>
      <c r="S189" t="s">
        <v>67</v>
      </c>
      <c r="T189" t="s">
        <v>68</v>
      </c>
    </row>
    <row r="190" spans="1:22" x14ac:dyDescent="0.3">
      <c r="A190" t="s">
        <v>374</v>
      </c>
      <c r="B190" s="3">
        <v>45814</v>
      </c>
      <c r="C190" t="s">
        <v>23</v>
      </c>
      <c r="D190" t="s">
        <v>24</v>
      </c>
      <c r="E190" t="s">
        <v>119</v>
      </c>
      <c r="F190" t="s">
        <v>192</v>
      </c>
      <c r="G190" t="s">
        <v>193</v>
      </c>
      <c r="H190" t="s">
        <v>79</v>
      </c>
      <c r="I190" t="s">
        <v>80</v>
      </c>
      <c r="J190" t="s">
        <v>66</v>
      </c>
      <c r="K190" t="s">
        <v>81</v>
      </c>
      <c r="L190" s="2">
        <v>0.91666666666666663</v>
      </c>
      <c r="M190" s="2">
        <v>0.29166666666666669</v>
      </c>
      <c r="N190">
        <v>9</v>
      </c>
      <c r="O190">
        <v>1</v>
      </c>
      <c r="P190" t="s">
        <v>32</v>
      </c>
      <c r="R190">
        <v>3</v>
      </c>
      <c r="S190" t="s">
        <v>33</v>
      </c>
      <c r="T190" t="s">
        <v>84</v>
      </c>
      <c r="U190" t="s">
        <v>55</v>
      </c>
      <c r="V190" t="s">
        <v>35</v>
      </c>
    </row>
    <row r="191" spans="1:22" x14ac:dyDescent="0.3">
      <c r="A191" t="s">
        <v>375</v>
      </c>
      <c r="B191" s="1">
        <v>45683</v>
      </c>
      <c r="C191" t="s">
        <v>49</v>
      </c>
      <c r="D191" t="s">
        <v>50</v>
      </c>
      <c r="E191" t="s">
        <v>103</v>
      </c>
      <c r="F191" t="s">
        <v>231</v>
      </c>
      <c r="G191" t="s">
        <v>232</v>
      </c>
      <c r="H191" t="s">
        <v>98</v>
      </c>
      <c r="I191" t="s">
        <v>99</v>
      </c>
      <c r="J191" t="s">
        <v>74</v>
      </c>
      <c r="K191" t="s">
        <v>44</v>
      </c>
      <c r="L191" s="2">
        <v>0.375</v>
      </c>
      <c r="M191" s="2">
        <v>0.75</v>
      </c>
      <c r="N191">
        <v>8</v>
      </c>
      <c r="O191">
        <v>0</v>
      </c>
      <c r="P191" t="s">
        <v>32</v>
      </c>
      <c r="R191">
        <v>3</v>
      </c>
      <c r="S191" t="s">
        <v>67</v>
      </c>
      <c r="T191" t="s">
        <v>101</v>
      </c>
      <c r="U191" t="s">
        <v>85</v>
      </c>
      <c r="V191" t="s">
        <v>69</v>
      </c>
    </row>
    <row r="192" spans="1:22" x14ac:dyDescent="0.3">
      <c r="A192" t="s">
        <v>376</v>
      </c>
      <c r="B192" s="3">
        <v>45716</v>
      </c>
      <c r="C192" t="s">
        <v>95</v>
      </c>
      <c r="D192" t="s">
        <v>50</v>
      </c>
      <c r="E192" t="s">
        <v>119</v>
      </c>
      <c r="F192" t="s">
        <v>354</v>
      </c>
      <c r="G192" t="s">
        <v>355</v>
      </c>
      <c r="H192" t="s">
        <v>28</v>
      </c>
      <c r="I192" t="s">
        <v>29</v>
      </c>
      <c r="J192" t="s">
        <v>100</v>
      </c>
      <c r="K192" t="s">
        <v>54</v>
      </c>
      <c r="L192" s="2">
        <v>0.375</v>
      </c>
      <c r="M192" s="2">
        <v>0.75</v>
      </c>
      <c r="N192">
        <v>8</v>
      </c>
      <c r="O192">
        <v>0</v>
      </c>
      <c r="P192" t="s">
        <v>32</v>
      </c>
      <c r="S192" t="s">
        <v>33</v>
      </c>
      <c r="T192" t="s">
        <v>34</v>
      </c>
      <c r="U192" t="s">
        <v>47</v>
      </c>
    </row>
    <row r="193" spans="1:22" x14ac:dyDescent="0.3">
      <c r="A193" t="s">
        <v>377</v>
      </c>
      <c r="B193" s="3">
        <v>45681</v>
      </c>
      <c r="C193" t="s">
        <v>49</v>
      </c>
      <c r="D193" t="s">
        <v>50</v>
      </c>
      <c r="E193" t="s">
        <v>119</v>
      </c>
      <c r="F193" t="s">
        <v>96</v>
      </c>
      <c r="G193" t="s">
        <v>97</v>
      </c>
      <c r="H193" t="s">
        <v>98</v>
      </c>
      <c r="I193" t="s">
        <v>99</v>
      </c>
      <c r="J193" t="s">
        <v>100</v>
      </c>
      <c r="K193" t="s">
        <v>44</v>
      </c>
      <c r="L193" s="2">
        <v>0.375</v>
      </c>
      <c r="M193" s="2">
        <v>0.75</v>
      </c>
      <c r="N193">
        <v>8</v>
      </c>
      <c r="O193">
        <v>0</v>
      </c>
      <c r="P193" t="s">
        <v>32</v>
      </c>
      <c r="R193">
        <v>4</v>
      </c>
      <c r="S193" t="s">
        <v>67</v>
      </c>
      <c r="T193" t="s">
        <v>101</v>
      </c>
      <c r="U193" t="s">
        <v>55</v>
      </c>
      <c r="V193" t="s">
        <v>69</v>
      </c>
    </row>
    <row r="194" spans="1:22" x14ac:dyDescent="0.3">
      <c r="A194" t="s">
        <v>378</v>
      </c>
      <c r="B194" s="1">
        <v>45765</v>
      </c>
      <c r="C194" t="s">
        <v>37</v>
      </c>
      <c r="D194" t="s">
        <v>24</v>
      </c>
      <c r="E194" t="s">
        <v>119</v>
      </c>
      <c r="F194" t="s">
        <v>211</v>
      </c>
      <c r="G194" t="s">
        <v>212</v>
      </c>
      <c r="H194" t="s">
        <v>64</v>
      </c>
      <c r="I194" t="s">
        <v>65</v>
      </c>
      <c r="J194" t="s">
        <v>74</v>
      </c>
      <c r="K194" t="s">
        <v>75</v>
      </c>
      <c r="L194" s="2">
        <v>0.375</v>
      </c>
      <c r="M194" s="2">
        <v>0.75</v>
      </c>
      <c r="N194">
        <v>10</v>
      </c>
      <c r="O194">
        <v>2</v>
      </c>
      <c r="P194" t="s">
        <v>32</v>
      </c>
      <c r="R194">
        <v>4</v>
      </c>
      <c r="S194" t="s">
        <v>67</v>
      </c>
      <c r="T194" t="s">
        <v>68</v>
      </c>
    </row>
    <row r="195" spans="1:22" x14ac:dyDescent="0.3">
      <c r="A195" t="s">
        <v>379</v>
      </c>
      <c r="B195" s="3">
        <v>45666</v>
      </c>
      <c r="C195" t="s">
        <v>49</v>
      </c>
      <c r="D195" t="s">
        <v>50</v>
      </c>
      <c r="E195" t="s">
        <v>25</v>
      </c>
      <c r="F195" t="s">
        <v>142</v>
      </c>
      <c r="G195" t="s">
        <v>143</v>
      </c>
      <c r="H195" t="s">
        <v>64</v>
      </c>
      <c r="I195" t="s">
        <v>65</v>
      </c>
      <c r="J195" t="s">
        <v>43</v>
      </c>
      <c r="K195" t="s">
        <v>44</v>
      </c>
      <c r="L195" s="2">
        <v>0.375</v>
      </c>
      <c r="M195" s="2">
        <v>0.75</v>
      </c>
      <c r="N195">
        <v>9</v>
      </c>
      <c r="O195">
        <v>1</v>
      </c>
      <c r="P195" t="s">
        <v>32</v>
      </c>
      <c r="R195">
        <v>4</v>
      </c>
      <c r="S195" t="s">
        <v>67</v>
      </c>
      <c r="T195" t="s">
        <v>68</v>
      </c>
      <c r="V195" t="s">
        <v>60</v>
      </c>
    </row>
    <row r="196" spans="1:22" x14ac:dyDescent="0.3">
      <c r="A196" t="s">
        <v>380</v>
      </c>
      <c r="B196" s="3">
        <v>45822</v>
      </c>
      <c r="C196" t="s">
        <v>23</v>
      </c>
      <c r="D196" t="s">
        <v>24</v>
      </c>
      <c r="E196" t="s">
        <v>38</v>
      </c>
      <c r="F196" t="s">
        <v>305</v>
      </c>
      <c r="G196" t="s">
        <v>306</v>
      </c>
      <c r="H196" t="s">
        <v>79</v>
      </c>
      <c r="I196" t="s">
        <v>80</v>
      </c>
      <c r="J196" t="s">
        <v>74</v>
      </c>
      <c r="K196" t="s">
        <v>81</v>
      </c>
      <c r="M196" s="2">
        <v>0.29166666666666669</v>
      </c>
      <c r="N196">
        <v>10</v>
      </c>
      <c r="O196">
        <v>2</v>
      </c>
      <c r="P196" t="s">
        <v>32</v>
      </c>
      <c r="R196">
        <v>4</v>
      </c>
      <c r="S196" t="s">
        <v>67</v>
      </c>
      <c r="T196" t="s">
        <v>84</v>
      </c>
      <c r="U196" t="s">
        <v>85</v>
      </c>
      <c r="V196" t="s">
        <v>60</v>
      </c>
    </row>
    <row r="197" spans="1:22" x14ac:dyDescent="0.3">
      <c r="A197" t="s">
        <v>381</v>
      </c>
      <c r="B197" s="3">
        <v>45788</v>
      </c>
      <c r="C197" t="s">
        <v>57</v>
      </c>
      <c r="D197" t="s">
        <v>24</v>
      </c>
      <c r="E197" t="s">
        <v>103</v>
      </c>
      <c r="F197" t="s">
        <v>133</v>
      </c>
      <c r="G197" t="s">
        <v>134</v>
      </c>
      <c r="H197" t="s">
        <v>98</v>
      </c>
      <c r="I197" t="s">
        <v>99</v>
      </c>
      <c r="J197" t="s">
        <v>66</v>
      </c>
      <c r="K197" t="s">
        <v>54</v>
      </c>
      <c r="L197" s="2">
        <v>0.375</v>
      </c>
      <c r="M197" s="2">
        <v>0.75</v>
      </c>
      <c r="N197">
        <v>8</v>
      </c>
      <c r="O197">
        <v>0</v>
      </c>
      <c r="P197" t="s">
        <v>32</v>
      </c>
      <c r="R197">
        <v>4</v>
      </c>
      <c r="S197" t="s">
        <v>67</v>
      </c>
      <c r="T197" t="s">
        <v>101</v>
      </c>
      <c r="U197" t="s">
        <v>55</v>
      </c>
      <c r="V197" t="s">
        <v>35</v>
      </c>
    </row>
    <row r="198" spans="1:22" x14ac:dyDescent="0.3">
      <c r="A198" t="s">
        <v>382</v>
      </c>
      <c r="B198" s="3">
        <v>45663</v>
      </c>
      <c r="C198" t="s">
        <v>49</v>
      </c>
      <c r="D198" t="s">
        <v>50</v>
      </c>
      <c r="E198" t="s">
        <v>109</v>
      </c>
      <c r="F198" t="s">
        <v>243</v>
      </c>
      <c r="G198" t="s">
        <v>244</v>
      </c>
      <c r="H198" t="s">
        <v>90</v>
      </c>
      <c r="I198" t="s">
        <v>91</v>
      </c>
      <c r="J198" t="s">
        <v>30</v>
      </c>
      <c r="K198" t="s">
        <v>31</v>
      </c>
      <c r="L198" s="2">
        <v>0.375</v>
      </c>
      <c r="M198" s="2">
        <v>0.75</v>
      </c>
      <c r="N198">
        <v>8</v>
      </c>
      <c r="O198">
        <v>0</v>
      </c>
      <c r="P198" t="s">
        <v>32</v>
      </c>
      <c r="R198">
        <v>3</v>
      </c>
      <c r="S198" t="s">
        <v>45</v>
      </c>
      <c r="T198" t="s">
        <v>93</v>
      </c>
      <c r="U198" t="s">
        <v>85</v>
      </c>
      <c r="V198" t="s">
        <v>35</v>
      </c>
    </row>
    <row r="199" spans="1:22" x14ac:dyDescent="0.3">
      <c r="A199" t="s">
        <v>383</v>
      </c>
      <c r="B199" s="1">
        <v>45746</v>
      </c>
      <c r="C199" t="s">
        <v>71</v>
      </c>
      <c r="D199" t="s">
        <v>50</v>
      </c>
      <c r="E199" t="s">
        <v>103</v>
      </c>
      <c r="F199" t="s">
        <v>211</v>
      </c>
      <c r="G199" t="s">
        <v>212</v>
      </c>
      <c r="H199" t="s">
        <v>64</v>
      </c>
      <c r="I199" t="s">
        <v>65</v>
      </c>
      <c r="J199" t="s">
        <v>74</v>
      </c>
      <c r="K199" t="s">
        <v>54</v>
      </c>
      <c r="L199" s="2">
        <v>0.375</v>
      </c>
      <c r="M199" s="2">
        <v>0.75</v>
      </c>
      <c r="N199">
        <v>10</v>
      </c>
      <c r="O199">
        <v>2</v>
      </c>
      <c r="P199" t="s">
        <v>32</v>
      </c>
      <c r="R199">
        <v>5</v>
      </c>
      <c r="S199" t="s">
        <v>67</v>
      </c>
      <c r="T199" t="s">
        <v>68</v>
      </c>
      <c r="V199" t="s">
        <v>69</v>
      </c>
    </row>
    <row r="200" spans="1:22" x14ac:dyDescent="0.3">
      <c r="A200" t="s">
        <v>384</v>
      </c>
      <c r="B200" s="3">
        <v>45683</v>
      </c>
      <c r="C200" t="s">
        <v>49</v>
      </c>
      <c r="D200" t="s">
        <v>50</v>
      </c>
      <c r="E200" t="s">
        <v>103</v>
      </c>
      <c r="F200" t="s">
        <v>228</v>
      </c>
      <c r="G200" t="s">
        <v>229</v>
      </c>
      <c r="H200" t="s">
        <v>79</v>
      </c>
      <c r="I200" t="s">
        <v>80</v>
      </c>
      <c r="J200" t="s">
        <v>43</v>
      </c>
      <c r="K200" t="s">
        <v>81</v>
      </c>
      <c r="P200" t="s">
        <v>135</v>
      </c>
      <c r="S200" t="s">
        <v>67</v>
      </c>
      <c r="T200" t="s">
        <v>84</v>
      </c>
      <c r="V200" t="s">
        <v>60</v>
      </c>
    </row>
    <row r="201" spans="1:22" x14ac:dyDescent="0.3">
      <c r="A201" t="s">
        <v>385</v>
      </c>
      <c r="B201" s="3">
        <v>45737</v>
      </c>
      <c r="C201" t="s">
        <v>71</v>
      </c>
      <c r="D201" t="s">
        <v>50</v>
      </c>
      <c r="E201" t="s">
        <v>119</v>
      </c>
      <c r="F201" t="s">
        <v>204</v>
      </c>
      <c r="G201" t="s">
        <v>205</v>
      </c>
      <c r="H201" t="s">
        <v>90</v>
      </c>
      <c r="I201" t="s">
        <v>91</v>
      </c>
      <c r="J201" t="s">
        <v>74</v>
      </c>
      <c r="K201" t="s">
        <v>54</v>
      </c>
      <c r="L201" s="2">
        <v>0.375</v>
      </c>
      <c r="M201" s="2">
        <v>0.75</v>
      </c>
      <c r="N201">
        <v>8</v>
      </c>
      <c r="O201">
        <v>0</v>
      </c>
      <c r="P201" t="s">
        <v>32</v>
      </c>
      <c r="S201" t="s">
        <v>45</v>
      </c>
      <c r="T201" t="s">
        <v>93</v>
      </c>
      <c r="U201" t="s">
        <v>85</v>
      </c>
    </row>
    <row r="202" spans="1:22" x14ac:dyDescent="0.3">
      <c r="A202" t="s">
        <v>386</v>
      </c>
      <c r="B202" s="1">
        <v>45744</v>
      </c>
      <c r="C202" t="s">
        <v>71</v>
      </c>
      <c r="D202" t="s">
        <v>50</v>
      </c>
      <c r="E202" t="s">
        <v>119</v>
      </c>
      <c r="F202" t="s">
        <v>258</v>
      </c>
      <c r="G202" t="s">
        <v>259</v>
      </c>
      <c r="H202" t="s">
        <v>112</v>
      </c>
      <c r="I202" t="s">
        <v>113</v>
      </c>
      <c r="J202" t="s">
        <v>74</v>
      </c>
      <c r="K202" t="s">
        <v>75</v>
      </c>
      <c r="L202" s="2">
        <v>0.38194444444444442</v>
      </c>
      <c r="M202" s="2">
        <v>0.75</v>
      </c>
      <c r="N202">
        <v>8</v>
      </c>
      <c r="O202">
        <v>0</v>
      </c>
      <c r="P202" t="s">
        <v>32</v>
      </c>
      <c r="S202" t="s">
        <v>45</v>
      </c>
      <c r="T202" t="s">
        <v>114</v>
      </c>
    </row>
    <row r="203" spans="1:22" x14ac:dyDescent="0.3">
      <c r="A203" t="s">
        <v>387</v>
      </c>
      <c r="B203" s="1">
        <v>45790</v>
      </c>
      <c r="C203" t="s">
        <v>57</v>
      </c>
      <c r="D203" t="s">
        <v>24</v>
      </c>
      <c r="E203" t="s">
        <v>87</v>
      </c>
      <c r="F203" t="s">
        <v>52</v>
      </c>
      <c r="G203" t="s">
        <v>53</v>
      </c>
      <c r="H203" t="s">
        <v>41</v>
      </c>
      <c r="I203" t="s">
        <v>42</v>
      </c>
      <c r="J203" t="s">
        <v>43</v>
      </c>
      <c r="K203" t="s">
        <v>54</v>
      </c>
      <c r="L203" s="2">
        <v>0.375</v>
      </c>
      <c r="M203" s="2">
        <v>0.75</v>
      </c>
      <c r="N203">
        <v>8</v>
      </c>
      <c r="O203">
        <v>0</v>
      </c>
      <c r="P203" t="s">
        <v>32</v>
      </c>
      <c r="S203" t="s">
        <v>33</v>
      </c>
      <c r="T203" t="s">
        <v>46</v>
      </c>
      <c r="U203" t="s">
        <v>85</v>
      </c>
    </row>
    <row r="204" spans="1:22" x14ac:dyDescent="0.3">
      <c r="A204" t="s">
        <v>388</v>
      </c>
      <c r="B204" s="1">
        <v>45749</v>
      </c>
      <c r="C204" t="s">
        <v>37</v>
      </c>
      <c r="D204" t="s">
        <v>24</v>
      </c>
      <c r="E204" t="s">
        <v>51</v>
      </c>
      <c r="F204" t="s">
        <v>231</v>
      </c>
      <c r="G204" t="s">
        <v>232</v>
      </c>
      <c r="H204" t="s">
        <v>98</v>
      </c>
      <c r="I204" t="s">
        <v>99</v>
      </c>
      <c r="J204" t="s">
        <v>74</v>
      </c>
      <c r="K204" t="s">
        <v>75</v>
      </c>
      <c r="L204" s="2">
        <v>0.375</v>
      </c>
      <c r="M204" s="2">
        <v>0.75</v>
      </c>
      <c r="N204">
        <v>8</v>
      </c>
      <c r="O204">
        <v>0</v>
      </c>
      <c r="P204" t="s">
        <v>32</v>
      </c>
      <c r="R204">
        <v>3</v>
      </c>
      <c r="S204" t="s">
        <v>92</v>
      </c>
      <c r="T204" t="s">
        <v>101</v>
      </c>
      <c r="U204" t="s">
        <v>55</v>
      </c>
    </row>
    <row r="205" spans="1:22" x14ac:dyDescent="0.3">
      <c r="A205" t="s">
        <v>389</v>
      </c>
      <c r="B205" s="1">
        <v>45799</v>
      </c>
      <c r="C205" t="s">
        <v>57</v>
      </c>
      <c r="D205" t="s">
        <v>24</v>
      </c>
      <c r="E205" t="s">
        <v>25</v>
      </c>
      <c r="F205" t="s">
        <v>116</v>
      </c>
      <c r="G205" t="s">
        <v>117</v>
      </c>
      <c r="H205" t="s">
        <v>112</v>
      </c>
      <c r="I205" t="s">
        <v>113</v>
      </c>
      <c r="J205" t="s">
        <v>100</v>
      </c>
      <c r="K205" t="s">
        <v>31</v>
      </c>
      <c r="L205" s="2">
        <v>0.38194444444444442</v>
      </c>
      <c r="M205" s="2">
        <v>0.75</v>
      </c>
      <c r="N205">
        <v>8</v>
      </c>
      <c r="O205">
        <v>0</v>
      </c>
      <c r="P205" t="s">
        <v>32</v>
      </c>
      <c r="R205">
        <v>4</v>
      </c>
      <c r="S205" t="s">
        <v>92</v>
      </c>
      <c r="T205" t="s">
        <v>114</v>
      </c>
      <c r="U205" t="s">
        <v>55</v>
      </c>
    </row>
    <row r="206" spans="1:22" x14ac:dyDescent="0.3">
      <c r="A206" t="s">
        <v>390</v>
      </c>
      <c r="B206" s="3">
        <v>45796</v>
      </c>
      <c r="C206" t="s">
        <v>57</v>
      </c>
      <c r="D206" t="s">
        <v>24</v>
      </c>
      <c r="E206" t="s">
        <v>109</v>
      </c>
      <c r="F206" t="s">
        <v>195</v>
      </c>
      <c r="G206" t="s">
        <v>196</v>
      </c>
      <c r="H206" t="s">
        <v>98</v>
      </c>
      <c r="I206" t="s">
        <v>99</v>
      </c>
      <c r="J206" t="s">
        <v>43</v>
      </c>
      <c r="K206" t="s">
        <v>54</v>
      </c>
      <c r="L206" s="2">
        <v>0.375</v>
      </c>
      <c r="M206" s="2">
        <v>0.75</v>
      </c>
      <c r="N206">
        <v>8</v>
      </c>
      <c r="O206">
        <v>0</v>
      </c>
      <c r="P206" t="s">
        <v>32</v>
      </c>
      <c r="R206">
        <v>4</v>
      </c>
      <c r="S206" t="s">
        <v>92</v>
      </c>
      <c r="T206" t="s">
        <v>101</v>
      </c>
      <c r="U206" t="s">
        <v>47</v>
      </c>
      <c r="V206" t="s">
        <v>60</v>
      </c>
    </row>
    <row r="207" spans="1:22" x14ac:dyDescent="0.3">
      <c r="A207" t="s">
        <v>391</v>
      </c>
      <c r="B207" s="3">
        <v>45758</v>
      </c>
      <c r="C207" t="s">
        <v>37</v>
      </c>
      <c r="D207" t="s">
        <v>24</v>
      </c>
      <c r="E207" t="s">
        <v>119</v>
      </c>
      <c r="F207" t="s">
        <v>182</v>
      </c>
      <c r="G207" t="s">
        <v>183</v>
      </c>
      <c r="H207" t="s">
        <v>112</v>
      </c>
      <c r="I207" t="s">
        <v>113</v>
      </c>
      <c r="J207" t="s">
        <v>30</v>
      </c>
      <c r="K207" t="s">
        <v>31</v>
      </c>
      <c r="L207" s="2">
        <v>0.3888888888888889</v>
      </c>
      <c r="M207" s="2">
        <v>0.75</v>
      </c>
      <c r="N207">
        <v>8</v>
      </c>
      <c r="O207">
        <v>0</v>
      </c>
      <c r="P207" t="s">
        <v>32</v>
      </c>
      <c r="R207">
        <v>5</v>
      </c>
      <c r="S207" t="s">
        <v>92</v>
      </c>
      <c r="T207" t="s">
        <v>114</v>
      </c>
      <c r="U207" t="s">
        <v>85</v>
      </c>
    </row>
    <row r="208" spans="1:22" x14ac:dyDescent="0.3">
      <c r="A208" t="s">
        <v>392</v>
      </c>
      <c r="B208" s="3">
        <v>45726</v>
      </c>
      <c r="C208" t="s">
        <v>71</v>
      </c>
      <c r="D208" t="s">
        <v>50</v>
      </c>
      <c r="E208" t="s">
        <v>109</v>
      </c>
      <c r="F208" t="s">
        <v>247</v>
      </c>
      <c r="G208" t="s">
        <v>248</v>
      </c>
      <c r="H208" t="s">
        <v>64</v>
      </c>
      <c r="I208" t="s">
        <v>65</v>
      </c>
      <c r="J208" t="s">
        <v>66</v>
      </c>
      <c r="K208" t="s">
        <v>44</v>
      </c>
      <c r="L208" s="2">
        <v>0.375</v>
      </c>
      <c r="M208" s="2">
        <v>0.75</v>
      </c>
      <c r="N208">
        <v>8.5</v>
      </c>
      <c r="O208">
        <v>0.5</v>
      </c>
      <c r="P208" t="s">
        <v>32</v>
      </c>
      <c r="R208">
        <v>3</v>
      </c>
      <c r="S208" t="s">
        <v>45</v>
      </c>
      <c r="T208" t="s">
        <v>68</v>
      </c>
      <c r="V208" t="s">
        <v>60</v>
      </c>
    </row>
    <row r="209" spans="1:22" x14ac:dyDescent="0.3">
      <c r="A209" t="s">
        <v>393</v>
      </c>
      <c r="B209" s="3">
        <v>45795</v>
      </c>
      <c r="C209" t="s">
        <v>57</v>
      </c>
      <c r="D209" t="s">
        <v>24</v>
      </c>
      <c r="E209" t="s">
        <v>103</v>
      </c>
      <c r="F209" t="s">
        <v>124</v>
      </c>
      <c r="G209" t="s">
        <v>125</v>
      </c>
      <c r="H209" t="s">
        <v>28</v>
      </c>
      <c r="I209" t="s">
        <v>29</v>
      </c>
      <c r="J209" t="s">
        <v>66</v>
      </c>
      <c r="K209" t="s">
        <v>81</v>
      </c>
      <c r="L209" s="2">
        <v>0.91666666666666663</v>
      </c>
      <c r="M209" s="2">
        <v>0.29166666666666669</v>
      </c>
      <c r="N209">
        <v>8.5</v>
      </c>
      <c r="O209">
        <v>0.5</v>
      </c>
      <c r="P209" t="s">
        <v>32</v>
      </c>
      <c r="R209">
        <v>4</v>
      </c>
      <c r="S209" t="s">
        <v>45</v>
      </c>
      <c r="T209" t="s">
        <v>34</v>
      </c>
      <c r="U209" t="s">
        <v>55</v>
      </c>
      <c r="V209" t="s">
        <v>35</v>
      </c>
    </row>
    <row r="210" spans="1:22" x14ac:dyDescent="0.3">
      <c r="A210" t="s">
        <v>394</v>
      </c>
      <c r="B210" s="3">
        <v>45658</v>
      </c>
      <c r="C210" t="s">
        <v>49</v>
      </c>
      <c r="D210" t="s">
        <v>50</v>
      </c>
      <c r="E210" t="s">
        <v>51</v>
      </c>
      <c r="F210" t="s">
        <v>62</v>
      </c>
      <c r="G210" t="s">
        <v>63</v>
      </c>
      <c r="H210" t="s">
        <v>64</v>
      </c>
      <c r="I210" t="s">
        <v>65</v>
      </c>
      <c r="J210" t="s">
        <v>66</v>
      </c>
      <c r="K210" t="s">
        <v>44</v>
      </c>
      <c r="L210" s="2">
        <v>0.375</v>
      </c>
      <c r="M210" s="2">
        <v>0.75</v>
      </c>
      <c r="N210">
        <v>8.5</v>
      </c>
      <c r="O210">
        <v>0.5</v>
      </c>
      <c r="P210" t="s">
        <v>32</v>
      </c>
      <c r="S210" t="s">
        <v>92</v>
      </c>
      <c r="T210" t="s">
        <v>68</v>
      </c>
      <c r="U210" t="s">
        <v>85</v>
      </c>
      <c r="V210" t="s">
        <v>60</v>
      </c>
    </row>
    <row r="211" spans="1:22" x14ac:dyDescent="0.3">
      <c r="A211" t="s">
        <v>395</v>
      </c>
      <c r="B211" s="1">
        <v>45735</v>
      </c>
      <c r="C211" t="s">
        <v>71</v>
      </c>
      <c r="D211" t="s">
        <v>50</v>
      </c>
      <c r="E211" t="s">
        <v>51</v>
      </c>
      <c r="F211" t="s">
        <v>215</v>
      </c>
      <c r="G211" t="s">
        <v>216</v>
      </c>
      <c r="H211" t="s">
        <v>79</v>
      </c>
      <c r="I211" t="s">
        <v>80</v>
      </c>
      <c r="J211" t="s">
        <v>30</v>
      </c>
      <c r="K211" t="s">
        <v>44</v>
      </c>
      <c r="L211" s="2">
        <v>0.375</v>
      </c>
      <c r="M211" s="2">
        <v>0.75</v>
      </c>
      <c r="N211">
        <v>8</v>
      </c>
      <c r="O211">
        <v>0</v>
      </c>
      <c r="P211" t="s">
        <v>32</v>
      </c>
      <c r="R211">
        <v>5</v>
      </c>
      <c r="S211" t="s">
        <v>92</v>
      </c>
      <c r="T211" t="s">
        <v>84</v>
      </c>
      <c r="V211" t="s">
        <v>35</v>
      </c>
    </row>
    <row r="212" spans="1:22" x14ac:dyDescent="0.3">
      <c r="A212" t="s">
        <v>396</v>
      </c>
      <c r="B212" s="1">
        <v>45694</v>
      </c>
      <c r="C212" t="s">
        <v>95</v>
      </c>
      <c r="D212" t="s">
        <v>50</v>
      </c>
      <c r="E212" t="s">
        <v>25</v>
      </c>
      <c r="F212" t="s">
        <v>116</v>
      </c>
      <c r="G212" t="s">
        <v>117</v>
      </c>
      <c r="H212" t="s">
        <v>112</v>
      </c>
      <c r="I212" t="s">
        <v>113</v>
      </c>
      <c r="J212" t="s">
        <v>100</v>
      </c>
      <c r="K212" t="s">
        <v>31</v>
      </c>
      <c r="L212" s="2">
        <v>0.39930555555555558</v>
      </c>
      <c r="M212" s="2">
        <v>0.75</v>
      </c>
      <c r="N212">
        <v>8</v>
      </c>
      <c r="O212">
        <v>0</v>
      </c>
      <c r="P212" t="s">
        <v>32</v>
      </c>
      <c r="R212">
        <v>3</v>
      </c>
      <c r="S212" t="s">
        <v>67</v>
      </c>
      <c r="T212" t="s">
        <v>114</v>
      </c>
      <c r="U212" t="s">
        <v>47</v>
      </c>
      <c r="V212" t="s">
        <v>60</v>
      </c>
    </row>
    <row r="213" spans="1:22" x14ac:dyDescent="0.3">
      <c r="A213" t="s">
        <v>397</v>
      </c>
      <c r="B213" s="1">
        <v>45808</v>
      </c>
      <c r="C213" t="s">
        <v>57</v>
      </c>
      <c r="D213" t="s">
        <v>24</v>
      </c>
      <c r="E213" t="s">
        <v>38</v>
      </c>
      <c r="F213" t="s">
        <v>159</v>
      </c>
      <c r="G213" t="s">
        <v>160</v>
      </c>
      <c r="H213" t="s">
        <v>64</v>
      </c>
      <c r="I213" t="s">
        <v>65</v>
      </c>
      <c r="J213" t="s">
        <v>100</v>
      </c>
      <c r="K213" t="s">
        <v>81</v>
      </c>
      <c r="L213" s="2">
        <v>0.91666666666666663</v>
      </c>
      <c r="M213" s="2">
        <v>0.29166666666666669</v>
      </c>
      <c r="N213">
        <v>10</v>
      </c>
      <c r="O213">
        <v>2</v>
      </c>
      <c r="P213" t="s">
        <v>32</v>
      </c>
      <c r="S213" t="s">
        <v>33</v>
      </c>
      <c r="T213" t="s">
        <v>68</v>
      </c>
      <c r="U213" t="s">
        <v>85</v>
      </c>
      <c r="V213" t="s">
        <v>69</v>
      </c>
    </row>
    <row r="214" spans="1:22" x14ac:dyDescent="0.3">
      <c r="A214" t="s">
        <v>398</v>
      </c>
      <c r="B214" s="3">
        <v>45734</v>
      </c>
      <c r="C214" t="s">
        <v>71</v>
      </c>
      <c r="D214" t="s">
        <v>50</v>
      </c>
      <c r="E214" t="s">
        <v>87</v>
      </c>
      <c r="F214" t="s">
        <v>39</v>
      </c>
      <c r="G214" t="s">
        <v>40</v>
      </c>
      <c r="H214" t="s">
        <v>41</v>
      </c>
      <c r="I214" t="s">
        <v>42</v>
      </c>
      <c r="J214" t="s">
        <v>43</v>
      </c>
      <c r="K214" t="s">
        <v>31</v>
      </c>
      <c r="L214" s="2">
        <v>0.375</v>
      </c>
      <c r="M214" s="2">
        <v>0.75</v>
      </c>
      <c r="N214">
        <v>8</v>
      </c>
      <c r="O214">
        <v>0</v>
      </c>
      <c r="P214" t="s">
        <v>32</v>
      </c>
      <c r="R214">
        <v>5</v>
      </c>
      <c r="S214" t="s">
        <v>33</v>
      </c>
      <c r="T214" t="s">
        <v>46</v>
      </c>
      <c r="U214" t="s">
        <v>47</v>
      </c>
      <c r="V214" t="s">
        <v>35</v>
      </c>
    </row>
    <row r="215" spans="1:22" x14ac:dyDescent="0.3">
      <c r="A215" t="s">
        <v>399</v>
      </c>
      <c r="B215" s="3">
        <v>45687</v>
      </c>
      <c r="C215" t="s">
        <v>49</v>
      </c>
      <c r="D215" t="s">
        <v>50</v>
      </c>
      <c r="E215" t="s">
        <v>25</v>
      </c>
      <c r="F215" t="s">
        <v>127</v>
      </c>
      <c r="G215" t="s">
        <v>128</v>
      </c>
      <c r="H215" t="s">
        <v>90</v>
      </c>
      <c r="I215" t="s">
        <v>91</v>
      </c>
      <c r="J215" t="s">
        <v>66</v>
      </c>
      <c r="K215" t="s">
        <v>81</v>
      </c>
      <c r="L215" s="2">
        <v>0.91666666666666663</v>
      </c>
      <c r="M215" s="2">
        <v>0.29166666666666669</v>
      </c>
      <c r="N215">
        <v>9</v>
      </c>
      <c r="O215">
        <v>1</v>
      </c>
      <c r="P215" t="s">
        <v>32</v>
      </c>
      <c r="R215">
        <v>5</v>
      </c>
      <c r="S215" t="s">
        <v>67</v>
      </c>
      <c r="T215" t="s">
        <v>93</v>
      </c>
      <c r="U215" t="s">
        <v>85</v>
      </c>
      <c r="V215" t="s">
        <v>35</v>
      </c>
    </row>
    <row r="216" spans="1:22" x14ac:dyDescent="0.3">
      <c r="A216" t="s">
        <v>400</v>
      </c>
      <c r="B216" s="3">
        <v>45677</v>
      </c>
      <c r="C216" t="s">
        <v>49</v>
      </c>
      <c r="D216" t="s">
        <v>50</v>
      </c>
      <c r="E216" t="s">
        <v>109</v>
      </c>
      <c r="F216" t="s">
        <v>166</v>
      </c>
      <c r="G216" t="s">
        <v>167</v>
      </c>
      <c r="H216" t="s">
        <v>41</v>
      </c>
      <c r="I216" t="s">
        <v>42</v>
      </c>
      <c r="J216" t="s">
        <v>100</v>
      </c>
      <c r="K216" t="s">
        <v>31</v>
      </c>
      <c r="L216" s="2">
        <v>0.375</v>
      </c>
      <c r="M216" s="2">
        <v>0.75</v>
      </c>
      <c r="N216">
        <v>8</v>
      </c>
      <c r="O216">
        <v>0</v>
      </c>
      <c r="P216" t="s">
        <v>32</v>
      </c>
      <c r="R216">
        <v>3</v>
      </c>
      <c r="S216" t="s">
        <v>92</v>
      </c>
      <c r="T216" t="s">
        <v>46</v>
      </c>
      <c r="V216" t="s">
        <v>60</v>
      </c>
    </row>
    <row r="217" spans="1:22" x14ac:dyDescent="0.3">
      <c r="A217" t="s">
        <v>401</v>
      </c>
      <c r="B217" s="1">
        <v>45672</v>
      </c>
      <c r="C217" t="s">
        <v>49</v>
      </c>
      <c r="D217" t="s">
        <v>50</v>
      </c>
      <c r="E217" t="s">
        <v>51</v>
      </c>
      <c r="F217" t="s">
        <v>166</v>
      </c>
      <c r="G217" t="s">
        <v>167</v>
      </c>
      <c r="H217" t="s">
        <v>41</v>
      </c>
      <c r="I217" t="s">
        <v>42</v>
      </c>
      <c r="J217" t="s">
        <v>100</v>
      </c>
      <c r="K217" t="s">
        <v>31</v>
      </c>
      <c r="P217" t="s">
        <v>82</v>
      </c>
      <c r="Q217" t="s">
        <v>83</v>
      </c>
      <c r="S217" t="s">
        <v>92</v>
      </c>
      <c r="T217" t="s">
        <v>46</v>
      </c>
      <c r="U217" t="s">
        <v>85</v>
      </c>
      <c r="V217" t="s">
        <v>35</v>
      </c>
    </row>
    <row r="218" spans="1:22" x14ac:dyDescent="0.3">
      <c r="A218" t="s">
        <v>402</v>
      </c>
      <c r="B218" s="3">
        <v>45790</v>
      </c>
      <c r="C218" t="s">
        <v>57</v>
      </c>
      <c r="D218" t="s">
        <v>24</v>
      </c>
      <c r="E218" t="s">
        <v>87</v>
      </c>
      <c r="F218" t="s">
        <v>104</v>
      </c>
      <c r="G218" t="s">
        <v>105</v>
      </c>
      <c r="H218" t="s">
        <v>28</v>
      </c>
      <c r="I218" t="s">
        <v>29</v>
      </c>
      <c r="J218" t="s">
        <v>30</v>
      </c>
      <c r="K218" t="s">
        <v>75</v>
      </c>
      <c r="L218" s="2">
        <v>0.375</v>
      </c>
      <c r="M218" s="2">
        <v>0.75</v>
      </c>
      <c r="N218">
        <v>8</v>
      </c>
      <c r="O218">
        <v>0</v>
      </c>
      <c r="P218" t="s">
        <v>32</v>
      </c>
      <c r="R218">
        <v>5</v>
      </c>
      <c r="S218" t="s">
        <v>92</v>
      </c>
      <c r="T218" t="s">
        <v>34</v>
      </c>
      <c r="U218" t="s">
        <v>55</v>
      </c>
    </row>
    <row r="219" spans="1:22" x14ac:dyDescent="0.3">
      <c r="A219" t="s">
        <v>403</v>
      </c>
      <c r="B219" s="3">
        <v>45733</v>
      </c>
      <c r="C219" t="s">
        <v>71</v>
      </c>
      <c r="D219" t="s">
        <v>50</v>
      </c>
      <c r="E219" t="s">
        <v>109</v>
      </c>
      <c r="F219" t="s">
        <v>127</v>
      </c>
      <c r="G219" t="s">
        <v>128</v>
      </c>
      <c r="H219" t="s">
        <v>137</v>
      </c>
      <c r="I219" t="s">
        <v>91</v>
      </c>
      <c r="J219" t="s">
        <v>66</v>
      </c>
      <c r="K219" t="s">
        <v>31</v>
      </c>
      <c r="L219" s="2">
        <v>0.375</v>
      </c>
      <c r="M219" s="2">
        <v>0.75</v>
      </c>
      <c r="N219">
        <v>8</v>
      </c>
      <c r="O219">
        <v>0</v>
      </c>
      <c r="P219" t="s">
        <v>32</v>
      </c>
      <c r="S219" t="s">
        <v>33</v>
      </c>
      <c r="T219" t="s">
        <v>93</v>
      </c>
      <c r="U219" t="s">
        <v>47</v>
      </c>
      <c r="V219" t="s">
        <v>69</v>
      </c>
    </row>
    <row r="220" spans="1:22" x14ac:dyDescent="0.3">
      <c r="A220" t="s">
        <v>404</v>
      </c>
      <c r="B220" s="3">
        <v>45777</v>
      </c>
      <c r="C220" t="s">
        <v>37</v>
      </c>
      <c r="D220" t="s">
        <v>24</v>
      </c>
      <c r="E220" t="s">
        <v>51</v>
      </c>
      <c r="F220" t="s">
        <v>240</v>
      </c>
      <c r="G220" t="s">
        <v>241</v>
      </c>
      <c r="H220" t="s">
        <v>180</v>
      </c>
      <c r="I220" t="s">
        <v>42</v>
      </c>
      <c r="J220" t="s">
        <v>66</v>
      </c>
      <c r="K220" t="s">
        <v>54</v>
      </c>
      <c r="L220" s="2">
        <v>0.375</v>
      </c>
      <c r="M220" s="2">
        <v>0.75</v>
      </c>
      <c r="N220">
        <v>8</v>
      </c>
      <c r="O220">
        <v>0</v>
      </c>
      <c r="P220" t="s">
        <v>32</v>
      </c>
      <c r="R220">
        <v>4</v>
      </c>
      <c r="S220" t="s">
        <v>67</v>
      </c>
      <c r="T220" t="s">
        <v>46</v>
      </c>
      <c r="U220" t="s">
        <v>55</v>
      </c>
    </row>
    <row r="221" spans="1:22" x14ac:dyDescent="0.3">
      <c r="A221" t="s">
        <v>405</v>
      </c>
      <c r="B221" s="3">
        <v>45781</v>
      </c>
      <c r="C221" t="s">
        <v>57</v>
      </c>
      <c r="D221" t="s">
        <v>24</v>
      </c>
      <c r="E221" t="s">
        <v>103</v>
      </c>
      <c r="F221" t="s">
        <v>170</v>
      </c>
      <c r="G221" t="s">
        <v>171</v>
      </c>
      <c r="H221" t="s">
        <v>64</v>
      </c>
      <c r="I221" t="s">
        <v>65</v>
      </c>
      <c r="J221" t="s">
        <v>43</v>
      </c>
      <c r="K221" t="s">
        <v>81</v>
      </c>
      <c r="L221" s="2">
        <v>0.91666666666666663</v>
      </c>
      <c r="M221" s="2">
        <v>0.29166666666666669</v>
      </c>
      <c r="N221">
        <v>8.5</v>
      </c>
      <c r="O221">
        <v>0.5</v>
      </c>
      <c r="P221" t="s">
        <v>32</v>
      </c>
      <c r="R221">
        <v>3</v>
      </c>
      <c r="S221" t="s">
        <v>67</v>
      </c>
      <c r="T221" t="s">
        <v>68</v>
      </c>
      <c r="U221" t="s">
        <v>55</v>
      </c>
      <c r="V221" t="s">
        <v>35</v>
      </c>
    </row>
    <row r="222" spans="1:22" x14ac:dyDescent="0.3">
      <c r="A222" t="s">
        <v>406</v>
      </c>
      <c r="B222" s="1">
        <v>45786</v>
      </c>
      <c r="C222" t="s">
        <v>57</v>
      </c>
      <c r="D222" t="s">
        <v>24</v>
      </c>
      <c r="E222" t="s">
        <v>119</v>
      </c>
      <c r="F222" t="s">
        <v>96</v>
      </c>
      <c r="G222" t="s">
        <v>97</v>
      </c>
      <c r="H222" t="s">
        <v>98</v>
      </c>
      <c r="I222" t="s">
        <v>99</v>
      </c>
      <c r="J222" t="s">
        <v>100</v>
      </c>
      <c r="K222" t="s">
        <v>75</v>
      </c>
      <c r="L222" s="2">
        <v>0.375</v>
      </c>
      <c r="M222" s="2">
        <v>0.75</v>
      </c>
      <c r="N222">
        <v>8</v>
      </c>
      <c r="O222">
        <v>0</v>
      </c>
      <c r="P222" t="s">
        <v>32</v>
      </c>
      <c r="S222" t="s">
        <v>33</v>
      </c>
      <c r="T222" t="s">
        <v>101</v>
      </c>
      <c r="U222" t="s">
        <v>55</v>
      </c>
      <c r="V222" t="s">
        <v>35</v>
      </c>
    </row>
    <row r="223" spans="1:22" x14ac:dyDescent="0.3">
      <c r="A223" t="s">
        <v>407</v>
      </c>
      <c r="B223" s="3">
        <v>45818</v>
      </c>
      <c r="C223" t="s">
        <v>23</v>
      </c>
      <c r="D223" t="s">
        <v>24</v>
      </c>
      <c r="E223" t="s">
        <v>87</v>
      </c>
      <c r="F223" t="s">
        <v>116</v>
      </c>
      <c r="G223" t="s">
        <v>117</v>
      </c>
      <c r="H223" t="s">
        <v>112</v>
      </c>
      <c r="I223" t="s">
        <v>113</v>
      </c>
      <c r="J223" t="s">
        <v>100</v>
      </c>
      <c r="K223" t="s">
        <v>54</v>
      </c>
      <c r="L223" s="2">
        <v>0.375</v>
      </c>
      <c r="M223" s="2">
        <v>0.75</v>
      </c>
      <c r="N223">
        <v>8</v>
      </c>
      <c r="O223">
        <v>0</v>
      </c>
      <c r="P223" t="s">
        <v>32</v>
      </c>
      <c r="R223">
        <v>5</v>
      </c>
      <c r="S223" t="s">
        <v>33</v>
      </c>
      <c r="T223" t="s">
        <v>114</v>
      </c>
      <c r="U223" t="s">
        <v>85</v>
      </c>
      <c r="V223" t="s">
        <v>69</v>
      </c>
    </row>
    <row r="224" spans="1:22" x14ac:dyDescent="0.3">
      <c r="A224" t="s">
        <v>408</v>
      </c>
      <c r="B224" s="1">
        <v>45760</v>
      </c>
      <c r="C224" t="s">
        <v>37</v>
      </c>
      <c r="D224" t="s">
        <v>24</v>
      </c>
      <c r="E224" t="s">
        <v>103</v>
      </c>
      <c r="F224" t="s">
        <v>142</v>
      </c>
      <c r="G224" t="s">
        <v>143</v>
      </c>
      <c r="H224" t="s">
        <v>64</v>
      </c>
      <c r="I224" t="s">
        <v>65</v>
      </c>
      <c r="J224" t="s">
        <v>43</v>
      </c>
      <c r="K224" t="s">
        <v>54</v>
      </c>
      <c r="L224" s="2">
        <v>0.375</v>
      </c>
      <c r="M224" s="2">
        <v>0.75</v>
      </c>
      <c r="N224">
        <v>9</v>
      </c>
      <c r="O224">
        <v>1</v>
      </c>
      <c r="P224" t="s">
        <v>32</v>
      </c>
      <c r="S224" t="s">
        <v>67</v>
      </c>
      <c r="T224" t="s">
        <v>68</v>
      </c>
      <c r="U224" t="s">
        <v>85</v>
      </c>
      <c r="V224" t="s">
        <v>60</v>
      </c>
    </row>
    <row r="225" spans="1:22" x14ac:dyDescent="0.3">
      <c r="A225" t="s">
        <v>409</v>
      </c>
      <c r="B225" s="3">
        <v>45759</v>
      </c>
      <c r="C225" t="s">
        <v>37</v>
      </c>
      <c r="D225" t="s">
        <v>24</v>
      </c>
      <c r="E225" t="s">
        <v>38</v>
      </c>
      <c r="F225" t="s">
        <v>148</v>
      </c>
      <c r="G225" t="s">
        <v>149</v>
      </c>
      <c r="H225" t="s">
        <v>112</v>
      </c>
      <c r="I225" t="s">
        <v>113</v>
      </c>
      <c r="J225" t="s">
        <v>43</v>
      </c>
      <c r="K225" t="s">
        <v>75</v>
      </c>
      <c r="L225" s="2">
        <v>0.38194444444444442</v>
      </c>
      <c r="M225" s="2">
        <v>0.75</v>
      </c>
      <c r="N225">
        <v>8</v>
      </c>
      <c r="O225">
        <v>0</v>
      </c>
      <c r="P225" t="s">
        <v>32</v>
      </c>
      <c r="R225">
        <v>3</v>
      </c>
      <c r="S225" t="s">
        <v>45</v>
      </c>
      <c r="T225" t="s">
        <v>114</v>
      </c>
      <c r="U225" t="s">
        <v>55</v>
      </c>
      <c r="V225" t="s">
        <v>60</v>
      </c>
    </row>
    <row r="226" spans="1:22" x14ac:dyDescent="0.3">
      <c r="A226" t="s">
        <v>410</v>
      </c>
      <c r="B226" s="1">
        <v>45692</v>
      </c>
      <c r="C226" t="s">
        <v>95</v>
      </c>
      <c r="D226" t="s">
        <v>50</v>
      </c>
      <c r="E226" t="s">
        <v>87</v>
      </c>
      <c r="F226" t="s">
        <v>166</v>
      </c>
      <c r="G226" t="s">
        <v>167</v>
      </c>
      <c r="H226" t="s">
        <v>41</v>
      </c>
      <c r="I226" t="s">
        <v>42</v>
      </c>
      <c r="J226" t="s">
        <v>100</v>
      </c>
      <c r="K226" t="s">
        <v>75</v>
      </c>
      <c r="L226" s="2">
        <v>0.375</v>
      </c>
      <c r="M226" s="2">
        <v>0.75</v>
      </c>
      <c r="N226">
        <v>8</v>
      </c>
      <c r="O226">
        <v>0</v>
      </c>
      <c r="P226" t="s">
        <v>32</v>
      </c>
      <c r="R226">
        <v>5</v>
      </c>
      <c r="S226" t="s">
        <v>92</v>
      </c>
      <c r="T226" t="s">
        <v>46</v>
      </c>
      <c r="U226" t="s">
        <v>47</v>
      </c>
      <c r="V226" t="s">
        <v>35</v>
      </c>
    </row>
    <row r="227" spans="1:22" x14ac:dyDescent="0.3">
      <c r="A227" t="s">
        <v>411</v>
      </c>
      <c r="B227" s="3">
        <v>45805</v>
      </c>
      <c r="C227" t="s">
        <v>57</v>
      </c>
      <c r="D227" t="s">
        <v>24</v>
      </c>
      <c r="E227" t="s">
        <v>51</v>
      </c>
      <c r="F227" t="s">
        <v>133</v>
      </c>
      <c r="G227" t="s">
        <v>134</v>
      </c>
      <c r="H227" t="s">
        <v>98</v>
      </c>
      <c r="I227" t="s">
        <v>99</v>
      </c>
      <c r="J227" t="s">
        <v>66</v>
      </c>
      <c r="K227" t="s">
        <v>54</v>
      </c>
      <c r="L227" s="2">
        <v>0.375</v>
      </c>
      <c r="M227" s="2">
        <v>0.75</v>
      </c>
      <c r="N227">
        <v>8</v>
      </c>
      <c r="O227">
        <v>0</v>
      </c>
      <c r="P227" t="s">
        <v>32</v>
      </c>
      <c r="R227">
        <v>3</v>
      </c>
      <c r="S227" t="s">
        <v>67</v>
      </c>
      <c r="T227" t="s">
        <v>101</v>
      </c>
      <c r="V227" t="s">
        <v>69</v>
      </c>
    </row>
    <row r="228" spans="1:22" x14ac:dyDescent="0.3">
      <c r="A228" t="s">
        <v>412</v>
      </c>
      <c r="B228" s="3">
        <v>45803</v>
      </c>
      <c r="C228" t="s">
        <v>57</v>
      </c>
      <c r="D228" t="s">
        <v>24</v>
      </c>
      <c r="E228" t="s">
        <v>109</v>
      </c>
      <c r="F228" t="s">
        <v>207</v>
      </c>
      <c r="G228" t="s">
        <v>208</v>
      </c>
      <c r="H228" t="s">
        <v>64</v>
      </c>
      <c r="I228" t="s">
        <v>65</v>
      </c>
      <c r="J228" t="s">
        <v>30</v>
      </c>
      <c r="K228" t="s">
        <v>81</v>
      </c>
      <c r="L228" s="2">
        <v>0.91666666666666663</v>
      </c>
      <c r="M228" s="2">
        <v>0.29166666666666669</v>
      </c>
      <c r="N228">
        <v>10</v>
      </c>
      <c r="O228">
        <v>2</v>
      </c>
      <c r="P228" t="s">
        <v>32</v>
      </c>
      <c r="R228">
        <v>3</v>
      </c>
      <c r="S228" t="s">
        <v>92</v>
      </c>
      <c r="T228" t="s">
        <v>68</v>
      </c>
      <c r="U228" t="s">
        <v>85</v>
      </c>
      <c r="V228" t="s">
        <v>69</v>
      </c>
    </row>
    <row r="229" spans="1:22" x14ac:dyDescent="0.3">
      <c r="A229" t="s">
        <v>413</v>
      </c>
      <c r="B229" s="3">
        <v>45738</v>
      </c>
      <c r="C229" t="s">
        <v>71</v>
      </c>
      <c r="D229" t="s">
        <v>50</v>
      </c>
      <c r="E229" t="s">
        <v>38</v>
      </c>
      <c r="F229" t="s">
        <v>185</v>
      </c>
      <c r="G229" t="s">
        <v>186</v>
      </c>
      <c r="H229" t="s">
        <v>79</v>
      </c>
      <c r="I229" t="s">
        <v>80</v>
      </c>
      <c r="J229" t="s">
        <v>66</v>
      </c>
      <c r="K229" t="s">
        <v>31</v>
      </c>
      <c r="L229" s="2">
        <v>0.375</v>
      </c>
      <c r="M229" s="2">
        <v>0.75</v>
      </c>
      <c r="N229">
        <v>8</v>
      </c>
      <c r="O229">
        <v>0</v>
      </c>
      <c r="P229" t="s">
        <v>32</v>
      </c>
      <c r="R229">
        <v>4</v>
      </c>
      <c r="S229" t="s">
        <v>45</v>
      </c>
      <c r="T229" t="s">
        <v>84</v>
      </c>
      <c r="U229" t="s">
        <v>85</v>
      </c>
      <c r="V229" t="s">
        <v>60</v>
      </c>
    </row>
    <row r="230" spans="1:22" x14ac:dyDescent="0.3">
      <c r="A230" t="s">
        <v>414</v>
      </c>
      <c r="B230" s="1">
        <v>45693</v>
      </c>
      <c r="C230" t="s">
        <v>95</v>
      </c>
      <c r="D230" t="s">
        <v>50</v>
      </c>
      <c r="E230" t="s">
        <v>51</v>
      </c>
      <c r="F230" t="s">
        <v>354</v>
      </c>
      <c r="G230" t="s">
        <v>355</v>
      </c>
      <c r="H230" t="s">
        <v>28</v>
      </c>
      <c r="I230" t="s">
        <v>29</v>
      </c>
      <c r="J230" t="s">
        <v>100</v>
      </c>
      <c r="K230" t="s">
        <v>75</v>
      </c>
      <c r="L230" s="2">
        <v>0.375</v>
      </c>
      <c r="M230" s="2">
        <v>0.75</v>
      </c>
      <c r="N230">
        <v>8</v>
      </c>
      <c r="O230">
        <v>0</v>
      </c>
      <c r="P230" t="s">
        <v>32</v>
      </c>
      <c r="R230">
        <v>3</v>
      </c>
      <c r="S230" t="s">
        <v>45</v>
      </c>
      <c r="T230" t="s">
        <v>34</v>
      </c>
      <c r="V230" t="s">
        <v>60</v>
      </c>
    </row>
    <row r="231" spans="1:22" x14ac:dyDescent="0.3">
      <c r="A231" t="s">
        <v>415</v>
      </c>
      <c r="B231" s="1">
        <v>45681</v>
      </c>
      <c r="C231" t="s">
        <v>49</v>
      </c>
      <c r="D231" t="s">
        <v>50</v>
      </c>
      <c r="E231" t="s">
        <v>119</v>
      </c>
      <c r="F231" t="s">
        <v>127</v>
      </c>
      <c r="G231" t="s">
        <v>128</v>
      </c>
      <c r="H231" t="s">
        <v>137</v>
      </c>
      <c r="I231" t="s">
        <v>91</v>
      </c>
      <c r="J231" t="s">
        <v>66</v>
      </c>
      <c r="K231" t="s">
        <v>54</v>
      </c>
      <c r="L231" s="2">
        <v>0.375</v>
      </c>
      <c r="M231" s="2">
        <v>0.75</v>
      </c>
      <c r="N231">
        <v>8</v>
      </c>
      <c r="O231">
        <v>0</v>
      </c>
      <c r="P231" t="s">
        <v>32</v>
      </c>
      <c r="R231">
        <v>5</v>
      </c>
      <c r="S231" t="s">
        <v>92</v>
      </c>
      <c r="T231" t="s">
        <v>93</v>
      </c>
      <c r="U231" t="s">
        <v>47</v>
      </c>
      <c r="V231" t="s">
        <v>35</v>
      </c>
    </row>
    <row r="232" spans="1:22" x14ac:dyDescent="0.3">
      <c r="A232" t="s">
        <v>416</v>
      </c>
      <c r="B232" s="1">
        <v>45707</v>
      </c>
      <c r="C232" t="s">
        <v>95</v>
      </c>
      <c r="D232" t="s">
        <v>50</v>
      </c>
      <c r="E232" t="s">
        <v>51</v>
      </c>
      <c r="F232" t="s">
        <v>281</v>
      </c>
      <c r="G232" t="s">
        <v>282</v>
      </c>
      <c r="H232" t="s">
        <v>90</v>
      </c>
      <c r="I232" t="s">
        <v>91</v>
      </c>
      <c r="J232" t="s">
        <v>30</v>
      </c>
      <c r="K232" t="s">
        <v>31</v>
      </c>
      <c r="L232" s="2">
        <v>0.375</v>
      </c>
      <c r="M232" s="2">
        <v>0.75</v>
      </c>
      <c r="N232">
        <v>8</v>
      </c>
      <c r="O232">
        <v>0</v>
      </c>
      <c r="P232" t="s">
        <v>32</v>
      </c>
      <c r="S232" t="s">
        <v>45</v>
      </c>
      <c r="T232" t="s">
        <v>93</v>
      </c>
      <c r="U232" t="s">
        <v>55</v>
      </c>
      <c r="V232" t="s">
        <v>69</v>
      </c>
    </row>
    <row r="233" spans="1:22" x14ac:dyDescent="0.3">
      <c r="A233" t="s">
        <v>417</v>
      </c>
      <c r="B233" s="3">
        <v>45676</v>
      </c>
      <c r="C233" t="s">
        <v>49</v>
      </c>
      <c r="D233" t="s">
        <v>50</v>
      </c>
      <c r="E233" t="s">
        <v>103</v>
      </c>
      <c r="F233" t="s">
        <v>77</v>
      </c>
      <c r="G233" t="s">
        <v>78</v>
      </c>
      <c r="H233" t="s">
        <v>79</v>
      </c>
      <c r="I233" t="s">
        <v>80</v>
      </c>
      <c r="J233" t="s">
        <v>30</v>
      </c>
      <c r="K233" t="s">
        <v>31</v>
      </c>
      <c r="M233" s="2">
        <v>0.75</v>
      </c>
      <c r="N233">
        <v>8</v>
      </c>
      <c r="O233">
        <v>0</v>
      </c>
      <c r="P233" t="s">
        <v>32</v>
      </c>
      <c r="R233">
        <v>4</v>
      </c>
      <c r="S233" t="s">
        <v>33</v>
      </c>
      <c r="T233" t="s">
        <v>84</v>
      </c>
      <c r="U233" t="s">
        <v>55</v>
      </c>
      <c r="V233" t="s">
        <v>35</v>
      </c>
    </row>
    <row r="234" spans="1:22" x14ac:dyDescent="0.3">
      <c r="A234" t="s">
        <v>418</v>
      </c>
      <c r="B234" s="3">
        <v>45767</v>
      </c>
      <c r="C234" t="s">
        <v>37</v>
      </c>
      <c r="D234" t="s">
        <v>24</v>
      </c>
      <c r="E234" t="s">
        <v>103</v>
      </c>
      <c r="F234" t="s">
        <v>77</v>
      </c>
      <c r="G234" t="s">
        <v>78</v>
      </c>
      <c r="H234" t="s">
        <v>79</v>
      </c>
      <c r="I234" t="s">
        <v>80</v>
      </c>
      <c r="J234" t="s">
        <v>30</v>
      </c>
      <c r="K234" t="s">
        <v>31</v>
      </c>
      <c r="P234" t="s">
        <v>82</v>
      </c>
      <c r="Q234" t="s">
        <v>83</v>
      </c>
      <c r="S234" t="s">
        <v>67</v>
      </c>
      <c r="T234" t="s">
        <v>84</v>
      </c>
      <c r="U234" t="s">
        <v>47</v>
      </c>
      <c r="V234" t="s">
        <v>69</v>
      </c>
    </row>
    <row r="235" spans="1:22" x14ac:dyDescent="0.3">
      <c r="A235" t="s">
        <v>419</v>
      </c>
      <c r="B235" s="1">
        <v>45801</v>
      </c>
      <c r="C235" t="s">
        <v>57</v>
      </c>
      <c r="D235" t="s">
        <v>24</v>
      </c>
      <c r="E235" t="s">
        <v>38</v>
      </c>
      <c r="F235" t="s">
        <v>159</v>
      </c>
      <c r="G235" t="s">
        <v>160</v>
      </c>
      <c r="H235" t="s">
        <v>64</v>
      </c>
      <c r="I235" t="s">
        <v>65</v>
      </c>
      <c r="J235" t="s">
        <v>100</v>
      </c>
      <c r="K235" t="s">
        <v>31</v>
      </c>
      <c r="P235" t="s">
        <v>135</v>
      </c>
      <c r="S235" t="s">
        <v>92</v>
      </c>
      <c r="T235" t="s">
        <v>68</v>
      </c>
      <c r="U235" t="s">
        <v>85</v>
      </c>
      <c r="V235" t="s">
        <v>60</v>
      </c>
    </row>
    <row r="236" spans="1:22" x14ac:dyDescent="0.3">
      <c r="A236" t="s">
        <v>420</v>
      </c>
      <c r="B236" s="3">
        <v>45742</v>
      </c>
      <c r="C236" t="s">
        <v>71</v>
      </c>
      <c r="D236" t="s">
        <v>50</v>
      </c>
      <c r="E236" t="s">
        <v>51</v>
      </c>
      <c r="F236" t="s">
        <v>275</v>
      </c>
      <c r="G236" t="s">
        <v>276</v>
      </c>
      <c r="H236" t="s">
        <v>421</v>
      </c>
      <c r="I236" t="s">
        <v>65</v>
      </c>
      <c r="J236" t="s">
        <v>100</v>
      </c>
      <c r="K236" t="s">
        <v>44</v>
      </c>
      <c r="L236" s="2">
        <v>0.375</v>
      </c>
      <c r="M236" s="2">
        <v>0.75</v>
      </c>
      <c r="N236">
        <v>8.5</v>
      </c>
      <c r="O236">
        <v>0.5</v>
      </c>
      <c r="P236" t="s">
        <v>32</v>
      </c>
      <c r="R236">
        <v>3</v>
      </c>
      <c r="S236" t="s">
        <v>33</v>
      </c>
      <c r="T236" t="s">
        <v>68</v>
      </c>
      <c r="U236" t="s">
        <v>55</v>
      </c>
    </row>
    <row r="237" spans="1:22" x14ac:dyDescent="0.3">
      <c r="A237" t="s">
        <v>422</v>
      </c>
      <c r="B237" s="1">
        <v>45666</v>
      </c>
      <c r="C237" t="s">
        <v>49</v>
      </c>
      <c r="D237" t="s">
        <v>50</v>
      </c>
      <c r="E237" t="s">
        <v>25</v>
      </c>
      <c r="F237" t="s">
        <v>127</v>
      </c>
      <c r="G237" t="s">
        <v>128</v>
      </c>
      <c r="H237" t="s">
        <v>90</v>
      </c>
      <c r="I237" t="s">
        <v>91</v>
      </c>
      <c r="J237" t="s">
        <v>66</v>
      </c>
      <c r="K237" t="s">
        <v>44</v>
      </c>
      <c r="L237" s="2">
        <v>0.375</v>
      </c>
      <c r="M237" s="2">
        <v>0.75</v>
      </c>
      <c r="N237">
        <v>8</v>
      </c>
      <c r="O237">
        <v>0</v>
      </c>
      <c r="P237" t="s">
        <v>32</v>
      </c>
      <c r="S237" t="s">
        <v>67</v>
      </c>
      <c r="T237" t="s">
        <v>93</v>
      </c>
    </row>
    <row r="238" spans="1:22" x14ac:dyDescent="0.3">
      <c r="A238" t="s">
        <v>423</v>
      </c>
      <c r="B238" s="1">
        <v>45658</v>
      </c>
      <c r="C238" t="s">
        <v>49</v>
      </c>
      <c r="D238" t="s">
        <v>50</v>
      </c>
      <c r="E238" t="s">
        <v>51</v>
      </c>
      <c r="F238" t="s">
        <v>166</v>
      </c>
      <c r="G238" t="s">
        <v>167</v>
      </c>
      <c r="H238" t="s">
        <v>41</v>
      </c>
      <c r="I238" t="s">
        <v>42</v>
      </c>
      <c r="J238" t="s">
        <v>100</v>
      </c>
      <c r="K238" t="s">
        <v>81</v>
      </c>
      <c r="L238" s="2">
        <v>0.91666666666666663</v>
      </c>
      <c r="M238" s="2">
        <v>0.29166666666666669</v>
      </c>
      <c r="N238">
        <v>9</v>
      </c>
      <c r="O238">
        <v>1</v>
      </c>
      <c r="P238" t="s">
        <v>32</v>
      </c>
      <c r="R238">
        <v>4</v>
      </c>
      <c r="S238" t="s">
        <v>45</v>
      </c>
      <c r="T238" t="s">
        <v>46</v>
      </c>
    </row>
    <row r="239" spans="1:22" x14ac:dyDescent="0.3">
      <c r="A239" t="s">
        <v>424</v>
      </c>
      <c r="B239" s="3">
        <v>45733</v>
      </c>
      <c r="C239" t="s">
        <v>71</v>
      </c>
      <c r="D239" t="s">
        <v>50</v>
      </c>
      <c r="E239" t="s">
        <v>109</v>
      </c>
      <c r="F239" t="s">
        <v>354</v>
      </c>
      <c r="G239" t="s">
        <v>355</v>
      </c>
      <c r="H239" t="s">
        <v>28</v>
      </c>
      <c r="I239" t="s">
        <v>29</v>
      </c>
      <c r="J239" t="s">
        <v>100</v>
      </c>
      <c r="K239" t="s">
        <v>31</v>
      </c>
      <c r="L239" s="2">
        <v>0.375</v>
      </c>
      <c r="M239" s="2">
        <v>0.75</v>
      </c>
      <c r="N239">
        <v>8</v>
      </c>
      <c r="O239">
        <v>0</v>
      </c>
      <c r="P239" t="s">
        <v>32</v>
      </c>
      <c r="R239">
        <v>3</v>
      </c>
      <c r="S239" t="s">
        <v>33</v>
      </c>
      <c r="T239" t="s">
        <v>34</v>
      </c>
      <c r="U239" t="s">
        <v>55</v>
      </c>
      <c r="V239" t="s">
        <v>69</v>
      </c>
    </row>
    <row r="240" spans="1:22" x14ac:dyDescent="0.3">
      <c r="A240" t="s">
        <v>425</v>
      </c>
      <c r="B240" s="3">
        <v>45658</v>
      </c>
      <c r="C240" t="s">
        <v>49</v>
      </c>
      <c r="D240" t="s">
        <v>50</v>
      </c>
      <c r="E240" t="s">
        <v>51</v>
      </c>
      <c r="F240" t="s">
        <v>148</v>
      </c>
      <c r="G240" t="s">
        <v>149</v>
      </c>
      <c r="H240" t="s">
        <v>112</v>
      </c>
      <c r="I240" t="s">
        <v>113</v>
      </c>
      <c r="J240" t="s">
        <v>43</v>
      </c>
      <c r="K240" t="s">
        <v>31</v>
      </c>
      <c r="P240" t="s">
        <v>135</v>
      </c>
      <c r="S240" t="s">
        <v>45</v>
      </c>
      <c r="T240" t="s">
        <v>114</v>
      </c>
      <c r="U240" t="s">
        <v>85</v>
      </c>
      <c r="V240" t="s">
        <v>69</v>
      </c>
    </row>
    <row r="241" spans="1:22" x14ac:dyDescent="0.3">
      <c r="A241" t="s">
        <v>426</v>
      </c>
      <c r="B241" s="3">
        <v>45703</v>
      </c>
      <c r="C241" t="s">
        <v>95</v>
      </c>
      <c r="D241" t="s">
        <v>50</v>
      </c>
      <c r="E241" t="s">
        <v>38</v>
      </c>
      <c r="F241" t="s">
        <v>228</v>
      </c>
      <c r="G241" t="s">
        <v>229</v>
      </c>
      <c r="H241" t="s">
        <v>79</v>
      </c>
      <c r="I241" t="s">
        <v>80</v>
      </c>
      <c r="J241" t="s">
        <v>43</v>
      </c>
      <c r="K241" t="s">
        <v>81</v>
      </c>
      <c r="L241" s="2">
        <v>0.91666666666666663</v>
      </c>
      <c r="M241" s="2">
        <v>0.29166666666666669</v>
      </c>
      <c r="N241">
        <v>9.5</v>
      </c>
      <c r="O241">
        <v>1.5</v>
      </c>
      <c r="P241" t="s">
        <v>32</v>
      </c>
      <c r="R241">
        <v>4</v>
      </c>
      <c r="S241" t="s">
        <v>45</v>
      </c>
      <c r="T241" t="s">
        <v>84</v>
      </c>
      <c r="U241" t="s">
        <v>55</v>
      </c>
    </row>
    <row r="242" spans="1:22" x14ac:dyDescent="0.3">
      <c r="A242" t="s">
        <v>427</v>
      </c>
      <c r="B242" s="1">
        <v>45690</v>
      </c>
      <c r="C242" t="s">
        <v>95</v>
      </c>
      <c r="D242" t="s">
        <v>50</v>
      </c>
      <c r="E242" t="s">
        <v>103</v>
      </c>
      <c r="F242" t="s">
        <v>166</v>
      </c>
      <c r="G242" t="s">
        <v>167</v>
      </c>
      <c r="H242" t="s">
        <v>41</v>
      </c>
      <c r="I242" t="s">
        <v>42</v>
      </c>
      <c r="J242" t="s">
        <v>100</v>
      </c>
      <c r="K242" t="s">
        <v>54</v>
      </c>
      <c r="L242" s="2">
        <v>0.375</v>
      </c>
      <c r="M242" s="2">
        <v>0.75</v>
      </c>
      <c r="N242">
        <v>8</v>
      </c>
      <c r="O242">
        <v>0</v>
      </c>
      <c r="P242" t="s">
        <v>32</v>
      </c>
      <c r="R242">
        <v>4</v>
      </c>
      <c r="S242" t="s">
        <v>45</v>
      </c>
      <c r="T242" t="s">
        <v>46</v>
      </c>
      <c r="U242" t="s">
        <v>47</v>
      </c>
      <c r="V242" t="s">
        <v>69</v>
      </c>
    </row>
    <row r="243" spans="1:22" x14ac:dyDescent="0.3">
      <c r="A243" t="s">
        <v>428</v>
      </c>
      <c r="B243" s="1">
        <v>45687</v>
      </c>
      <c r="C243" t="s">
        <v>49</v>
      </c>
      <c r="D243" t="s">
        <v>50</v>
      </c>
      <c r="E243" t="s">
        <v>25</v>
      </c>
      <c r="F243" t="s">
        <v>185</v>
      </c>
      <c r="G243" t="s">
        <v>186</v>
      </c>
      <c r="H243" t="s">
        <v>79</v>
      </c>
      <c r="I243" t="s">
        <v>80</v>
      </c>
      <c r="J243" t="s">
        <v>66</v>
      </c>
      <c r="K243" t="s">
        <v>75</v>
      </c>
      <c r="P243" t="s">
        <v>135</v>
      </c>
      <c r="S243" t="s">
        <v>67</v>
      </c>
      <c r="T243" t="s">
        <v>84</v>
      </c>
      <c r="V243" t="s">
        <v>35</v>
      </c>
    </row>
    <row r="244" spans="1:22" x14ac:dyDescent="0.3">
      <c r="A244" t="s">
        <v>429</v>
      </c>
      <c r="B244" s="1">
        <v>45810</v>
      </c>
      <c r="C244" t="s">
        <v>23</v>
      </c>
      <c r="D244" t="s">
        <v>24</v>
      </c>
      <c r="E244" t="s">
        <v>109</v>
      </c>
      <c r="F244" t="s">
        <v>266</v>
      </c>
      <c r="G244" t="s">
        <v>267</v>
      </c>
      <c r="H244" t="s">
        <v>98</v>
      </c>
      <c r="I244" t="s">
        <v>99</v>
      </c>
      <c r="J244" t="s">
        <v>66</v>
      </c>
      <c r="K244" t="s">
        <v>75</v>
      </c>
      <c r="L244" s="2">
        <v>0.375</v>
      </c>
      <c r="M244" s="2">
        <v>0.75</v>
      </c>
      <c r="N244">
        <v>8</v>
      </c>
      <c r="O244">
        <v>0</v>
      </c>
      <c r="P244" t="s">
        <v>32</v>
      </c>
      <c r="R244">
        <v>5</v>
      </c>
      <c r="S244" t="s">
        <v>92</v>
      </c>
      <c r="T244" t="s">
        <v>101</v>
      </c>
      <c r="V244" t="s">
        <v>69</v>
      </c>
    </row>
    <row r="245" spans="1:22" x14ac:dyDescent="0.3">
      <c r="A245" t="s">
        <v>430</v>
      </c>
      <c r="B245" s="1">
        <v>45826</v>
      </c>
      <c r="C245" t="s">
        <v>23</v>
      </c>
      <c r="D245" t="s">
        <v>24</v>
      </c>
      <c r="E245" t="s">
        <v>51</v>
      </c>
      <c r="F245" t="s">
        <v>39</v>
      </c>
      <c r="G245" t="s">
        <v>40</v>
      </c>
      <c r="H245" t="s">
        <v>41</v>
      </c>
      <c r="I245" t="s">
        <v>42</v>
      </c>
      <c r="J245" t="s">
        <v>43</v>
      </c>
      <c r="K245" t="s">
        <v>54</v>
      </c>
      <c r="L245" s="2">
        <v>0.375</v>
      </c>
      <c r="M245" s="2">
        <v>0.75</v>
      </c>
      <c r="N245">
        <v>8</v>
      </c>
      <c r="O245">
        <v>0</v>
      </c>
      <c r="P245" t="s">
        <v>32</v>
      </c>
      <c r="S245" t="s">
        <v>92</v>
      </c>
      <c r="T245" t="s">
        <v>46</v>
      </c>
      <c r="U245" t="s">
        <v>47</v>
      </c>
      <c r="V245" t="s">
        <v>35</v>
      </c>
    </row>
    <row r="246" spans="1:22" x14ac:dyDescent="0.3">
      <c r="A246" t="s">
        <v>431</v>
      </c>
      <c r="B246" s="3">
        <v>45791</v>
      </c>
      <c r="C246" t="s">
        <v>57</v>
      </c>
      <c r="D246" t="s">
        <v>24</v>
      </c>
      <c r="E246" t="s">
        <v>51</v>
      </c>
      <c r="F246" t="s">
        <v>120</v>
      </c>
      <c r="G246" t="s">
        <v>121</v>
      </c>
      <c r="H246" t="s">
        <v>41</v>
      </c>
      <c r="I246" t="s">
        <v>42</v>
      </c>
      <c r="J246" t="s">
        <v>74</v>
      </c>
      <c r="K246" t="s">
        <v>81</v>
      </c>
      <c r="L246" s="2">
        <v>0.91666666666666663</v>
      </c>
      <c r="N246">
        <v>10</v>
      </c>
      <c r="O246">
        <v>2</v>
      </c>
      <c r="P246" t="s">
        <v>32</v>
      </c>
      <c r="S246" t="s">
        <v>92</v>
      </c>
      <c r="T246" t="s">
        <v>46</v>
      </c>
      <c r="V246" t="s">
        <v>35</v>
      </c>
    </row>
    <row r="247" spans="1:22" x14ac:dyDescent="0.3">
      <c r="A247" t="s">
        <v>432</v>
      </c>
      <c r="B247" s="1">
        <v>45812</v>
      </c>
      <c r="C247" t="s">
        <v>23</v>
      </c>
      <c r="D247" t="s">
        <v>24</v>
      </c>
      <c r="E247" t="s">
        <v>51</v>
      </c>
      <c r="F247" t="s">
        <v>159</v>
      </c>
      <c r="G247" t="s">
        <v>160</v>
      </c>
      <c r="H247" t="s">
        <v>64</v>
      </c>
      <c r="I247" t="s">
        <v>65</v>
      </c>
      <c r="J247" t="s">
        <v>100</v>
      </c>
      <c r="K247" t="s">
        <v>81</v>
      </c>
      <c r="L247" s="2">
        <v>0.91666666666666663</v>
      </c>
      <c r="M247" s="2">
        <v>0.29166666666666669</v>
      </c>
      <c r="N247">
        <v>9.5</v>
      </c>
      <c r="O247">
        <v>1.5</v>
      </c>
      <c r="P247" t="s">
        <v>32</v>
      </c>
      <c r="R247">
        <v>3</v>
      </c>
      <c r="S247" t="s">
        <v>45</v>
      </c>
      <c r="T247" t="s">
        <v>68</v>
      </c>
      <c r="U247" t="s">
        <v>55</v>
      </c>
      <c r="V247" t="s">
        <v>60</v>
      </c>
    </row>
    <row r="248" spans="1:22" x14ac:dyDescent="0.3">
      <c r="A248" t="s">
        <v>433</v>
      </c>
      <c r="B248" s="3">
        <v>45800</v>
      </c>
      <c r="C248" t="s">
        <v>57</v>
      </c>
      <c r="D248" t="s">
        <v>24</v>
      </c>
      <c r="E248" t="s">
        <v>119</v>
      </c>
      <c r="F248" t="s">
        <v>170</v>
      </c>
      <c r="G248" t="s">
        <v>171</v>
      </c>
      <c r="H248" t="s">
        <v>64</v>
      </c>
      <c r="I248" t="s">
        <v>65</v>
      </c>
      <c r="J248" t="s">
        <v>43</v>
      </c>
      <c r="K248" t="s">
        <v>31</v>
      </c>
      <c r="L248" s="2">
        <v>0.375</v>
      </c>
      <c r="M248" s="2">
        <v>0.75</v>
      </c>
      <c r="N248">
        <v>8.5</v>
      </c>
      <c r="O248">
        <v>0.5</v>
      </c>
      <c r="P248" t="s">
        <v>32</v>
      </c>
      <c r="R248">
        <v>5</v>
      </c>
      <c r="S248" t="s">
        <v>45</v>
      </c>
      <c r="T248" t="s">
        <v>68</v>
      </c>
      <c r="V248" t="s">
        <v>69</v>
      </c>
    </row>
    <row r="249" spans="1:22" x14ac:dyDescent="0.3">
      <c r="A249" t="s">
        <v>434</v>
      </c>
      <c r="B249" s="3">
        <v>45701</v>
      </c>
      <c r="C249" t="s">
        <v>95</v>
      </c>
      <c r="D249" t="s">
        <v>50</v>
      </c>
      <c r="E249" t="s">
        <v>25</v>
      </c>
      <c r="F249" t="s">
        <v>195</v>
      </c>
      <c r="G249" t="s">
        <v>196</v>
      </c>
      <c r="H249" t="s">
        <v>98</v>
      </c>
      <c r="I249" t="s">
        <v>99</v>
      </c>
      <c r="J249" t="s">
        <v>43</v>
      </c>
      <c r="K249" t="s">
        <v>44</v>
      </c>
      <c r="L249" s="2">
        <v>0.375</v>
      </c>
      <c r="M249" s="2">
        <v>0.75</v>
      </c>
      <c r="N249">
        <v>8</v>
      </c>
      <c r="O249">
        <v>0</v>
      </c>
      <c r="P249" t="s">
        <v>32</v>
      </c>
      <c r="R249">
        <v>4</v>
      </c>
      <c r="S249" t="s">
        <v>92</v>
      </c>
      <c r="T249" t="s">
        <v>101</v>
      </c>
      <c r="V249" t="s">
        <v>69</v>
      </c>
    </row>
    <row r="250" spans="1:22" x14ac:dyDescent="0.3">
      <c r="A250" t="s">
        <v>435</v>
      </c>
      <c r="B250" s="3">
        <v>45724</v>
      </c>
      <c r="C250" t="s">
        <v>71</v>
      </c>
      <c r="D250" t="s">
        <v>50</v>
      </c>
      <c r="E250" t="s">
        <v>38</v>
      </c>
      <c r="F250" t="s">
        <v>72</v>
      </c>
      <c r="G250" t="s">
        <v>73</v>
      </c>
      <c r="H250" t="s">
        <v>28</v>
      </c>
      <c r="I250" t="s">
        <v>29</v>
      </c>
      <c r="J250" t="s">
        <v>74</v>
      </c>
      <c r="K250" t="s">
        <v>75</v>
      </c>
      <c r="L250" s="2">
        <v>0.375</v>
      </c>
      <c r="M250" s="2">
        <v>0.75</v>
      </c>
      <c r="N250">
        <v>8</v>
      </c>
      <c r="O250">
        <v>0</v>
      </c>
      <c r="P250" t="s">
        <v>32</v>
      </c>
      <c r="R250">
        <v>4</v>
      </c>
      <c r="S250" t="s">
        <v>67</v>
      </c>
      <c r="T250" t="s">
        <v>34</v>
      </c>
      <c r="U250" t="s">
        <v>55</v>
      </c>
      <c r="V250" t="s">
        <v>69</v>
      </c>
    </row>
    <row r="251" spans="1:22" x14ac:dyDescent="0.3">
      <c r="A251" t="s">
        <v>436</v>
      </c>
      <c r="B251" s="1">
        <v>45728</v>
      </c>
      <c r="C251" t="s">
        <v>71</v>
      </c>
      <c r="D251" t="s">
        <v>50</v>
      </c>
      <c r="E251" t="s">
        <v>51</v>
      </c>
      <c r="F251" t="s">
        <v>201</v>
      </c>
      <c r="G251" t="s">
        <v>202</v>
      </c>
      <c r="H251" t="s">
        <v>112</v>
      </c>
      <c r="I251" t="s">
        <v>113</v>
      </c>
      <c r="J251" t="s">
        <v>66</v>
      </c>
      <c r="K251" t="s">
        <v>81</v>
      </c>
      <c r="L251" s="2">
        <v>0.38194444444444442</v>
      </c>
      <c r="M251" s="2">
        <v>0.29166666666666669</v>
      </c>
      <c r="N251">
        <v>9.5</v>
      </c>
      <c r="O251">
        <v>1.5</v>
      </c>
      <c r="P251" t="s">
        <v>32</v>
      </c>
      <c r="R251">
        <v>3</v>
      </c>
      <c r="S251" t="s">
        <v>45</v>
      </c>
      <c r="T251" t="s">
        <v>114</v>
      </c>
      <c r="U251" t="s">
        <v>55</v>
      </c>
      <c r="V251" t="s">
        <v>35</v>
      </c>
    </row>
    <row r="252" spans="1:22" x14ac:dyDescent="0.3">
      <c r="A252" t="s">
        <v>437</v>
      </c>
      <c r="B252" s="3">
        <v>45749</v>
      </c>
      <c r="C252" t="s">
        <v>37</v>
      </c>
      <c r="D252" t="s">
        <v>24</v>
      </c>
      <c r="E252" t="s">
        <v>51</v>
      </c>
      <c r="F252" t="s">
        <v>116</v>
      </c>
      <c r="G252" t="s">
        <v>117</v>
      </c>
      <c r="H252" t="s">
        <v>112</v>
      </c>
      <c r="I252" t="s">
        <v>113</v>
      </c>
      <c r="J252" t="s">
        <v>100</v>
      </c>
      <c r="K252" t="s">
        <v>31</v>
      </c>
      <c r="L252" s="2">
        <v>0.3888888888888889</v>
      </c>
      <c r="M252" s="2">
        <v>0.75</v>
      </c>
      <c r="N252">
        <v>8</v>
      </c>
      <c r="O252">
        <v>0</v>
      </c>
      <c r="P252" t="s">
        <v>32</v>
      </c>
      <c r="R252">
        <v>4</v>
      </c>
      <c r="S252" t="s">
        <v>92</v>
      </c>
      <c r="T252" t="s">
        <v>114</v>
      </c>
      <c r="U252" t="s">
        <v>55</v>
      </c>
      <c r="V252" t="s">
        <v>35</v>
      </c>
    </row>
    <row r="253" spans="1:22" x14ac:dyDescent="0.3">
      <c r="A253" t="s">
        <v>438</v>
      </c>
      <c r="B253" s="3">
        <v>45732</v>
      </c>
      <c r="C253" t="s">
        <v>71</v>
      </c>
      <c r="D253" t="s">
        <v>50</v>
      </c>
      <c r="E253" t="s">
        <v>103</v>
      </c>
      <c r="F253" t="s">
        <v>166</v>
      </c>
      <c r="G253" t="s">
        <v>167</v>
      </c>
      <c r="H253" t="s">
        <v>41</v>
      </c>
      <c r="I253" t="s">
        <v>42</v>
      </c>
      <c r="J253" t="s">
        <v>100</v>
      </c>
      <c r="K253" t="s">
        <v>44</v>
      </c>
      <c r="L253" s="2">
        <v>0.375</v>
      </c>
      <c r="N253">
        <v>8</v>
      </c>
      <c r="O253">
        <v>0</v>
      </c>
      <c r="P253" t="s">
        <v>32</v>
      </c>
      <c r="R253">
        <v>4</v>
      </c>
      <c r="S253" t="s">
        <v>67</v>
      </c>
      <c r="T253" t="s">
        <v>46</v>
      </c>
      <c r="U253" t="s">
        <v>47</v>
      </c>
    </row>
    <row r="254" spans="1:22" x14ac:dyDescent="0.3">
      <c r="A254" t="s">
        <v>439</v>
      </c>
      <c r="B254" s="3">
        <v>45690</v>
      </c>
      <c r="C254" t="s">
        <v>95</v>
      </c>
      <c r="D254" t="s">
        <v>50</v>
      </c>
      <c r="E254" t="s">
        <v>103</v>
      </c>
      <c r="F254" t="s">
        <v>247</v>
      </c>
      <c r="G254" t="s">
        <v>248</v>
      </c>
      <c r="H254" t="s">
        <v>64</v>
      </c>
      <c r="I254" t="s">
        <v>65</v>
      </c>
      <c r="J254" t="s">
        <v>66</v>
      </c>
      <c r="K254" t="s">
        <v>54</v>
      </c>
      <c r="M254" s="2">
        <v>0.75</v>
      </c>
      <c r="N254">
        <v>9.5</v>
      </c>
      <c r="O254">
        <v>1.5</v>
      </c>
      <c r="P254" t="s">
        <v>32</v>
      </c>
      <c r="S254" t="s">
        <v>92</v>
      </c>
      <c r="T254" t="s">
        <v>68</v>
      </c>
      <c r="U254" t="s">
        <v>47</v>
      </c>
      <c r="V254" t="s">
        <v>69</v>
      </c>
    </row>
    <row r="255" spans="1:22" x14ac:dyDescent="0.3">
      <c r="A255" t="s">
        <v>440</v>
      </c>
      <c r="B255" s="3">
        <v>45732</v>
      </c>
      <c r="C255" t="s">
        <v>71</v>
      </c>
      <c r="D255" t="s">
        <v>50</v>
      </c>
      <c r="E255" t="s">
        <v>103</v>
      </c>
      <c r="F255" t="s">
        <v>58</v>
      </c>
      <c r="G255" t="s">
        <v>59</v>
      </c>
      <c r="H255" t="s">
        <v>41</v>
      </c>
      <c r="I255" t="s">
        <v>42</v>
      </c>
      <c r="J255" t="s">
        <v>30</v>
      </c>
      <c r="K255" t="s">
        <v>31</v>
      </c>
      <c r="L255" s="2">
        <v>0.375</v>
      </c>
      <c r="M255" s="2">
        <v>0.75</v>
      </c>
      <c r="N255">
        <v>8</v>
      </c>
      <c r="O255">
        <v>0</v>
      </c>
      <c r="P255" t="s">
        <v>32</v>
      </c>
      <c r="R255">
        <v>4</v>
      </c>
      <c r="S255" t="s">
        <v>45</v>
      </c>
      <c r="T255" t="s">
        <v>46</v>
      </c>
      <c r="U255" t="s">
        <v>47</v>
      </c>
      <c r="V255" t="s">
        <v>60</v>
      </c>
    </row>
    <row r="256" spans="1:22" x14ac:dyDescent="0.3">
      <c r="A256" t="s">
        <v>441</v>
      </c>
      <c r="B256" s="1">
        <v>45715</v>
      </c>
      <c r="C256" t="s">
        <v>95</v>
      </c>
      <c r="D256" t="s">
        <v>50</v>
      </c>
      <c r="E256" t="s">
        <v>25</v>
      </c>
      <c r="F256" t="s">
        <v>240</v>
      </c>
      <c r="G256" t="s">
        <v>241</v>
      </c>
      <c r="H256" t="s">
        <v>41</v>
      </c>
      <c r="I256" t="s">
        <v>42</v>
      </c>
      <c r="J256" t="s">
        <v>66</v>
      </c>
      <c r="K256" t="s">
        <v>75</v>
      </c>
      <c r="L256" s="2">
        <v>0.375</v>
      </c>
      <c r="M256" s="2">
        <v>0.75</v>
      </c>
      <c r="N256">
        <v>8</v>
      </c>
      <c r="O256">
        <v>0</v>
      </c>
      <c r="P256" t="s">
        <v>32</v>
      </c>
      <c r="R256">
        <v>3</v>
      </c>
      <c r="S256" t="s">
        <v>45</v>
      </c>
      <c r="T256" t="s">
        <v>46</v>
      </c>
      <c r="U256" t="s">
        <v>85</v>
      </c>
      <c r="V256" t="s">
        <v>60</v>
      </c>
    </row>
    <row r="257" spans="1:22" x14ac:dyDescent="0.3">
      <c r="A257" t="s">
        <v>442</v>
      </c>
      <c r="B257" s="3">
        <v>45835</v>
      </c>
      <c r="C257" t="s">
        <v>23</v>
      </c>
      <c r="D257" t="s">
        <v>24</v>
      </c>
      <c r="E257" t="s">
        <v>119</v>
      </c>
      <c r="F257" t="s">
        <v>39</v>
      </c>
      <c r="G257" t="s">
        <v>40</v>
      </c>
      <c r="H257" t="s">
        <v>41</v>
      </c>
      <c r="I257" t="s">
        <v>42</v>
      </c>
      <c r="J257" t="s">
        <v>43</v>
      </c>
      <c r="K257" t="s">
        <v>44</v>
      </c>
      <c r="L257" s="2">
        <v>0.375</v>
      </c>
      <c r="M257" s="2">
        <v>0.75</v>
      </c>
      <c r="N257">
        <v>8</v>
      </c>
      <c r="O257">
        <v>0</v>
      </c>
      <c r="P257" t="s">
        <v>32</v>
      </c>
      <c r="R257">
        <v>4</v>
      </c>
      <c r="S257" t="s">
        <v>67</v>
      </c>
      <c r="T257" t="s">
        <v>46</v>
      </c>
      <c r="V257" t="s">
        <v>60</v>
      </c>
    </row>
    <row r="258" spans="1:22" x14ac:dyDescent="0.3">
      <c r="A258" t="s">
        <v>443</v>
      </c>
      <c r="B258" s="3">
        <v>45664</v>
      </c>
      <c r="C258" t="s">
        <v>49</v>
      </c>
      <c r="D258" t="s">
        <v>50</v>
      </c>
      <c r="E258" t="s">
        <v>87</v>
      </c>
      <c r="F258" t="s">
        <v>52</v>
      </c>
      <c r="G258" t="s">
        <v>53</v>
      </c>
      <c r="H258" t="s">
        <v>41</v>
      </c>
      <c r="I258" t="s">
        <v>42</v>
      </c>
      <c r="J258" t="s">
        <v>43</v>
      </c>
      <c r="K258" t="s">
        <v>31</v>
      </c>
      <c r="L258" s="2">
        <v>0.375</v>
      </c>
      <c r="M258" s="2">
        <v>0.75</v>
      </c>
      <c r="N258">
        <v>8</v>
      </c>
      <c r="O258">
        <v>0</v>
      </c>
      <c r="P258" t="s">
        <v>32</v>
      </c>
      <c r="S258" t="s">
        <v>33</v>
      </c>
      <c r="T258" t="s">
        <v>46</v>
      </c>
      <c r="U258" t="s">
        <v>85</v>
      </c>
    </row>
    <row r="259" spans="1:22" x14ac:dyDescent="0.3">
      <c r="A259" t="s">
        <v>444</v>
      </c>
      <c r="B259" s="3">
        <v>45719</v>
      </c>
      <c r="C259" t="s">
        <v>71</v>
      </c>
      <c r="D259" t="s">
        <v>50</v>
      </c>
      <c r="E259" t="s">
        <v>109</v>
      </c>
      <c r="F259" t="s">
        <v>266</v>
      </c>
      <c r="G259" t="s">
        <v>267</v>
      </c>
      <c r="H259" t="s">
        <v>98</v>
      </c>
      <c r="I259" t="s">
        <v>99</v>
      </c>
      <c r="J259" t="s">
        <v>66</v>
      </c>
      <c r="K259" t="s">
        <v>44</v>
      </c>
      <c r="L259" s="2">
        <v>0.375</v>
      </c>
      <c r="M259" s="2">
        <v>0.75</v>
      </c>
      <c r="N259">
        <v>8</v>
      </c>
      <c r="O259">
        <v>0</v>
      </c>
      <c r="P259" t="s">
        <v>32</v>
      </c>
      <c r="R259">
        <v>4</v>
      </c>
      <c r="S259" t="s">
        <v>67</v>
      </c>
      <c r="T259" t="s">
        <v>101</v>
      </c>
      <c r="U259" t="s">
        <v>47</v>
      </c>
    </row>
    <row r="260" spans="1:22" x14ac:dyDescent="0.3">
      <c r="A260" t="s">
        <v>445</v>
      </c>
      <c r="B260" s="3">
        <v>45751</v>
      </c>
      <c r="C260" t="s">
        <v>37</v>
      </c>
      <c r="D260" t="s">
        <v>24</v>
      </c>
      <c r="E260" t="s">
        <v>119</v>
      </c>
      <c r="F260" t="s">
        <v>182</v>
      </c>
      <c r="G260" t="s">
        <v>183</v>
      </c>
      <c r="H260" t="s">
        <v>112</v>
      </c>
      <c r="I260" t="s">
        <v>113</v>
      </c>
      <c r="J260" t="s">
        <v>30</v>
      </c>
      <c r="K260" t="s">
        <v>31</v>
      </c>
      <c r="L260" s="2">
        <v>0.375</v>
      </c>
      <c r="M260" s="2">
        <v>0.75</v>
      </c>
      <c r="N260">
        <v>8</v>
      </c>
      <c r="O260">
        <v>0</v>
      </c>
      <c r="P260" t="s">
        <v>32</v>
      </c>
      <c r="S260" t="s">
        <v>33</v>
      </c>
      <c r="T260" t="s">
        <v>114</v>
      </c>
      <c r="U260" t="s">
        <v>47</v>
      </c>
      <c r="V260" t="s">
        <v>60</v>
      </c>
    </row>
    <row r="261" spans="1:22" x14ac:dyDescent="0.3">
      <c r="A261" t="s">
        <v>446</v>
      </c>
      <c r="B261" s="1">
        <v>45758</v>
      </c>
      <c r="C261" t="s">
        <v>37</v>
      </c>
      <c r="D261" t="s">
        <v>24</v>
      </c>
      <c r="E261" t="s">
        <v>119</v>
      </c>
      <c r="F261" t="s">
        <v>104</v>
      </c>
      <c r="G261" t="s">
        <v>105</v>
      </c>
      <c r="H261" t="s">
        <v>28</v>
      </c>
      <c r="I261" t="s">
        <v>29</v>
      </c>
      <c r="J261" t="s">
        <v>30</v>
      </c>
      <c r="K261" t="s">
        <v>31</v>
      </c>
      <c r="L261" s="2">
        <v>0.375</v>
      </c>
      <c r="M261" s="2">
        <v>0.75</v>
      </c>
      <c r="N261">
        <v>8</v>
      </c>
      <c r="O261">
        <v>0</v>
      </c>
      <c r="P261" t="s">
        <v>32</v>
      </c>
      <c r="R261">
        <v>5</v>
      </c>
      <c r="S261" t="s">
        <v>67</v>
      </c>
      <c r="T261" t="s">
        <v>34</v>
      </c>
      <c r="U261" t="s">
        <v>47</v>
      </c>
      <c r="V261" t="s">
        <v>60</v>
      </c>
    </row>
    <row r="262" spans="1:22" x14ac:dyDescent="0.3">
      <c r="A262" t="s">
        <v>447</v>
      </c>
      <c r="B262" s="3">
        <v>45730</v>
      </c>
      <c r="C262" t="s">
        <v>71</v>
      </c>
      <c r="D262" t="s">
        <v>50</v>
      </c>
      <c r="E262" t="s">
        <v>119</v>
      </c>
      <c r="F262" t="s">
        <v>204</v>
      </c>
      <c r="G262" t="s">
        <v>205</v>
      </c>
      <c r="H262" t="s">
        <v>90</v>
      </c>
      <c r="I262" t="s">
        <v>91</v>
      </c>
      <c r="J262" t="s">
        <v>74</v>
      </c>
      <c r="K262" t="s">
        <v>54</v>
      </c>
      <c r="P262" t="s">
        <v>82</v>
      </c>
      <c r="S262" t="s">
        <v>92</v>
      </c>
      <c r="T262" t="s">
        <v>93</v>
      </c>
      <c r="U262" t="s">
        <v>55</v>
      </c>
      <c r="V262" t="s">
        <v>60</v>
      </c>
    </row>
    <row r="263" spans="1:22" x14ac:dyDescent="0.3">
      <c r="A263" t="s">
        <v>448</v>
      </c>
      <c r="B263" s="3">
        <v>45806</v>
      </c>
      <c r="C263" t="s">
        <v>57</v>
      </c>
      <c r="D263" t="s">
        <v>24</v>
      </c>
      <c r="E263" t="s">
        <v>25</v>
      </c>
      <c r="F263" t="s">
        <v>39</v>
      </c>
      <c r="G263" t="s">
        <v>40</v>
      </c>
      <c r="H263" t="s">
        <v>41</v>
      </c>
      <c r="I263" t="s">
        <v>42</v>
      </c>
      <c r="J263" t="s">
        <v>43</v>
      </c>
      <c r="K263" t="s">
        <v>81</v>
      </c>
      <c r="L263" s="2">
        <v>0.91666666666666663</v>
      </c>
      <c r="M263" s="2">
        <v>0.29166666666666669</v>
      </c>
      <c r="N263">
        <v>9.5</v>
      </c>
      <c r="O263">
        <v>1.5</v>
      </c>
      <c r="P263" t="s">
        <v>32</v>
      </c>
      <c r="R263">
        <v>4</v>
      </c>
      <c r="S263" t="s">
        <v>33</v>
      </c>
      <c r="T263" t="s">
        <v>46</v>
      </c>
      <c r="U263" t="s">
        <v>55</v>
      </c>
    </row>
    <row r="264" spans="1:22" x14ac:dyDescent="0.3">
      <c r="A264" t="s">
        <v>449</v>
      </c>
      <c r="B264" s="1">
        <v>45827</v>
      </c>
      <c r="C264" t="s">
        <v>23</v>
      </c>
      <c r="D264" t="s">
        <v>24</v>
      </c>
      <c r="E264" t="s">
        <v>25</v>
      </c>
      <c r="F264" t="s">
        <v>77</v>
      </c>
      <c r="G264" t="s">
        <v>78</v>
      </c>
      <c r="H264" t="s">
        <v>79</v>
      </c>
      <c r="I264" t="s">
        <v>80</v>
      </c>
      <c r="J264" t="s">
        <v>30</v>
      </c>
      <c r="K264" t="s">
        <v>75</v>
      </c>
      <c r="L264" s="2">
        <v>0.375</v>
      </c>
      <c r="M264" s="2">
        <v>0.75</v>
      </c>
      <c r="N264">
        <v>8</v>
      </c>
      <c r="O264">
        <v>0</v>
      </c>
      <c r="P264" t="s">
        <v>32</v>
      </c>
      <c r="R264">
        <v>4</v>
      </c>
      <c r="S264" t="s">
        <v>92</v>
      </c>
      <c r="T264" t="s">
        <v>84</v>
      </c>
      <c r="U264" t="s">
        <v>47</v>
      </c>
      <c r="V264" t="s">
        <v>60</v>
      </c>
    </row>
    <row r="265" spans="1:22" x14ac:dyDescent="0.3">
      <c r="A265" t="s">
        <v>450</v>
      </c>
      <c r="B265" s="3">
        <v>45729</v>
      </c>
      <c r="C265" t="s">
        <v>71</v>
      </c>
      <c r="D265" t="s">
        <v>50</v>
      </c>
      <c r="E265" t="s">
        <v>25</v>
      </c>
      <c r="F265" t="s">
        <v>52</v>
      </c>
      <c r="G265" t="s">
        <v>53</v>
      </c>
      <c r="H265" t="s">
        <v>41</v>
      </c>
      <c r="I265" t="s">
        <v>42</v>
      </c>
      <c r="J265" t="s">
        <v>43</v>
      </c>
      <c r="K265" t="s">
        <v>81</v>
      </c>
      <c r="L265" s="2">
        <v>0.91666666666666663</v>
      </c>
      <c r="M265" s="2">
        <v>0.29166666666666669</v>
      </c>
      <c r="N265">
        <v>8.5</v>
      </c>
      <c r="O265">
        <v>0.5</v>
      </c>
      <c r="P265" t="s">
        <v>32</v>
      </c>
      <c r="R265">
        <v>4</v>
      </c>
      <c r="S265" t="s">
        <v>67</v>
      </c>
      <c r="T265" t="s">
        <v>46</v>
      </c>
      <c r="U265" t="s">
        <v>55</v>
      </c>
      <c r="V265" t="s">
        <v>35</v>
      </c>
    </row>
    <row r="266" spans="1:22" x14ac:dyDescent="0.3">
      <c r="A266" t="s">
        <v>451</v>
      </c>
      <c r="B266" s="3">
        <v>45696</v>
      </c>
      <c r="C266" t="s">
        <v>95</v>
      </c>
      <c r="D266" t="s">
        <v>50</v>
      </c>
      <c r="E266" t="s">
        <v>38</v>
      </c>
      <c r="F266" t="s">
        <v>281</v>
      </c>
      <c r="G266" t="s">
        <v>282</v>
      </c>
      <c r="H266" t="s">
        <v>90</v>
      </c>
      <c r="I266" t="s">
        <v>91</v>
      </c>
      <c r="J266" t="s">
        <v>30</v>
      </c>
      <c r="K266" t="s">
        <v>44</v>
      </c>
      <c r="L266" s="2">
        <v>0.375</v>
      </c>
      <c r="M266" s="2">
        <v>0.75</v>
      </c>
      <c r="N266">
        <v>8</v>
      </c>
      <c r="O266">
        <v>0</v>
      </c>
      <c r="P266" t="s">
        <v>32</v>
      </c>
      <c r="R266">
        <v>4</v>
      </c>
      <c r="S266" t="s">
        <v>45</v>
      </c>
      <c r="T266" t="s">
        <v>93</v>
      </c>
    </row>
    <row r="267" spans="1:22" x14ac:dyDescent="0.3">
      <c r="A267" t="s">
        <v>452</v>
      </c>
      <c r="B267" s="3">
        <v>45757</v>
      </c>
      <c r="C267" t="s">
        <v>37</v>
      </c>
      <c r="D267" t="s">
        <v>24</v>
      </c>
      <c r="E267" t="s">
        <v>25</v>
      </c>
      <c r="F267" t="s">
        <v>247</v>
      </c>
      <c r="G267" t="s">
        <v>248</v>
      </c>
      <c r="H267" t="s">
        <v>64</v>
      </c>
      <c r="I267" t="s">
        <v>65</v>
      </c>
      <c r="J267" t="s">
        <v>66</v>
      </c>
      <c r="K267" t="s">
        <v>75</v>
      </c>
      <c r="L267" s="2">
        <v>0.375</v>
      </c>
      <c r="M267" s="2">
        <v>0.75</v>
      </c>
      <c r="N267">
        <v>9</v>
      </c>
      <c r="O267">
        <v>1</v>
      </c>
      <c r="P267" t="s">
        <v>32</v>
      </c>
      <c r="S267" t="s">
        <v>92</v>
      </c>
      <c r="T267" t="s">
        <v>68</v>
      </c>
      <c r="V267" t="s">
        <v>69</v>
      </c>
    </row>
    <row r="268" spans="1:22" x14ac:dyDescent="0.3">
      <c r="A268" t="s">
        <v>453</v>
      </c>
      <c r="B268" s="3">
        <v>45769</v>
      </c>
      <c r="C268" t="s">
        <v>37</v>
      </c>
      <c r="D268" t="s">
        <v>24</v>
      </c>
      <c r="E268" t="s">
        <v>87</v>
      </c>
      <c r="F268" t="s">
        <v>305</v>
      </c>
      <c r="G268" t="s">
        <v>306</v>
      </c>
      <c r="H268" t="s">
        <v>79</v>
      </c>
      <c r="I268" t="s">
        <v>80</v>
      </c>
      <c r="J268" t="s">
        <v>74</v>
      </c>
      <c r="K268" t="s">
        <v>75</v>
      </c>
      <c r="L268" s="2">
        <v>0.375</v>
      </c>
      <c r="M268" s="2">
        <v>0.75</v>
      </c>
      <c r="N268">
        <v>8</v>
      </c>
      <c r="O268">
        <v>0</v>
      </c>
      <c r="P268" t="s">
        <v>32</v>
      </c>
      <c r="R268">
        <v>4</v>
      </c>
      <c r="S268" t="s">
        <v>33</v>
      </c>
      <c r="T268" t="s">
        <v>84</v>
      </c>
      <c r="U268" t="s">
        <v>55</v>
      </c>
      <c r="V268" t="s">
        <v>60</v>
      </c>
    </row>
    <row r="269" spans="1:22" x14ac:dyDescent="0.3">
      <c r="A269" t="s">
        <v>454</v>
      </c>
      <c r="B269" s="3">
        <v>45721</v>
      </c>
      <c r="C269" t="s">
        <v>71</v>
      </c>
      <c r="D269" t="s">
        <v>50</v>
      </c>
      <c r="E269" t="s">
        <v>51</v>
      </c>
      <c r="F269" t="s">
        <v>154</v>
      </c>
      <c r="G269" t="s">
        <v>155</v>
      </c>
      <c r="H269" t="s">
        <v>41</v>
      </c>
      <c r="I269" t="s">
        <v>42</v>
      </c>
      <c r="J269" t="s">
        <v>74</v>
      </c>
      <c r="K269" t="s">
        <v>54</v>
      </c>
      <c r="L269" s="2">
        <v>0.375</v>
      </c>
      <c r="M269" s="2">
        <v>0.75</v>
      </c>
      <c r="N269">
        <v>8</v>
      </c>
      <c r="O269">
        <v>0</v>
      </c>
      <c r="P269" t="s">
        <v>32</v>
      </c>
      <c r="R269">
        <v>5</v>
      </c>
      <c r="S269" t="s">
        <v>92</v>
      </c>
      <c r="T269" t="s">
        <v>46</v>
      </c>
      <c r="U269" t="s">
        <v>47</v>
      </c>
      <c r="V269" t="s">
        <v>69</v>
      </c>
    </row>
    <row r="270" spans="1:22" x14ac:dyDescent="0.3">
      <c r="A270" t="s">
        <v>455</v>
      </c>
      <c r="B270" s="3">
        <v>45811</v>
      </c>
      <c r="C270" t="s">
        <v>23</v>
      </c>
      <c r="D270" t="s">
        <v>24</v>
      </c>
      <c r="E270" t="s">
        <v>87</v>
      </c>
      <c r="F270" t="s">
        <v>124</v>
      </c>
      <c r="G270" t="s">
        <v>125</v>
      </c>
      <c r="H270" t="s">
        <v>28</v>
      </c>
      <c r="I270" t="s">
        <v>29</v>
      </c>
      <c r="J270" t="s">
        <v>66</v>
      </c>
      <c r="K270" t="s">
        <v>44</v>
      </c>
      <c r="L270" s="2">
        <v>0.375</v>
      </c>
      <c r="M270" s="2">
        <v>0.75</v>
      </c>
      <c r="N270">
        <v>8</v>
      </c>
      <c r="O270">
        <v>0</v>
      </c>
      <c r="P270" t="s">
        <v>32</v>
      </c>
      <c r="R270">
        <v>5</v>
      </c>
      <c r="S270" t="s">
        <v>45</v>
      </c>
      <c r="T270" t="s">
        <v>34</v>
      </c>
      <c r="U270" t="s">
        <v>47</v>
      </c>
      <c r="V270" t="s">
        <v>69</v>
      </c>
    </row>
    <row r="271" spans="1:22" x14ac:dyDescent="0.3">
      <c r="A271" t="s">
        <v>456</v>
      </c>
      <c r="B271" s="3">
        <v>45830</v>
      </c>
      <c r="C271" t="s">
        <v>23</v>
      </c>
      <c r="D271" t="s">
        <v>24</v>
      </c>
      <c r="E271" t="s">
        <v>103</v>
      </c>
      <c r="F271" t="s">
        <v>142</v>
      </c>
      <c r="G271" t="s">
        <v>143</v>
      </c>
      <c r="H271" t="s">
        <v>64</v>
      </c>
      <c r="I271" t="s">
        <v>65</v>
      </c>
      <c r="J271" t="s">
        <v>43</v>
      </c>
      <c r="K271" t="s">
        <v>44</v>
      </c>
      <c r="P271" t="s">
        <v>135</v>
      </c>
      <c r="S271" t="s">
        <v>67</v>
      </c>
      <c r="T271" t="s">
        <v>68</v>
      </c>
      <c r="U271" t="s">
        <v>85</v>
      </c>
      <c r="V271" t="s">
        <v>35</v>
      </c>
    </row>
    <row r="272" spans="1:22" x14ac:dyDescent="0.3">
      <c r="A272" t="s">
        <v>457</v>
      </c>
      <c r="B272" s="3">
        <v>45828</v>
      </c>
      <c r="C272" t="s">
        <v>23</v>
      </c>
      <c r="D272" t="s">
        <v>24</v>
      </c>
      <c r="E272" t="s">
        <v>119</v>
      </c>
      <c r="F272" t="s">
        <v>266</v>
      </c>
      <c r="G272" t="s">
        <v>267</v>
      </c>
      <c r="H272" t="s">
        <v>98</v>
      </c>
      <c r="I272" t="s">
        <v>99</v>
      </c>
      <c r="J272" t="s">
        <v>66</v>
      </c>
      <c r="K272" t="s">
        <v>81</v>
      </c>
      <c r="L272" s="2">
        <v>0.91666666666666663</v>
      </c>
      <c r="M272" s="2">
        <v>0.29166666666666669</v>
      </c>
      <c r="N272">
        <v>10</v>
      </c>
      <c r="O272">
        <v>2</v>
      </c>
      <c r="P272" t="s">
        <v>32</v>
      </c>
      <c r="R272">
        <v>5</v>
      </c>
      <c r="S272" t="s">
        <v>45</v>
      </c>
      <c r="T272" t="s">
        <v>101</v>
      </c>
      <c r="U272" t="s">
        <v>85</v>
      </c>
      <c r="V272" t="s">
        <v>60</v>
      </c>
    </row>
    <row r="273" spans="1:22" x14ac:dyDescent="0.3">
      <c r="A273" t="s">
        <v>458</v>
      </c>
      <c r="B273" s="3">
        <v>45706</v>
      </c>
      <c r="C273" t="s">
        <v>95</v>
      </c>
      <c r="D273" t="s">
        <v>50</v>
      </c>
      <c r="E273" t="s">
        <v>87</v>
      </c>
      <c r="F273" t="s">
        <v>266</v>
      </c>
      <c r="G273" t="s">
        <v>267</v>
      </c>
      <c r="H273" t="s">
        <v>98</v>
      </c>
      <c r="I273" t="s">
        <v>99</v>
      </c>
      <c r="J273" t="s">
        <v>66</v>
      </c>
      <c r="K273" t="s">
        <v>44</v>
      </c>
      <c r="L273" s="2">
        <v>0.375</v>
      </c>
      <c r="M273" s="2">
        <v>0.75</v>
      </c>
      <c r="N273">
        <v>8</v>
      </c>
      <c r="O273">
        <v>0</v>
      </c>
      <c r="P273" t="s">
        <v>32</v>
      </c>
      <c r="R273">
        <v>4</v>
      </c>
      <c r="S273" t="s">
        <v>33</v>
      </c>
      <c r="T273" t="s">
        <v>101</v>
      </c>
      <c r="V273" t="s">
        <v>60</v>
      </c>
    </row>
    <row r="274" spans="1:22" x14ac:dyDescent="0.3">
      <c r="A274" t="s">
        <v>459</v>
      </c>
      <c r="B274" s="1">
        <v>45666</v>
      </c>
      <c r="C274" t="s">
        <v>49</v>
      </c>
      <c r="D274" t="s">
        <v>50</v>
      </c>
      <c r="E274" t="s">
        <v>25</v>
      </c>
      <c r="F274" t="s">
        <v>228</v>
      </c>
      <c r="G274" t="s">
        <v>229</v>
      </c>
      <c r="H274" t="s">
        <v>460</v>
      </c>
      <c r="I274" t="s">
        <v>80</v>
      </c>
      <c r="J274" t="s">
        <v>43</v>
      </c>
      <c r="K274" t="s">
        <v>54</v>
      </c>
      <c r="L274" s="2">
        <v>0.375</v>
      </c>
      <c r="M274" s="2">
        <v>0.75</v>
      </c>
      <c r="N274">
        <v>8</v>
      </c>
      <c r="O274">
        <v>0</v>
      </c>
      <c r="P274" t="s">
        <v>32</v>
      </c>
      <c r="R274">
        <v>3</v>
      </c>
      <c r="S274" t="s">
        <v>45</v>
      </c>
      <c r="T274" t="s">
        <v>84</v>
      </c>
      <c r="V274" t="s">
        <v>69</v>
      </c>
    </row>
    <row r="275" spans="1:22" x14ac:dyDescent="0.3">
      <c r="A275" t="s">
        <v>461</v>
      </c>
      <c r="B275" s="3">
        <v>45775</v>
      </c>
      <c r="C275" t="s">
        <v>37</v>
      </c>
      <c r="D275" t="s">
        <v>24</v>
      </c>
      <c r="E275" t="s">
        <v>109</v>
      </c>
      <c r="F275" t="s">
        <v>247</v>
      </c>
      <c r="G275" t="s">
        <v>248</v>
      </c>
      <c r="H275" t="s">
        <v>64</v>
      </c>
      <c r="I275" t="s">
        <v>65</v>
      </c>
      <c r="J275" t="s">
        <v>66</v>
      </c>
      <c r="K275" t="s">
        <v>54</v>
      </c>
      <c r="L275" s="2">
        <v>0.375</v>
      </c>
      <c r="M275" s="2">
        <v>0.75</v>
      </c>
      <c r="N275">
        <v>8.5</v>
      </c>
      <c r="O275">
        <v>0.5</v>
      </c>
      <c r="P275" t="s">
        <v>32</v>
      </c>
      <c r="R275">
        <v>4</v>
      </c>
      <c r="S275" t="s">
        <v>33</v>
      </c>
      <c r="T275" t="s">
        <v>68</v>
      </c>
      <c r="U275" t="s">
        <v>85</v>
      </c>
      <c r="V275" t="s">
        <v>60</v>
      </c>
    </row>
    <row r="276" spans="1:22" x14ac:dyDescent="0.3">
      <c r="A276" t="s">
        <v>462</v>
      </c>
      <c r="B276" s="3">
        <v>45751</v>
      </c>
      <c r="C276" t="s">
        <v>37</v>
      </c>
      <c r="D276" t="s">
        <v>24</v>
      </c>
      <c r="E276" t="s">
        <v>119</v>
      </c>
      <c r="F276" t="s">
        <v>288</v>
      </c>
      <c r="G276" t="s">
        <v>289</v>
      </c>
      <c r="H276" t="s">
        <v>28</v>
      </c>
      <c r="I276" t="s">
        <v>29</v>
      </c>
      <c r="J276" t="s">
        <v>74</v>
      </c>
      <c r="K276" t="s">
        <v>81</v>
      </c>
      <c r="P276" t="s">
        <v>135</v>
      </c>
      <c r="S276" t="s">
        <v>67</v>
      </c>
      <c r="T276" t="s">
        <v>34</v>
      </c>
      <c r="U276" t="s">
        <v>85</v>
      </c>
      <c r="V276" t="s">
        <v>35</v>
      </c>
    </row>
    <row r="277" spans="1:22" x14ac:dyDescent="0.3">
      <c r="A277" t="s">
        <v>463</v>
      </c>
      <c r="B277" s="3">
        <v>45682</v>
      </c>
      <c r="C277" t="s">
        <v>49</v>
      </c>
      <c r="D277" t="s">
        <v>50</v>
      </c>
      <c r="E277" t="s">
        <v>38</v>
      </c>
      <c r="F277" t="s">
        <v>58</v>
      </c>
      <c r="G277" t="s">
        <v>59</v>
      </c>
      <c r="H277" t="s">
        <v>41</v>
      </c>
      <c r="I277" t="s">
        <v>42</v>
      </c>
      <c r="J277" t="s">
        <v>30</v>
      </c>
      <c r="K277" t="s">
        <v>54</v>
      </c>
      <c r="M277" s="2">
        <v>0.75</v>
      </c>
      <c r="N277">
        <v>8</v>
      </c>
      <c r="O277">
        <v>0</v>
      </c>
      <c r="P277" t="s">
        <v>32</v>
      </c>
      <c r="S277" t="s">
        <v>67</v>
      </c>
      <c r="T277" t="s">
        <v>46</v>
      </c>
      <c r="V277" t="s">
        <v>69</v>
      </c>
    </row>
    <row r="278" spans="1:22" x14ac:dyDescent="0.3">
      <c r="A278" t="s">
        <v>464</v>
      </c>
      <c r="B278" s="1">
        <v>45773</v>
      </c>
      <c r="C278" t="s">
        <v>37</v>
      </c>
      <c r="D278" t="s">
        <v>24</v>
      </c>
      <c r="E278" t="s">
        <v>38</v>
      </c>
      <c r="F278" t="s">
        <v>266</v>
      </c>
      <c r="G278" t="s">
        <v>267</v>
      </c>
      <c r="H278" t="s">
        <v>98</v>
      </c>
      <c r="I278" t="s">
        <v>99</v>
      </c>
      <c r="J278" t="s">
        <v>66</v>
      </c>
      <c r="K278" t="s">
        <v>54</v>
      </c>
      <c r="L278" s="2">
        <v>0.375</v>
      </c>
      <c r="M278" s="2">
        <v>0.75</v>
      </c>
      <c r="N278">
        <v>8</v>
      </c>
      <c r="O278">
        <v>0</v>
      </c>
      <c r="P278" t="s">
        <v>32</v>
      </c>
      <c r="R278">
        <v>4</v>
      </c>
      <c r="S278" t="s">
        <v>33</v>
      </c>
      <c r="T278" t="s">
        <v>101</v>
      </c>
      <c r="U278" t="s">
        <v>55</v>
      </c>
      <c r="V278" t="s">
        <v>69</v>
      </c>
    </row>
    <row r="279" spans="1:22" x14ac:dyDescent="0.3">
      <c r="A279" t="s">
        <v>465</v>
      </c>
      <c r="B279" s="1">
        <v>45810</v>
      </c>
      <c r="C279" t="s">
        <v>23</v>
      </c>
      <c r="D279" t="s">
        <v>24</v>
      </c>
      <c r="E279" t="s">
        <v>109</v>
      </c>
      <c r="F279" t="s">
        <v>88</v>
      </c>
      <c r="G279" t="s">
        <v>89</v>
      </c>
      <c r="H279" t="s">
        <v>90</v>
      </c>
      <c r="I279" t="s">
        <v>91</v>
      </c>
      <c r="J279" t="s">
        <v>43</v>
      </c>
      <c r="K279" t="s">
        <v>54</v>
      </c>
      <c r="L279" s="2">
        <v>0.375</v>
      </c>
      <c r="M279" s="2">
        <v>0.75</v>
      </c>
      <c r="N279">
        <v>8</v>
      </c>
      <c r="O279">
        <v>0</v>
      </c>
      <c r="P279" t="s">
        <v>32</v>
      </c>
      <c r="S279" t="s">
        <v>92</v>
      </c>
      <c r="T279" t="s">
        <v>93</v>
      </c>
      <c r="U279" t="s">
        <v>47</v>
      </c>
      <c r="V279" t="s">
        <v>60</v>
      </c>
    </row>
    <row r="280" spans="1:22" x14ac:dyDescent="0.3">
      <c r="A280" t="s">
        <v>466</v>
      </c>
      <c r="B280" s="3">
        <v>45710</v>
      </c>
      <c r="C280" t="s">
        <v>95</v>
      </c>
      <c r="D280" t="s">
        <v>50</v>
      </c>
      <c r="E280" t="s">
        <v>38</v>
      </c>
      <c r="F280" t="s">
        <v>154</v>
      </c>
      <c r="G280" t="s">
        <v>155</v>
      </c>
      <c r="H280" t="s">
        <v>41</v>
      </c>
      <c r="I280" t="s">
        <v>42</v>
      </c>
      <c r="J280" t="s">
        <v>74</v>
      </c>
      <c r="K280" t="s">
        <v>31</v>
      </c>
      <c r="L280" s="2">
        <v>0.375</v>
      </c>
      <c r="M280" s="2">
        <v>0.75</v>
      </c>
      <c r="N280">
        <v>8</v>
      </c>
      <c r="O280">
        <v>0</v>
      </c>
      <c r="P280" t="s">
        <v>32</v>
      </c>
      <c r="R280">
        <v>5</v>
      </c>
      <c r="S280" t="s">
        <v>92</v>
      </c>
      <c r="T280" t="s">
        <v>46</v>
      </c>
      <c r="U280" t="s">
        <v>47</v>
      </c>
      <c r="V280" t="s">
        <v>60</v>
      </c>
    </row>
    <row r="281" spans="1:22" x14ac:dyDescent="0.3">
      <c r="A281" t="s">
        <v>467</v>
      </c>
      <c r="B281" s="3">
        <v>45705</v>
      </c>
      <c r="C281" t="s">
        <v>95</v>
      </c>
      <c r="D281" t="s">
        <v>50</v>
      </c>
      <c r="E281" t="s">
        <v>109</v>
      </c>
      <c r="F281" t="s">
        <v>288</v>
      </c>
      <c r="G281" t="s">
        <v>289</v>
      </c>
      <c r="H281" t="s">
        <v>28</v>
      </c>
      <c r="I281" t="s">
        <v>29</v>
      </c>
      <c r="J281" t="s">
        <v>74</v>
      </c>
      <c r="K281" t="s">
        <v>81</v>
      </c>
      <c r="L281" s="2">
        <v>0.91666666666666663</v>
      </c>
      <c r="M281" s="2">
        <v>0.29166666666666669</v>
      </c>
      <c r="N281">
        <v>8.5</v>
      </c>
      <c r="O281">
        <v>0.5</v>
      </c>
      <c r="P281" t="s">
        <v>32</v>
      </c>
      <c r="S281" t="s">
        <v>45</v>
      </c>
      <c r="T281" t="s">
        <v>34</v>
      </c>
      <c r="U281" t="s">
        <v>85</v>
      </c>
      <c r="V281" t="s">
        <v>35</v>
      </c>
    </row>
    <row r="282" spans="1:22" x14ac:dyDescent="0.3">
      <c r="A282" t="s">
        <v>468</v>
      </c>
      <c r="B282" s="3">
        <v>45718</v>
      </c>
      <c r="C282" t="s">
        <v>71</v>
      </c>
      <c r="D282" t="s">
        <v>50</v>
      </c>
      <c r="E282" t="s">
        <v>103</v>
      </c>
      <c r="F282" t="s">
        <v>228</v>
      </c>
      <c r="G282" t="s">
        <v>229</v>
      </c>
      <c r="H282" t="s">
        <v>79</v>
      </c>
      <c r="I282" t="s">
        <v>80</v>
      </c>
      <c r="J282" t="s">
        <v>43</v>
      </c>
      <c r="K282" t="s">
        <v>75</v>
      </c>
      <c r="L282" s="2">
        <v>0.375</v>
      </c>
      <c r="M282" s="2">
        <v>0.75</v>
      </c>
      <c r="N282">
        <v>8</v>
      </c>
      <c r="O282">
        <v>0</v>
      </c>
      <c r="P282" t="s">
        <v>32</v>
      </c>
      <c r="R282">
        <v>4</v>
      </c>
      <c r="S282" t="s">
        <v>45</v>
      </c>
      <c r="T282" t="s">
        <v>84</v>
      </c>
      <c r="V282" t="s">
        <v>69</v>
      </c>
    </row>
    <row r="283" spans="1:22" x14ac:dyDescent="0.3">
      <c r="A283" t="s">
        <v>469</v>
      </c>
      <c r="B283" s="3">
        <v>45791</v>
      </c>
      <c r="C283" t="s">
        <v>57</v>
      </c>
      <c r="D283" t="s">
        <v>24</v>
      </c>
      <c r="E283" t="s">
        <v>51</v>
      </c>
      <c r="F283" t="s">
        <v>52</v>
      </c>
      <c r="G283" t="s">
        <v>53</v>
      </c>
      <c r="H283" t="s">
        <v>41</v>
      </c>
      <c r="I283" t="s">
        <v>42</v>
      </c>
      <c r="J283" t="s">
        <v>43</v>
      </c>
      <c r="K283" t="s">
        <v>44</v>
      </c>
      <c r="L283" s="2">
        <v>0.375</v>
      </c>
      <c r="M283" s="2">
        <v>0.75</v>
      </c>
      <c r="N283">
        <v>8</v>
      </c>
      <c r="O283">
        <v>0</v>
      </c>
      <c r="P283" t="s">
        <v>32</v>
      </c>
      <c r="R283">
        <v>5</v>
      </c>
      <c r="S283" t="s">
        <v>33</v>
      </c>
      <c r="T283" t="s">
        <v>46</v>
      </c>
      <c r="U283" t="s">
        <v>55</v>
      </c>
      <c r="V283" t="s">
        <v>69</v>
      </c>
    </row>
    <row r="284" spans="1:22" x14ac:dyDescent="0.3">
      <c r="A284" t="s">
        <v>470</v>
      </c>
      <c r="B284" s="3">
        <v>45774</v>
      </c>
      <c r="C284" t="s">
        <v>37</v>
      </c>
      <c r="D284" t="s">
        <v>24</v>
      </c>
      <c r="E284" t="s">
        <v>103</v>
      </c>
      <c r="F284" t="s">
        <v>154</v>
      </c>
      <c r="G284" t="s">
        <v>155</v>
      </c>
      <c r="H284" t="s">
        <v>41</v>
      </c>
      <c r="I284" t="s">
        <v>42</v>
      </c>
      <c r="J284" t="s">
        <v>74</v>
      </c>
      <c r="K284" t="s">
        <v>75</v>
      </c>
      <c r="L284" s="2">
        <v>0.375</v>
      </c>
      <c r="M284" s="2">
        <v>0.75</v>
      </c>
      <c r="N284">
        <v>8</v>
      </c>
      <c r="O284">
        <v>0</v>
      </c>
      <c r="P284" t="s">
        <v>32</v>
      </c>
      <c r="S284" t="s">
        <v>33</v>
      </c>
      <c r="T284" t="s">
        <v>46</v>
      </c>
      <c r="V284" t="s">
        <v>35</v>
      </c>
    </row>
    <row r="285" spans="1:22" x14ac:dyDescent="0.3">
      <c r="A285" t="s">
        <v>471</v>
      </c>
      <c r="B285" s="3">
        <v>45820</v>
      </c>
      <c r="C285" t="s">
        <v>23</v>
      </c>
      <c r="D285" t="s">
        <v>24</v>
      </c>
      <c r="E285" t="s">
        <v>25</v>
      </c>
      <c r="F285" t="s">
        <v>354</v>
      </c>
      <c r="G285" t="s">
        <v>355</v>
      </c>
      <c r="H285" t="s">
        <v>28</v>
      </c>
      <c r="I285" t="s">
        <v>29</v>
      </c>
      <c r="J285" t="s">
        <v>100</v>
      </c>
      <c r="K285" t="s">
        <v>44</v>
      </c>
      <c r="L285" s="2">
        <v>0.375</v>
      </c>
      <c r="M285" s="2">
        <v>0.75</v>
      </c>
      <c r="N285">
        <v>8</v>
      </c>
      <c r="O285">
        <v>0</v>
      </c>
      <c r="P285" t="s">
        <v>32</v>
      </c>
      <c r="R285">
        <v>4</v>
      </c>
      <c r="S285" t="s">
        <v>92</v>
      </c>
      <c r="T285" t="s">
        <v>34</v>
      </c>
      <c r="V285" t="s">
        <v>69</v>
      </c>
    </row>
    <row r="286" spans="1:22" x14ac:dyDescent="0.3">
      <c r="A286" t="s">
        <v>472</v>
      </c>
      <c r="B286" s="1">
        <v>45668</v>
      </c>
      <c r="C286" t="s">
        <v>49</v>
      </c>
      <c r="D286" t="s">
        <v>50</v>
      </c>
      <c r="E286" t="s">
        <v>38</v>
      </c>
      <c r="F286" t="s">
        <v>110</v>
      </c>
      <c r="G286" t="s">
        <v>111</v>
      </c>
      <c r="H286" t="s">
        <v>112</v>
      </c>
      <c r="I286" t="s">
        <v>113</v>
      </c>
      <c r="J286" t="s">
        <v>43</v>
      </c>
      <c r="K286" t="s">
        <v>44</v>
      </c>
      <c r="L286" s="2">
        <v>0.38194444444444442</v>
      </c>
      <c r="M286" s="2">
        <v>0.75</v>
      </c>
      <c r="N286">
        <v>8</v>
      </c>
      <c r="O286">
        <v>0</v>
      </c>
      <c r="P286" t="s">
        <v>32</v>
      </c>
      <c r="R286">
        <v>4</v>
      </c>
      <c r="S286" t="s">
        <v>67</v>
      </c>
      <c r="T286" t="s">
        <v>114</v>
      </c>
      <c r="U286" t="s">
        <v>55</v>
      </c>
      <c r="V286" t="s">
        <v>69</v>
      </c>
    </row>
    <row r="287" spans="1:22" x14ac:dyDescent="0.3">
      <c r="A287" t="s">
        <v>473</v>
      </c>
      <c r="B287" s="3">
        <v>45743</v>
      </c>
      <c r="C287" t="s">
        <v>71</v>
      </c>
      <c r="D287" t="s">
        <v>50</v>
      </c>
      <c r="E287" t="s">
        <v>25</v>
      </c>
      <c r="F287" t="s">
        <v>266</v>
      </c>
      <c r="G287" t="s">
        <v>267</v>
      </c>
      <c r="H287" t="s">
        <v>98</v>
      </c>
      <c r="I287" t="s">
        <v>99</v>
      </c>
      <c r="J287" t="s">
        <v>66</v>
      </c>
      <c r="K287" t="s">
        <v>75</v>
      </c>
      <c r="P287" t="s">
        <v>135</v>
      </c>
      <c r="S287" t="s">
        <v>33</v>
      </c>
      <c r="T287" t="s">
        <v>101</v>
      </c>
      <c r="U287" t="s">
        <v>47</v>
      </c>
      <c r="V287" t="s">
        <v>60</v>
      </c>
    </row>
    <row r="288" spans="1:22" x14ac:dyDescent="0.3">
      <c r="A288" t="s">
        <v>474</v>
      </c>
      <c r="B288" s="1">
        <v>45660</v>
      </c>
      <c r="C288" t="s">
        <v>49</v>
      </c>
      <c r="D288" t="s">
        <v>50</v>
      </c>
      <c r="E288" t="s">
        <v>119</v>
      </c>
      <c r="F288" t="s">
        <v>182</v>
      </c>
      <c r="G288" t="s">
        <v>183</v>
      </c>
      <c r="H288" t="s">
        <v>112</v>
      </c>
      <c r="I288" t="s">
        <v>113</v>
      </c>
      <c r="J288" t="s">
        <v>30</v>
      </c>
      <c r="K288" t="s">
        <v>54</v>
      </c>
      <c r="L288" s="2">
        <v>0.38194444444444442</v>
      </c>
      <c r="M288" s="2">
        <v>0.75</v>
      </c>
      <c r="N288">
        <v>8</v>
      </c>
      <c r="O288">
        <v>0</v>
      </c>
      <c r="P288" t="s">
        <v>32</v>
      </c>
      <c r="R288">
        <v>4</v>
      </c>
      <c r="S288" t="s">
        <v>45</v>
      </c>
      <c r="T288" t="s">
        <v>114</v>
      </c>
      <c r="V288" t="s">
        <v>35</v>
      </c>
    </row>
    <row r="289" spans="1:22" x14ac:dyDescent="0.3">
      <c r="A289" t="s">
        <v>475</v>
      </c>
      <c r="B289" s="3">
        <v>45791</v>
      </c>
      <c r="C289" t="s">
        <v>57</v>
      </c>
      <c r="D289" t="s">
        <v>24</v>
      </c>
      <c r="E289" t="s">
        <v>51</v>
      </c>
      <c r="F289" t="s">
        <v>204</v>
      </c>
      <c r="G289" t="s">
        <v>205</v>
      </c>
      <c r="H289" t="s">
        <v>90</v>
      </c>
      <c r="I289" t="s">
        <v>91</v>
      </c>
      <c r="J289" t="s">
        <v>74</v>
      </c>
      <c r="K289" t="s">
        <v>75</v>
      </c>
      <c r="L289" s="2">
        <v>0.375</v>
      </c>
      <c r="M289" s="2">
        <v>0.75</v>
      </c>
      <c r="N289">
        <v>8</v>
      </c>
      <c r="O289">
        <v>0</v>
      </c>
      <c r="P289" t="s">
        <v>32</v>
      </c>
      <c r="R289">
        <v>5</v>
      </c>
      <c r="S289" t="s">
        <v>33</v>
      </c>
      <c r="T289" t="s">
        <v>93</v>
      </c>
      <c r="U289" t="s">
        <v>55</v>
      </c>
      <c r="V289" t="s">
        <v>60</v>
      </c>
    </row>
    <row r="290" spans="1:22" x14ac:dyDescent="0.3">
      <c r="A290" t="s">
        <v>476</v>
      </c>
      <c r="B290" s="3">
        <v>45832</v>
      </c>
      <c r="C290" t="s">
        <v>23</v>
      </c>
      <c r="D290" t="s">
        <v>24</v>
      </c>
      <c r="E290" t="s">
        <v>87</v>
      </c>
      <c r="F290" t="s">
        <v>124</v>
      </c>
      <c r="G290" t="s">
        <v>125</v>
      </c>
      <c r="H290" t="s">
        <v>28</v>
      </c>
      <c r="I290" t="s">
        <v>29</v>
      </c>
      <c r="J290" t="s">
        <v>66</v>
      </c>
      <c r="K290" t="s">
        <v>31</v>
      </c>
      <c r="L290" s="2">
        <v>0.375</v>
      </c>
      <c r="M290" s="2">
        <v>0.75</v>
      </c>
      <c r="N290">
        <v>8</v>
      </c>
      <c r="O290">
        <v>0</v>
      </c>
      <c r="P290" t="s">
        <v>32</v>
      </c>
      <c r="R290">
        <v>4</v>
      </c>
      <c r="S290" t="s">
        <v>92</v>
      </c>
      <c r="T290" t="s">
        <v>34</v>
      </c>
      <c r="U290" t="s">
        <v>55</v>
      </c>
    </row>
    <row r="291" spans="1:22" x14ac:dyDescent="0.3">
      <c r="A291" t="s">
        <v>477</v>
      </c>
      <c r="B291" s="3">
        <v>45732</v>
      </c>
      <c r="C291" t="s">
        <v>71</v>
      </c>
      <c r="D291" t="s">
        <v>50</v>
      </c>
      <c r="E291" t="s">
        <v>103</v>
      </c>
      <c r="F291" t="s">
        <v>266</v>
      </c>
      <c r="G291" t="s">
        <v>267</v>
      </c>
      <c r="H291" t="s">
        <v>98</v>
      </c>
      <c r="I291" t="s">
        <v>99</v>
      </c>
      <c r="J291" t="s">
        <v>66</v>
      </c>
      <c r="K291" t="s">
        <v>44</v>
      </c>
      <c r="L291" s="2">
        <v>0.375</v>
      </c>
      <c r="M291" s="2">
        <v>0.75</v>
      </c>
      <c r="N291">
        <v>8</v>
      </c>
      <c r="O291">
        <v>0</v>
      </c>
      <c r="P291" t="s">
        <v>32</v>
      </c>
      <c r="R291">
        <v>4</v>
      </c>
      <c r="S291" t="s">
        <v>33</v>
      </c>
      <c r="T291" t="s">
        <v>101</v>
      </c>
      <c r="U291" t="s">
        <v>55</v>
      </c>
      <c r="V291" t="s">
        <v>60</v>
      </c>
    </row>
    <row r="292" spans="1:22" x14ac:dyDescent="0.3">
      <c r="A292" t="s">
        <v>478</v>
      </c>
      <c r="B292" s="3">
        <v>45696</v>
      </c>
      <c r="C292" t="s">
        <v>95</v>
      </c>
      <c r="D292" t="s">
        <v>50</v>
      </c>
      <c r="E292" t="s">
        <v>38</v>
      </c>
      <c r="F292" t="s">
        <v>258</v>
      </c>
      <c r="G292" t="s">
        <v>259</v>
      </c>
      <c r="H292" t="s">
        <v>112</v>
      </c>
      <c r="I292" t="s">
        <v>113</v>
      </c>
      <c r="J292" t="s">
        <v>74</v>
      </c>
      <c r="K292" t="s">
        <v>54</v>
      </c>
      <c r="M292" s="2">
        <v>0.75</v>
      </c>
      <c r="N292">
        <v>8</v>
      </c>
      <c r="O292">
        <v>0</v>
      </c>
      <c r="P292" t="s">
        <v>32</v>
      </c>
      <c r="R292">
        <v>4</v>
      </c>
      <c r="S292" t="s">
        <v>45</v>
      </c>
      <c r="T292" t="s">
        <v>114</v>
      </c>
      <c r="U292" t="s">
        <v>55</v>
      </c>
      <c r="V292" t="s">
        <v>69</v>
      </c>
    </row>
    <row r="293" spans="1:22" x14ac:dyDescent="0.3">
      <c r="A293" t="s">
        <v>479</v>
      </c>
      <c r="B293" s="3">
        <v>45753</v>
      </c>
      <c r="C293" t="s">
        <v>37</v>
      </c>
      <c r="D293" t="s">
        <v>24</v>
      </c>
      <c r="E293" t="s">
        <v>103</v>
      </c>
      <c r="F293" t="s">
        <v>58</v>
      </c>
      <c r="G293" t="s">
        <v>59</v>
      </c>
      <c r="H293" t="s">
        <v>41</v>
      </c>
      <c r="I293" t="s">
        <v>42</v>
      </c>
      <c r="J293" t="s">
        <v>30</v>
      </c>
      <c r="K293" t="s">
        <v>75</v>
      </c>
      <c r="L293" s="2">
        <v>0.375</v>
      </c>
      <c r="M293" s="2">
        <v>0.75</v>
      </c>
      <c r="N293">
        <v>8</v>
      </c>
      <c r="O293">
        <v>0</v>
      </c>
      <c r="P293" t="s">
        <v>32</v>
      </c>
      <c r="S293" t="s">
        <v>33</v>
      </c>
      <c r="T293" t="s">
        <v>46</v>
      </c>
      <c r="V293" t="s">
        <v>35</v>
      </c>
    </row>
    <row r="294" spans="1:22" x14ac:dyDescent="0.3">
      <c r="A294" t="s">
        <v>480</v>
      </c>
      <c r="B294" s="3">
        <v>45802</v>
      </c>
      <c r="C294" t="s">
        <v>57</v>
      </c>
      <c r="D294" t="s">
        <v>24</v>
      </c>
      <c r="E294" t="s">
        <v>103</v>
      </c>
      <c r="F294" t="s">
        <v>62</v>
      </c>
      <c r="G294" t="s">
        <v>63</v>
      </c>
      <c r="H294" t="s">
        <v>64</v>
      </c>
      <c r="I294" t="s">
        <v>65</v>
      </c>
      <c r="J294" t="s">
        <v>66</v>
      </c>
      <c r="K294" t="s">
        <v>75</v>
      </c>
      <c r="L294" s="2">
        <v>0.375</v>
      </c>
      <c r="M294" s="2">
        <v>0.75</v>
      </c>
      <c r="N294">
        <v>8</v>
      </c>
      <c r="O294">
        <v>0</v>
      </c>
      <c r="P294" t="s">
        <v>32</v>
      </c>
      <c r="R294">
        <v>5</v>
      </c>
      <c r="S294" t="s">
        <v>45</v>
      </c>
      <c r="T294" t="s">
        <v>68</v>
      </c>
      <c r="U294" t="s">
        <v>85</v>
      </c>
      <c r="V294" t="s">
        <v>69</v>
      </c>
    </row>
    <row r="295" spans="1:22" x14ac:dyDescent="0.3">
      <c r="A295" t="s">
        <v>481</v>
      </c>
      <c r="B295" s="1">
        <v>45722</v>
      </c>
      <c r="C295" t="s">
        <v>71</v>
      </c>
      <c r="D295" t="s">
        <v>50</v>
      </c>
      <c r="E295" t="s">
        <v>25</v>
      </c>
      <c r="F295" t="s">
        <v>52</v>
      </c>
      <c r="G295" t="s">
        <v>53</v>
      </c>
      <c r="H295" t="s">
        <v>41</v>
      </c>
      <c r="I295" t="s">
        <v>42</v>
      </c>
      <c r="J295" t="s">
        <v>43</v>
      </c>
      <c r="K295" t="s">
        <v>31</v>
      </c>
      <c r="L295" s="2">
        <v>0.375</v>
      </c>
      <c r="M295" s="2">
        <v>0.75</v>
      </c>
      <c r="N295">
        <v>8</v>
      </c>
      <c r="O295">
        <v>0</v>
      </c>
      <c r="P295" t="s">
        <v>32</v>
      </c>
      <c r="S295" t="s">
        <v>67</v>
      </c>
      <c r="T295" t="s">
        <v>46</v>
      </c>
    </row>
    <row r="296" spans="1:22" x14ac:dyDescent="0.3">
      <c r="A296" t="s">
        <v>482</v>
      </c>
      <c r="B296" s="3">
        <v>45658</v>
      </c>
      <c r="C296" t="s">
        <v>49</v>
      </c>
      <c r="D296" t="s">
        <v>50</v>
      </c>
      <c r="E296" t="s">
        <v>51</v>
      </c>
      <c r="F296" t="s">
        <v>204</v>
      </c>
      <c r="G296" t="s">
        <v>205</v>
      </c>
      <c r="H296" t="s">
        <v>90</v>
      </c>
      <c r="I296" t="s">
        <v>91</v>
      </c>
      <c r="J296" t="s">
        <v>74</v>
      </c>
      <c r="K296" t="s">
        <v>54</v>
      </c>
      <c r="L296" s="2">
        <v>0.375</v>
      </c>
      <c r="M296" s="2">
        <v>0.75</v>
      </c>
      <c r="N296">
        <v>8</v>
      </c>
      <c r="O296">
        <v>0</v>
      </c>
      <c r="P296" t="s">
        <v>32</v>
      </c>
      <c r="R296">
        <v>4</v>
      </c>
      <c r="S296" t="s">
        <v>33</v>
      </c>
      <c r="T296" t="s">
        <v>93</v>
      </c>
      <c r="U296" t="s">
        <v>55</v>
      </c>
      <c r="V296" t="s">
        <v>69</v>
      </c>
    </row>
    <row r="297" spans="1:22" x14ac:dyDescent="0.3">
      <c r="A297" t="s">
        <v>483</v>
      </c>
      <c r="B297" s="3">
        <v>45679</v>
      </c>
      <c r="C297" t="s">
        <v>49</v>
      </c>
      <c r="D297" t="s">
        <v>50</v>
      </c>
      <c r="E297" t="s">
        <v>51</v>
      </c>
      <c r="F297" t="s">
        <v>154</v>
      </c>
      <c r="G297" t="s">
        <v>155</v>
      </c>
      <c r="H297" t="s">
        <v>41</v>
      </c>
      <c r="I297" t="s">
        <v>42</v>
      </c>
      <c r="J297" t="s">
        <v>74</v>
      </c>
      <c r="K297" t="s">
        <v>75</v>
      </c>
      <c r="L297" s="2">
        <v>0.375</v>
      </c>
      <c r="N297">
        <v>8</v>
      </c>
      <c r="O297">
        <v>0</v>
      </c>
      <c r="P297" t="s">
        <v>32</v>
      </c>
      <c r="R297">
        <v>3</v>
      </c>
      <c r="S297" t="s">
        <v>92</v>
      </c>
      <c r="T297" t="s">
        <v>46</v>
      </c>
    </row>
    <row r="298" spans="1:22" x14ac:dyDescent="0.3">
      <c r="A298" t="s">
        <v>484</v>
      </c>
      <c r="B298" s="1">
        <v>45821</v>
      </c>
      <c r="C298" t="s">
        <v>23</v>
      </c>
      <c r="D298" t="s">
        <v>24</v>
      </c>
      <c r="E298" t="s">
        <v>119</v>
      </c>
      <c r="F298" t="s">
        <v>182</v>
      </c>
      <c r="G298" t="s">
        <v>183</v>
      </c>
      <c r="H298" t="s">
        <v>112</v>
      </c>
      <c r="I298" t="s">
        <v>113</v>
      </c>
      <c r="J298" t="s">
        <v>30</v>
      </c>
      <c r="K298" t="s">
        <v>31</v>
      </c>
      <c r="L298" s="2">
        <v>0.38194444444444442</v>
      </c>
      <c r="M298" s="2">
        <v>0.75</v>
      </c>
      <c r="N298">
        <v>8</v>
      </c>
      <c r="O298">
        <v>0</v>
      </c>
      <c r="P298" t="s">
        <v>32</v>
      </c>
      <c r="R298">
        <v>3</v>
      </c>
      <c r="S298" t="s">
        <v>92</v>
      </c>
      <c r="T298" t="s">
        <v>114</v>
      </c>
      <c r="V298" t="s">
        <v>60</v>
      </c>
    </row>
    <row r="299" spans="1:22" x14ac:dyDescent="0.3">
      <c r="A299" t="s">
        <v>485</v>
      </c>
      <c r="B299" s="1">
        <v>45838</v>
      </c>
      <c r="C299" t="s">
        <v>23</v>
      </c>
      <c r="D299" t="s">
        <v>24</v>
      </c>
      <c r="E299" t="s">
        <v>109</v>
      </c>
      <c r="F299" t="s">
        <v>185</v>
      </c>
      <c r="G299" t="s">
        <v>186</v>
      </c>
      <c r="H299" t="s">
        <v>79</v>
      </c>
      <c r="I299" t="s">
        <v>80</v>
      </c>
      <c r="J299" t="s">
        <v>66</v>
      </c>
      <c r="K299" t="s">
        <v>75</v>
      </c>
      <c r="L299" s="2">
        <v>0.375</v>
      </c>
      <c r="M299" s="2">
        <v>0.75</v>
      </c>
      <c r="N299">
        <v>8</v>
      </c>
      <c r="O299">
        <v>0</v>
      </c>
      <c r="P299" t="s">
        <v>32</v>
      </c>
      <c r="R299">
        <v>4</v>
      </c>
      <c r="S299" t="s">
        <v>92</v>
      </c>
      <c r="T299" t="s">
        <v>84</v>
      </c>
      <c r="V299" t="s">
        <v>60</v>
      </c>
    </row>
    <row r="300" spans="1:22" x14ac:dyDescent="0.3">
      <c r="A300" t="s">
        <v>486</v>
      </c>
      <c r="B300" s="1">
        <v>45767</v>
      </c>
      <c r="C300" t="s">
        <v>37</v>
      </c>
      <c r="D300" t="s">
        <v>24</v>
      </c>
      <c r="E300" t="s">
        <v>103</v>
      </c>
      <c r="F300" t="s">
        <v>148</v>
      </c>
      <c r="G300" t="s">
        <v>149</v>
      </c>
      <c r="H300" t="s">
        <v>112</v>
      </c>
      <c r="I300" t="s">
        <v>113</v>
      </c>
      <c r="J300" t="s">
        <v>43</v>
      </c>
      <c r="K300" t="s">
        <v>54</v>
      </c>
      <c r="L300" s="2">
        <v>0.38194444444444442</v>
      </c>
      <c r="M300" s="2">
        <v>0.75</v>
      </c>
      <c r="N300">
        <v>8</v>
      </c>
      <c r="O300">
        <v>0</v>
      </c>
      <c r="P300" t="s">
        <v>32</v>
      </c>
      <c r="S300" t="s">
        <v>92</v>
      </c>
      <c r="T300" t="s">
        <v>114</v>
      </c>
      <c r="U300" t="s">
        <v>85</v>
      </c>
      <c r="V300" t="s">
        <v>60</v>
      </c>
    </row>
    <row r="301" spans="1:22" x14ac:dyDescent="0.3">
      <c r="A301" t="s">
        <v>487</v>
      </c>
      <c r="B301" s="1">
        <v>45725</v>
      </c>
      <c r="C301" t="s">
        <v>71</v>
      </c>
      <c r="D301" t="s">
        <v>50</v>
      </c>
      <c r="E301" t="s">
        <v>103</v>
      </c>
      <c r="F301" t="s">
        <v>195</v>
      </c>
      <c r="G301" t="s">
        <v>196</v>
      </c>
      <c r="H301" t="s">
        <v>98</v>
      </c>
      <c r="I301" t="s">
        <v>99</v>
      </c>
      <c r="J301" t="s">
        <v>43</v>
      </c>
      <c r="K301" t="s">
        <v>44</v>
      </c>
      <c r="L301" s="2">
        <v>0.375</v>
      </c>
      <c r="M301" s="2">
        <v>0.75</v>
      </c>
      <c r="N301">
        <v>8</v>
      </c>
      <c r="O301">
        <v>0</v>
      </c>
      <c r="P301" t="s">
        <v>32</v>
      </c>
      <c r="R301">
        <v>4</v>
      </c>
      <c r="S301" t="s">
        <v>33</v>
      </c>
      <c r="T301" t="s">
        <v>101</v>
      </c>
      <c r="U301" t="s">
        <v>55</v>
      </c>
      <c r="V301" t="s">
        <v>35</v>
      </c>
    </row>
    <row r="302" spans="1:22" x14ac:dyDescent="0.3">
      <c r="A302" t="s">
        <v>488</v>
      </c>
      <c r="B302" s="3">
        <v>45723</v>
      </c>
      <c r="C302" t="s">
        <v>71</v>
      </c>
      <c r="D302" t="s">
        <v>50</v>
      </c>
      <c r="E302" t="s">
        <v>119</v>
      </c>
      <c r="F302" t="s">
        <v>39</v>
      </c>
      <c r="G302" t="s">
        <v>40</v>
      </c>
      <c r="H302" t="s">
        <v>41</v>
      </c>
      <c r="I302" t="s">
        <v>42</v>
      </c>
      <c r="J302" t="s">
        <v>43</v>
      </c>
      <c r="K302" t="s">
        <v>31</v>
      </c>
      <c r="L302" s="2">
        <v>0.375</v>
      </c>
      <c r="M302" s="2">
        <v>0.75</v>
      </c>
      <c r="N302">
        <v>8</v>
      </c>
      <c r="O302">
        <v>0</v>
      </c>
      <c r="P302" t="s">
        <v>32</v>
      </c>
      <c r="R302">
        <v>4</v>
      </c>
      <c r="S302" t="s">
        <v>45</v>
      </c>
      <c r="T302" t="s">
        <v>46</v>
      </c>
      <c r="U302" t="s">
        <v>47</v>
      </c>
    </row>
    <row r="303" spans="1:22" x14ac:dyDescent="0.3">
      <c r="A303" t="s">
        <v>489</v>
      </c>
      <c r="B303" s="3">
        <v>45726</v>
      </c>
      <c r="C303" t="s">
        <v>71</v>
      </c>
      <c r="D303" t="s">
        <v>50</v>
      </c>
      <c r="E303" t="s">
        <v>109</v>
      </c>
      <c r="F303" t="s">
        <v>215</v>
      </c>
      <c r="G303" t="s">
        <v>216</v>
      </c>
      <c r="H303" t="s">
        <v>79</v>
      </c>
      <c r="I303" t="s">
        <v>80</v>
      </c>
      <c r="J303" t="s">
        <v>30</v>
      </c>
      <c r="K303" t="s">
        <v>81</v>
      </c>
      <c r="L303" s="2">
        <v>0.91666666666666663</v>
      </c>
      <c r="M303" s="2">
        <v>0.29166666666666669</v>
      </c>
      <c r="N303">
        <v>8.5</v>
      </c>
      <c r="O303">
        <v>0.5</v>
      </c>
      <c r="P303" t="s">
        <v>32</v>
      </c>
      <c r="R303">
        <v>4</v>
      </c>
      <c r="S303" t="s">
        <v>67</v>
      </c>
      <c r="T303" t="s">
        <v>84</v>
      </c>
    </row>
    <row r="304" spans="1:22" x14ac:dyDescent="0.3">
      <c r="A304" t="s">
        <v>490</v>
      </c>
      <c r="B304" s="1">
        <v>45760</v>
      </c>
      <c r="C304" t="s">
        <v>37</v>
      </c>
      <c r="D304" t="s">
        <v>24</v>
      </c>
      <c r="E304" t="s">
        <v>103</v>
      </c>
      <c r="F304" t="s">
        <v>170</v>
      </c>
      <c r="G304" t="s">
        <v>171</v>
      </c>
      <c r="H304" t="s">
        <v>64</v>
      </c>
      <c r="I304" t="s">
        <v>65</v>
      </c>
      <c r="J304" t="s">
        <v>43</v>
      </c>
      <c r="K304" t="s">
        <v>81</v>
      </c>
      <c r="L304" s="2">
        <v>0.91666666666666663</v>
      </c>
      <c r="M304" s="2">
        <v>0.29166666666666669</v>
      </c>
      <c r="N304">
        <v>9.5</v>
      </c>
      <c r="O304">
        <v>1.5</v>
      </c>
      <c r="P304" t="s">
        <v>32</v>
      </c>
      <c r="S304" t="s">
        <v>45</v>
      </c>
      <c r="T304" t="s">
        <v>68</v>
      </c>
      <c r="U304" t="s">
        <v>85</v>
      </c>
      <c r="V304" t="s">
        <v>60</v>
      </c>
    </row>
    <row r="305" spans="1:22" x14ac:dyDescent="0.3">
      <c r="A305" t="s">
        <v>491</v>
      </c>
      <c r="B305" s="3">
        <v>45806</v>
      </c>
      <c r="C305" t="s">
        <v>57</v>
      </c>
      <c r="D305" t="s">
        <v>24</v>
      </c>
      <c r="E305" t="s">
        <v>25</v>
      </c>
      <c r="F305" t="s">
        <v>52</v>
      </c>
      <c r="G305" t="s">
        <v>53</v>
      </c>
      <c r="H305" t="s">
        <v>41</v>
      </c>
      <c r="I305" t="s">
        <v>42</v>
      </c>
      <c r="J305" t="s">
        <v>43</v>
      </c>
      <c r="K305" t="s">
        <v>81</v>
      </c>
      <c r="P305" t="s">
        <v>82</v>
      </c>
      <c r="Q305" t="s">
        <v>83</v>
      </c>
      <c r="S305" t="s">
        <v>92</v>
      </c>
      <c r="T305" t="s">
        <v>46</v>
      </c>
      <c r="U305" t="s">
        <v>47</v>
      </c>
      <c r="V305" t="s">
        <v>69</v>
      </c>
    </row>
    <row r="306" spans="1:22" x14ac:dyDescent="0.3">
      <c r="A306" t="s">
        <v>492</v>
      </c>
      <c r="B306" s="3">
        <v>45692</v>
      </c>
      <c r="C306" t="s">
        <v>95</v>
      </c>
      <c r="D306" t="s">
        <v>50</v>
      </c>
      <c r="E306" t="s">
        <v>87</v>
      </c>
      <c r="F306" t="s">
        <v>133</v>
      </c>
      <c r="G306" t="s">
        <v>134</v>
      </c>
      <c r="H306" t="s">
        <v>98</v>
      </c>
      <c r="I306" t="s">
        <v>99</v>
      </c>
      <c r="J306" t="s">
        <v>66</v>
      </c>
      <c r="K306" t="s">
        <v>81</v>
      </c>
      <c r="L306" s="2">
        <v>0.91666666666666663</v>
      </c>
      <c r="M306" s="2">
        <v>0.29166666666666669</v>
      </c>
      <c r="N306">
        <v>9</v>
      </c>
      <c r="O306">
        <v>1</v>
      </c>
      <c r="P306" t="s">
        <v>32</v>
      </c>
      <c r="S306" t="s">
        <v>45</v>
      </c>
      <c r="T306" t="s">
        <v>101</v>
      </c>
      <c r="V306" t="s">
        <v>35</v>
      </c>
    </row>
    <row r="307" spans="1:22" x14ac:dyDescent="0.3">
      <c r="A307" t="s">
        <v>493</v>
      </c>
      <c r="B307" s="3">
        <v>45688</v>
      </c>
      <c r="C307" t="s">
        <v>49</v>
      </c>
      <c r="D307" t="s">
        <v>50</v>
      </c>
      <c r="E307" t="s">
        <v>119</v>
      </c>
      <c r="F307" t="s">
        <v>26</v>
      </c>
      <c r="G307" t="s">
        <v>27</v>
      </c>
      <c r="H307" t="s">
        <v>28</v>
      </c>
      <c r="I307" t="s">
        <v>29</v>
      </c>
      <c r="J307" t="s">
        <v>30</v>
      </c>
      <c r="K307" t="s">
        <v>75</v>
      </c>
      <c r="P307" t="s">
        <v>82</v>
      </c>
      <c r="Q307" t="s">
        <v>225</v>
      </c>
      <c r="S307" t="s">
        <v>92</v>
      </c>
      <c r="T307" t="s">
        <v>34</v>
      </c>
      <c r="U307" t="s">
        <v>47</v>
      </c>
      <c r="V307" t="s">
        <v>69</v>
      </c>
    </row>
    <row r="308" spans="1:22" x14ac:dyDescent="0.3">
      <c r="A308" t="s">
        <v>494</v>
      </c>
      <c r="B308" s="3">
        <v>45789</v>
      </c>
      <c r="C308" t="s">
        <v>57</v>
      </c>
      <c r="D308" t="s">
        <v>24</v>
      </c>
      <c r="E308" t="s">
        <v>109</v>
      </c>
      <c r="F308" t="s">
        <v>185</v>
      </c>
      <c r="G308" t="s">
        <v>186</v>
      </c>
      <c r="H308" t="s">
        <v>79</v>
      </c>
      <c r="I308" t="s">
        <v>80</v>
      </c>
      <c r="J308" t="s">
        <v>66</v>
      </c>
      <c r="K308" t="s">
        <v>54</v>
      </c>
      <c r="L308" s="2">
        <v>0.375</v>
      </c>
      <c r="M308" s="2">
        <v>0.75</v>
      </c>
      <c r="N308">
        <v>8</v>
      </c>
      <c r="O308">
        <v>0</v>
      </c>
      <c r="P308" t="s">
        <v>32</v>
      </c>
      <c r="R308">
        <v>3</v>
      </c>
      <c r="S308" t="s">
        <v>67</v>
      </c>
      <c r="T308" t="s">
        <v>84</v>
      </c>
      <c r="U308" t="s">
        <v>47</v>
      </c>
    </row>
    <row r="309" spans="1:22" x14ac:dyDescent="0.3">
      <c r="A309" t="s">
        <v>495</v>
      </c>
      <c r="B309" s="3">
        <v>45734</v>
      </c>
      <c r="C309" t="s">
        <v>71</v>
      </c>
      <c r="D309" t="s">
        <v>50</v>
      </c>
      <c r="E309" t="s">
        <v>87</v>
      </c>
      <c r="F309" t="s">
        <v>305</v>
      </c>
      <c r="G309" t="s">
        <v>306</v>
      </c>
      <c r="H309" t="s">
        <v>79</v>
      </c>
      <c r="I309" t="s">
        <v>80</v>
      </c>
      <c r="J309" t="s">
        <v>74</v>
      </c>
      <c r="K309" t="s">
        <v>31</v>
      </c>
      <c r="L309" s="2">
        <v>0.375</v>
      </c>
      <c r="M309" s="2">
        <v>0.75</v>
      </c>
      <c r="N309">
        <v>8</v>
      </c>
      <c r="O309">
        <v>0</v>
      </c>
      <c r="P309" t="s">
        <v>32</v>
      </c>
      <c r="R309">
        <v>4</v>
      </c>
      <c r="S309" t="s">
        <v>45</v>
      </c>
      <c r="T309" t="s">
        <v>84</v>
      </c>
      <c r="V309" t="s">
        <v>35</v>
      </c>
    </row>
    <row r="310" spans="1:22" x14ac:dyDescent="0.3">
      <c r="A310" t="s">
        <v>496</v>
      </c>
      <c r="B310" s="1">
        <v>45683</v>
      </c>
      <c r="C310" t="s">
        <v>49</v>
      </c>
      <c r="D310" t="s">
        <v>50</v>
      </c>
      <c r="E310" t="s">
        <v>103</v>
      </c>
      <c r="F310" t="s">
        <v>258</v>
      </c>
      <c r="G310" t="s">
        <v>259</v>
      </c>
      <c r="H310" t="s">
        <v>112</v>
      </c>
      <c r="I310" t="s">
        <v>113</v>
      </c>
      <c r="J310" t="s">
        <v>74</v>
      </c>
      <c r="K310" t="s">
        <v>44</v>
      </c>
      <c r="L310" s="2">
        <v>0.38194444444444442</v>
      </c>
      <c r="M310" s="2">
        <v>0.75</v>
      </c>
      <c r="N310">
        <v>8</v>
      </c>
      <c r="O310">
        <v>0</v>
      </c>
      <c r="P310" t="s">
        <v>32</v>
      </c>
      <c r="S310" t="s">
        <v>45</v>
      </c>
      <c r="T310" t="s">
        <v>114</v>
      </c>
      <c r="U310" t="s">
        <v>85</v>
      </c>
    </row>
    <row r="311" spans="1:22" x14ac:dyDescent="0.3">
      <c r="A311" t="s">
        <v>497</v>
      </c>
      <c r="B311" s="1">
        <v>45821</v>
      </c>
      <c r="C311" t="s">
        <v>23</v>
      </c>
      <c r="D311" t="s">
        <v>24</v>
      </c>
      <c r="E311" t="s">
        <v>119</v>
      </c>
      <c r="F311" t="s">
        <v>77</v>
      </c>
      <c r="G311" t="s">
        <v>78</v>
      </c>
      <c r="H311" t="s">
        <v>79</v>
      </c>
      <c r="I311" t="s">
        <v>80</v>
      </c>
      <c r="J311" t="s">
        <v>30</v>
      </c>
      <c r="K311" t="s">
        <v>81</v>
      </c>
      <c r="L311" s="2">
        <v>0.91666666666666663</v>
      </c>
      <c r="M311" s="2">
        <v>0.29166666666666669</v>
      </c>
      <c r="N311">
        <v>9.5</v>
      </c>
      <c r="O311">
        <v>1.5</v>
      </c>
      <c r="P311" t="s">
        <v>32</v>
      </c>
      <c r="R311">
        <v>3</v>
      </c>
      <c r="S311" t="s">
        <v>92</v>
      </c>
      <c r="T311" t="s">
        <v>84</v>
      </c>
      <c r="U311" t="s">
        <v>55</v>
      </c>
      <c r="V311" t="s">
        <v>69</v>
      </c>
    </row>
    <row r="312" spans="1:22" x14ac:dyDescent="0.3">
      <c r="A312" t="s">
        <v>498</v>
      </c>
      <c r="B312" s="3">
        <v>45714</v>
      </c>
      <c r="C312" t="s">
        <v>95</v>
      </c>
      <c r="D312" t="s">
        <v>50</v>
      </c>
      <c r="E312" t="s">
        <v>51</v>
      </c>
      <c r="F312" t="s">
        <v>77</v>
      </c>
      <c r="G312" t="s">
        <v>78</v>
      </c>
      <c r="H312" t="s">
        <v>79</v>
      </c>
      <c r="I312" t="s">
        <v>80</v>
      </c>
      <c r="J312" t="s">
        <v>30</v>
      </c>
      <c r="K312" t="s">
        <v>44</v>
      </c>
      <c r="L312" s="2">
        <v>0.375</v>
      </c>
      <c r="M312" s="2">
        <v>0.75</v>
      </c>
      <c r="N312">
        <v>8</v>
      </c>
      <c r="O312">
        <v>0</v>
      </c>
      <c r="P312" t="s">
        <v>32</v>
      </c>
      <c r="R312">
        <v>3</v>
      </c>
      <c r="S312" t="s">
        <v>33</v>
      </c>
      <c r="T312" t="s">
        <v>84</v>
      </c>
      <c r="U312" t="s">
        <v>47</v>
      </c>
      <c r="V312" t="s">
        <v>35</v>
      </c>
    </row>
    <row r="313" spans="1:22" x14ac:dyDescent="0.3">
      <c r="A313" t="s">
        <v>499</v>
      </c>
      <c r="B313" s="1">
        <v>45794</v>
      </c>
      <c r="C313" t="s">
        <v>57</v>
      </c>
      <c r="D313" t="s">
        <v>24</v>
      </c>
      <c r="E313" t="s">
        <v>38</v>
      </c>
      <c r="F313" t="s">
        <v>170</v>
      </c>
      <c r="G313" t="s">
        <v>171</v>
      </c>
      <c r="H313" t="s">
        <v>64</v>
      </c>
      <c r="I313" t="s">
        <v>65</v>
      </c>
      <c r="J313" t="s">
        <v>43</v>
      </c>
      <c r="K313" t="s">
        <v>75</v>
      </c>
      <c r="L313" s="2">
        <v>0.375</v>
      </c>
      <c r="M313" s="2">
        <v>0.75</v>
      </c>
      <c r="N313">
        <v>8</v>
      </c>
      <c r="O313">
        <v>0</v>
      </c>
      <c r="P313" t="s">
        <v>32</v>
      </c>
      <c r="S313" t="s">
        <v>45</v>
      </c>
      <c r="T313" t="s">
        <v>68</v>
      </c>
      <c r="V313" t="s">
        <v>60</v>
      </c>
    </row>
    <row r="314" spans="1:22" x14ac:dyDescent="0.3">
      <c r="A314" t="s">
        <v>500</v>
      </c>
      <c r="B314" s="3">
        <v>45739</v>
      </c>
      <c r="C314" t="s">
        <v>71</v>
      </c>
      <c r="D314" t="s">
        <v>50</v>
      </c>
      <c r="E314" t="s">
        <v>103</v>
      </c>
      <c r="F314" t="s">
        <v>240</v>
      </c>
      <c r="G314" t="s">
        <v>241</v>
      </c>
      <c r="H314" t="s">
        <v>41</v>
      </c>
      <c r="I314" t="s">
        <v>42</v>
      </c>
      <c r="J314" t="s">
        <v>66</v>
      </c>
      <c r="K314" t="s">
        <v>54</v>
      </c>
      <c r="L314" s="2">
        <v>0.375</v>
      </c>
      <c r="M314" s="2">
        <v>0.75</v>
      </c>
      <c r="N314">
        <v>8</v>
      </c>
      <c r="O314">
        <v>0</v>
      </c>
      <c r="P314" t="s">
        <v>32</v>
      </c>
      <c r="R314">
        <v>4</v>
      </c>
      <c r="S314" t="s">
        <v>92</v>
      </c>
      <c r="T314" t="s">
        <v>46</v>
      </c>
      <c r="U314" t="s">
        <v>85</v>
      </c>
      <c r="V314" t="s">
        <v>35</v>
      </c>
    </row>
    <row r="315" spans="1:22" x14ac:dyDescent="0.3">
      <c r="A315" t="s">
        <v>501</v>
      </c>
      <c r="B315" s="3">
        <v>45838</v>
      </c>
      <c r="C315" t="s">
        <v>23</v>
      </c>
      <c r="D315" t="s">
        <v>24</v>
      </c>
      <c r="E315" t="s">
        <v>109</v>
      </c>
      <c r="F315" t="s">
        <v>163</v>
      </c>
      <c r="G315" t="s">
        <v>164</v>
      </c>
      <c r="H315" t="s">
        <v>112</v>
      </c>
      <c r="I315" t="s">
        <v>113</v>
      </c>
      <c r="J315" t="s">
        <v>100</v>
      </c>
      <c r="K315" t="s">
        <v>44</v>
      </c>
      <c r="L315" s="2">
        <v>0.375</v>
      </c>
      <c r="M315" s="2">
        <v>0.75</v>
      </c>
      <c r="N315">
        <v>8</v>
      </c>
      <c r="O315">
        <v>0</v>
      </c>
      <c r="P315" t="s">
        <v>32</v>
      </c>
      <c r="R315">
        <v>4</v>
      </c>
      <c r="S315" t="s">
        <v>45</v>
      </c>
      <c r="T315" t="s">
        <v>114</v>
      </c>
      <c r="U315" t="s">
        <v>55</v>
      </c>
      <c r="V315" t="s">
        <v>60</v>
      </c>
    </row>
    <row r="316" spans="1:22" x14ac:dyDescent="0.3">
      <c r="A316" t="s">
        <v>502</v>
      </c>
      <c r="B316" s="1">
        <v>45700</v>
      </c>
      <c r="C316" t="s">
        <v>95</v>
      </c>
      <c r="D316" t="s">
        <v>50</v>
      </c>
      <c r="E316" t="s">
        <v>51</v>
      </c>
      <c r="F316" t="s">
        <v>127</v>
      </c>
      <c r="G316" t="s">
        <v>128</v>
      </c>
      <c r="H316" t="s">
        <v>90</v>
      </c>
      <c r="I316" t="s">
        <v>91</v>
      </c>
      <c r="J316" t="s">
        <v>66</v>
      </c>
      <c r="K316" t="s">
        <v>44</v>
      </c>
      <c r="P316" t="s">
        <v>82</v>
      </c>
      <c r="Q316" t="s">
        <v>225</v>
      </c>
      <c r="S316" t="s">
        <v>45</v>
      </c>
      <c r="T316" t="s">
        <v>93</v>
      </c>
      <c r="U316" t="s">
        <v>55</v>
      </c>
      <c r="V316" t="s">
        <v>60</v>
      </c>
    </row>
    <row r="317" spans="1:22" x14ac:dyDescent="0.3">
      <c r="A317" t="s">
        <v>503</v>
      </c>
      <c r="B317" s="1">
        <v>45747</v>
      </c>
      <c r="C317" t="s">
        <v>71</v>
      </c>
      <c r="D317" t="s">
        <v>50</v>
      </c>
      <c r="E317" t="s">
        <v>109</v>
      </c>
      <c r="F317" t="s">
        <v>504</v>
      </c>
      <c r="G317" t="s">
        <v>505</v>
      </c>
      <c r="H317" t="s">
        <v>98</v>
      </c>
      <c r="I317" t="s">
        <v>99</v>
      </c>
      <c r="J317" t="s">
        <v>100</v>
      </c>
      <c r="K317" t="s">
        <v>54</v>
      </c>
      <c r="L317" s="2">
        <v>0.375</v>
      </c>
      <c r="M317" s="2">
        <v>0.75</v>
      </c>
      <c r="N317">
        <v>8</v>
      </c>
      <c r="O317">
        <v>0</v>
      </c>
      <c r="P317" t="s">
        <v>32</v>
      </c>
      <c r="R317">
        <v>5</v>
      </c>
      <c r="S317" t="s">
        <v>67</v>
      </c>
      <c r="T317" t="s">
        <v>101</v>
      </c>
      <c r="U317" t="s">
        <v>55</v>
      </c>
      <c r="V317" t="s">
        <v>60</v>
      </c>
    </row>
    <row r="318" spans="1:22" x14ac:dyDescent="0.3">
      <c r="A318" t="s">
        <v>506</v>
      </c>
      <c r="B318" s="3">
        <v>45735</v>
      </c>
      <c r="C318" t="s">
        <v>71</v>
      </c>
      <c r="D318" t="s">
        <v>50</v>
      </c>
      <c r="E318" t="s">
        <v>51</v>
      </c>
      <c r="F318" t="s">
        <v>204</v>
      </c>
      <c r="G318" t="s">
        <v>205</v>
      </c>
      <c r="H318" t="s">
        <v>90</v>
      </c>
      <c r="I318" t="s">
        <v>91</v>
      </c>
      <c r="J318" t="s">
        <v>74</v>
      </c>
      <c r="K318" t="s">
        <v>44</v>
      </c>
      <c r="L318" s="2">
        <v>0.375</v>
      </c>
      <c r="M318" s="2">
        <v>0.75</v>
      </c>
      <c r="N318">
        <v>8</v>
      </c>
      <c r="O318">
        <v>0</v>
      </c>
      <c r="P318" t="s">
        <v>32</v>
      </c>
      <c r="S318" t="s">
        <v>33</v>
      </c>
      <c r="T318" t="s">
        <v>93</v>
      </c>
      <c r="V318" t="s">
        <v>69</v>
      </c>
    </row>
    <row r="319" spans="1:22" x14ac:dyDescent="0.3">
      <c r="A319" t="s">
        <v>507</v>
      </c>
      <c r="B319" s="3">
        <v>45728</v>
      </c>
      <c r="C319" t="s">
        <v>71</v>
      </c>
      <c r="D319" t="s">
        <v>50</v>
      </c>
      <c r="E319" t="s">
        <v>51</v>
      </c>
      <c r="F319" t="s">
        <v>88</v>
      </c>
      <c r="G319" t="s">
        <v>89</v>
      </c>
      <c r="H319" t="s">
        <v>90</v>
      </c>
      <c r="I319" t="s">
        <v>91</v>
      </c>
      <c r="J319" t="s">
        <v>43</v>
      </c>
      <c r="K319" t="s">
        <v>31</v>
      </c>
      <c r="L319" s="2">
        <v>0.375</v>
      </c>
      <c r="M319" s="2">
        <v>0.75</v>
      </c>
      <c r="N319">
        <v>8</v>
      </c>
      <c r="O319">
        <v>0</v>
      </c>
      <c r="P319" t="s">
        <v>32</v>
      </c>
      <c r="R319">
        <v>4</v>
      </c>
      <c r="S319" t="s">
        <v>92</v>
      </c>
      <c r="T319" t="s">
        <v>93</v>
      </c>
      <c r="V319" t="s">
        <v>60</v>
      </c>
    </row>
    <row r="320" spans="1:22" x14ac:dyDescent="0.3">
      <c r="A320" t="s">
        <v>508</v>
      </c>
      <c r="B320" s="1">
        <v>45706</v>
      </c>
      <c r="C320" t="s">
        <v>95</v>
      </c>
      <c r="D320" t="s">
        <v>50</v>
      </c>
      <c r="E320" t="s">
        <v>87</v>
      </c>
      <c r="F320" t="s">
        <v>62</v>
      </c>
      <c r="G320" t="s">
        <v>63</v>
      </c>
      <c r="H320" t="s">
        <v>64</v>
      </c>
      <c r="I320" t="s">
        <v>65</v>
      </c>
      <c r="J320" t="s">
        <v>66</v>
      </c>
      <c r="K320" t="s">
        <v>44</v>
      </c>
      <c r="L320" s="2">
        <v>0.375</v>
      </c>
      <c r="M320" s="2">
        <v>0.75</v>
      </c>
      <c r="N320">
        <v>8</v>
      </c>
      <c r="O320">
        <v>0</v>
      </c>
      <c r="P320" t="s">
        <v>32</v>
      </c>
      <c r="R320">
        <v>4</v>
      </c>
      <c r="S320" t="s">
        <v>67</v>
      </c>
      <c r="T320" t="s">
        <v>68</v>
      </c>
      <c r="U320" t="s">
        <v>85</v>
      </c>
    </row>
    <row r="321" spans="1:22" x14ac:dyDescent="0.3">
      <c r="A321" t="s">
        <v>509</v>
      </c>
      <c r="B321" s="1">
        <v>45676</v>
      </c>
      <c r="C321" t="s">
        <v>49</v>
      </c>
      <c r="D321" t="s">
        <v>50</v>
      </c>
      <c r="E321" t="s">
        <v>103</v>
      </c>
      <c r="F321" t="s">
        <v>275</v>
      </c>
      <c r="G321" t="s">
        <v>276</v>
      </c>
      <c r="H321" t="s">
        <v>64</v>
      </c>
      <c r="I321" t="s">
        <v>65</v>
      </c>
      <c r="J321" t="s">
        <v>100</v>
      </c>
      <c r="K321" t="s">
        <v>81</v>
      </c>
      <c r="M321" s="2">
        <v>0.29166666666666669</v>
      </c>
      <c r="N321">
        <v>9.5</v>
      </c>
      <c r="O321">
        <v>1.5</v>
      </c>
      <c r="P321" t="s">
        <v>32</v>
      </c>
      <c r="R321">
        <v>4</v>
      </c>
      <c r="S321" t="s">
        <v>45</v>
      </c>
      <c r="T321" t="s">
        <v>68</v>
      </c>
      <c r="V321" t="s">
        <v>69</v>
      </c>
    </row>
    <row r="322" spans="1:22" x14ac:dyDescent="0.3">
      <c r="A322" t="s">
        <v>510</v>
      </c>
      <c r="B322" s="3">
        <v>45729</v>
      </c>
      <c r="C322" t="s">
        <v>71</v>
      </c>
      <c r="D322" t="s">
        <v>50</v>
      </c>
      <c r="E322" t="s">
        <v>25</v>
      </c>
      <c r="F322" t="s">
        <v>204</v>
      </c>
      <c r="G322" t="s">
        <v>205</v>
      </c>
      <c r="H322" t="s">
        <v>90</v>
      </c>
      <c r="I322" t="s">
        <v>91</v>
      </c>
      <c r="J322" t="s">
        <v>74</v>
      </c>
      <c r="K322" t="s">
        <v>31</v>
      </c>
      <c r="L322" s="2">
        <v>0.375</v>
      </c>
      <c r="M322" s="2">
        <v>0.75</v>
      </c>
      <c r="N322">
        <v>8</v>
      </c>
      <c r="O322">
        <v>0</v>
      </c>
      <c r="P322" t="s">
        <v>32</v>
      </c>
      <c r="R322">
        <v>3</v>
      </c>
      <c r="S322" t="s">
        <v>33</v>
      </c>
      <c r="T322" t="s">
        <v>93</v>
      </c>
      <c r="U322" t="s">
        <v>47</v>
      </c>
    </row>
    <row r="323" spans="1:22" x14ac:dyDescent="0.3">
      <c r="A323" t="s">
        <v>511</v>
      </c>
      <c r="B323" s="3">
        <v>45810</v>
      </c>
      <c r="C323" t="s">
        <v>23</v>
      </c>
      <c r="D323" t="s">
        <v>24</v>
      </c>
      <c r="E323" t="s">
        <v>109</v>
      </c>
      <c r="F323" t="s">
        <v>228</v>
      </c>
      <c r="G323" t="s">
        <v>229</v>
      </c>
      <c r="H323" t="s">
        <v>79</v>
      </c>
      <c r="I323" t="s">
        <v>80</v>
      </c>
      <c r="J323" t="s">
        <v>43</v>
      </c>
      <c r="K323" t="s">
        <v>44</v>
      </c>
      <c r="L323" s="2">
        <v>0.375</v>
      </c>
      <c r="M323" s="2">
        <v>0.75</v>
      </c>
      <c r="N323">
        <v>8</v>
      </c>
      <c r="O323">
        <v>0</v>
      </c>
      <c r="P323" t="s">
        <v>32</v>
      </c>
      <c r="R323">
        <v>5</v>
      </c>
      <c r="S323" t="s">
        <v>67</v>
      </c>
      <c r="T323" t="s">
        <v>84</v>
      </c>
      <c r="U323" t="s">
        <v>47</v>
      </c>
      <c r="V323" t="s">
        <v>35</v>
      </c>
    </row>
    <row r="324" spans="1:22" x14ac:dyDescent="0.3">
      <c r="A324" t="s">
        <v>512</v>
      </c>
      <c r="B324" s="1">
        <v>45723</v>
      </c>
      <c r="C324" t="s">
        <v>71</v>
      </c>
      <c r="D324" t="s">
        <v>50</v>
      </c>
      <c r="E324" t="s">
        <v>119</v>
      </c>
      <c r="F324" t="s">
        <v>195</v>
      </c>
      <c r="G324" t="s">
        <v>196</v>
      </c>
      <c r="H324" t="s">
        <v>98</v>
      </c>
      <c r="I324" t="s">
        <v>99</v>
      </c>
      <c r="J324" t="s">
        <v>43</v>
      </c>
      <c r="K324" t="s">
        <v>75</v>
      </c>
      <c r="P324" t="s">
        <v>135</v>
      </c>
      <c r="S324" t="s">
        <v>67</v>
      </c>
      <c r="T324" t="s">
        <v>101</v>
      </c>
      <c r="U324" t="s">
        <v>85</v>
      </c>
    </row>
    <row r="325" spans="1:22" x14ac:dyDescent="0.3">
      <c r="A325" t="s">
        <v>513</v>
      </c>
      <c r="B325" s="3">
        <v>45676</v>
      </c>
      <c r="C325" t="s">
        <v>49</v>
      </c>
      <c r="D325" t="s">
        <v>50</v>
      </c>
      <c r="E325" t="s">
        <v>103</v>
      </c>
      <c r="F325" t="s">
        <v>77</v>
      </c>
      <c r="G325" t="s">
        <v>78</v>
      </c>
      <c r="H325" t="s">
        <v>79</v>
      </c>
      <c r="I325" t="s">
        <v>80</v>
      </c>
      <c r="J325" t="s">
        <v>30</v>
      </c>
      <c r="K325" t="s">
        <v>54</v>
      </c>
      <c r="L325" s="2">
        <v>0.375</v>
      </c>
      <c r="M325" s="2">
        <v>0.75</v>
      </c>
      <c r="N325">
        <v>8</v>
      </c>
      <c r="O325">
        <v>0</v>
      </c>
      <c r="P325" t="s">
        <v>32</v>
      </c>
      <c r="R325">
        <v>5</v>
      </c>
      <c r="S325" t="s">
        <v>45</v>
      </c>
      <c r="T325" t="s">
        <v>84</v>
      </c>
      <c r="U325" t="s">
        <v>55</v>
      </c>
      <c r="V325" t="s">
        <v>60</v>
      </c>
    </row>
    <row r="326" spans="1:22" x14ac:dyDescent="0.3">
      <c r="A326" t="s">
        <v>514</v>
      </c>
      <c r="B326" s="3">
        <v>45819</v>
      </c>
      <c r="C326" t="s">
        <v>23</v>
      </c>
      <c r="D326" t="s">
        <v>24</v>
      </c>
      <c r="E326" t="s">
        <v>51</v>
      </c>
      <c r="F326" t="s">
        <v>215</v>
      </c>
      <c r="G326" t="s">
        <v>216</v>
      </c>
      <c r="H326" t="s">
        <v>79</v>
      </c>
      <c r="I326" t="s">
        <v>80</v>
      </c>
      <c r="J326" t="s">
        <v>30</v>
      </c>
      <c r="K326" t="s">
        <v>75</v>
      </c>
      <c r="P326" t="s">
        <v>135</v>
      </c>
      <c r="S326" t="s">
        <v>92</v>
      </c>
      <c r="T326" t="s">
        <v>84</v>
      </c>
      <c r="V326" t="s">
        <v>35</v>
      </c>
    </row>
    <row r="327" spans="1:22" x14ac:dyDescent="0.3">
      <c r="A327" t="s">
        <v>515</v>
      </c>
      <c r="B327" s="1">
        <v>45690</v>
      </c>
      <c r="C327" t="s">
        <v>95</v>
      </c>
      <c r="D327" t="s">
        <v>50</v>
      </c>
      <c r="E327" t="s">
        <v>103</v>
      </c>
      <c r="F327" t="s">
        <v>133</v>
      </c>
      <c r="G327" t="s">
        <v>134</v>
      </c>
      <c r="H327" t="s">
        <v>98</v>
      </c>
      <c r="I327" t="s">
        <v>99</v>
      </c>
      <c r="J327" t="s">
        <v>66</v>
      </c>
      <c r="K327" t="s">
        <v>44</v>
      </c>
      <c r="M327" s="2">
        <v>0.75</v>
      </c>
      <c r="N327">
        <v>8</v>
      </c>
      <c r="O327">
        <v>0</v>
      </c>
      <c r="P327" t="s">
        <v>32</v>
      </c>
      <c r="R327">
        <v>3</v>
      </c>
      <c r="S327" t="s">
        <v>45</v>
      </c>
      <c r="T327" t="s">
        <v>101</v>
      </c>
      <c r="U327" t="s">
        <v>55</v>
      </c>
    </row>
    <row r="328" spans="1:22" x14ac:dyDescent="0.3">
      <c r="A328" t="s">
        <v>516</v>
      </c>
      <c r="B328" s="3">
        <v>45745</v>
      </c>
      <c r="C328" t="s">
        <v>71</v>
      </c>
      <c r="D328" t="s">
        <v>50</v>
      </c>
      <c r="E328" t="s">
        <v>38</v>
      </c>
      <c r="F328" t="s">
        <v>124</v>
      </c>
      <c r="G328" t="s">
        <v>125</v>
      </c>
      <c r="H328" t="s">
        <v>28</v>
      </c>
      <c r="I328" t="s">
        <v>29</v>
      </c>
      <c r="J328" t="s">
        <v>66</v>
      </c>
      <c r="K328" t="s">
        <v>75</v>
      </c>
      <c r="L328" s="2">
        <v>0.375</v>
      </c>
      <c r="M328" s="2">
        <v>0.75</v>
      </c>
      <c r="N328">
        <v>8</v>
      </c>
      <c r="O328">
        <v>0</v>
      </c>
      <c r="P328" t="s">
        <v>32</v>
      </c>
      <c r="R328">
        <v>4</v>
      </c>
      <c r="S328" t="s">
        <v>33</v>
      </c>
      <c r="T328" t="s">
        <v>34</v>
      </c>
      <c r="U328" t="s">
        <v>55</v>
      </c>
      <c r="V328" t="s">
        <v>35</v>
      </c>
    </row>
    <row r="329" spans="1:22" x14ac:dyDescent="0.3">
      <c r="A329" t="s">
        <v>517</v>
      </c>
      <c r="B329" s="3">
        <v>45757</v>
      </c>
      <c r="C329" t="s">
        <v>37</v>
      </c>
      <c r="D329" t="s">
        <v>24</v>
      </c>
      <c r="E329" t="s">
        <v>25</v>
      </c>
      <c r="F329" t="s">
        <v>266</v>
      </c>
      <c r="G329" t="s">
        <v>267</v>
      </c>
      <c r="H329" t="s">
        <v>98</v>
      </c>
      <c r="I329" t="s">
        <v>99</v>
      </c>
      <c r="J329" t="s">
        <v>66</v>
      </c>
      <c r="K329" t="s">
        <v>31</v>
      </c>
      <c r="L329" s="2">
        <v>0.375</v>
      </c>
      <c r="M329" s="2">
        <v>0.75</v>
      </c>
      <c r="N329">
        <v>8</v>
      </c>
      <c r="O329">
        <v>0</v>
      </c>
      <c r="P329" t="s">
        <v>32</v>
      </c>
      <c r="R329">
        <v>4</v>
      </c>
      <c r="S329" t="s">
        <v>92</v>
      </c>
      <c r="T329" t="s">
        <v>101</v>
      </c>
      <c r="U329" t="s">
        <v>55</v>
      </c>
      <c r="V329" t="s">
        <v>35</v>
      </c>
    </row>
    <row r="330" spans="1:22" x14ac:dyDescent="0.3">
      <c r="A330" t="s">
        <v>518</v>
      </c>
      <c r="B330" s="3">
        <v>45744</v>
      </c>
      <c r="C330" t="s">
        <v>71</v>
      </c>
      <c r="D330" t="s">
        <v>50</v>
      </c>
      <c r="E330" t="s">
        <v>119</v>
      </c>
      <c r="F330" t="s">
        <v>163</v>
      </c>
      <c r="G330" t="s">
        <v>164</v>
      </c>
      <c r="H330" t="s">
        <v>112</v>
      </c>
      <c r="I330" t="s">
        <v>113</v>
      </c>
      <c r="J330" t="s">
        <v>100</v>
      </c>
      <c r="K330" t="s">
        <v>75</v>
      </c>
      <c r="L330" s="2">
        <v>0.39930555555555558</v>
      </c>
      <c r="M330" s="2">
        <v>0.75</v>
      </c>
      <c r="N330">
        <v>8</v>
      </c>
      <c r="O330">
        <v>0</v>
      </c>
      <c r="P330" t="s">
        <v>32</v>
      </c>
      <c r="S330" t="s">
        <v>33</v>
      </c>
      <c r="T330" t="s">
        <v>114</v>
      </c>
      <c r="U330" t="s">
        <v>47</v>
      </c>
      <c r="V330" t="s">
        <v>35</v>
      </c>
    </row>
    <row r="331" spans="1:22" x14ac:dyDescent="0.3">
      <c r="A331" t="s">
        <v>519</v>
      </c>
      <c r="B331" s="3">
        <v>45662</v>
      </c>
      <c r="C331" t="s">
        <v>49</v>
      </c>
      <c r="D331" t="s">
        <v>50</v>
      </c>
      <c r="E331" t="s">
        <v>103</v>
      </c>
      <c r="F331" t="s">
        <v>275</v>
      </c>
      <c r="G331" t="s">
        <v>276</v>
      </c>
      <c r="H331" t="s">
        <v>64</v>
      </c>
      <c r="I331" t="s">
        <v>65</v>
      </c>
      <c r="J331" t="s">
        <v>100</v>
      </c>
      <c r="K331" t="s">
        <v>75</v>
      </c>
      <c r="L331" s="2">
        <v>0.375</v>
      </c>
      <c r="M331" s="2">
        <v>0.75</v>
      </c>
      <c r="N331">
        <v>10</v>
      </c>
      <c r="O331">
        <v>2</v>
      </c>
      <c r="P331" t="s">
        <v>32</v>
      </c>
      <c r="R331">
        <v>4</v>
      </c>
      <c r="S331" t="s">
        <v>67</v>
      </c>
      <c r="T331" t="s">
        <v>68</v>
      </c>
      <c r="U331" t="s">
        <v>85</v>
      </c>
      <c r="V331" t="s">
        <v>35</v>
      </c>
    </row>
    <row r="332" spans="1:22" x14ac:dyDescent="0.3">
      <c r="A332" t="s">
        <v>520</v>
      </c>
      <c r="B332" s="3">
        <v>45692</v>
      </c>
      <c r="C332" t="s">
        <v>95</v>
      </c>
      <c r="D332" t="s">
        <v>50</v>
      </c>
      <c r="E332" t="s">
        <v>87</v>
      </c>
      <c r="F332" t="s">
        <v>192</v>
      </c>
      <c r="G332" t="s">
        <v>193</v>
      </c>
      <c r="H332" t="s">
        <v>79</v>
      </c>
      <c r="I332" t="s">
        <v>80</v>
      </c>
      <c r="J332" t="s">
        <v>66</v>
      </c>
      <c r="K332" t="s">
        <v>44</v>
      </c>
      <c r="P332" t="s">
        <v>82</v>
      </c>
      <c r="Q332" t="s">
        <v>225</v>
      </c>
      <c r="S332" t="s">
        <v>45</v>
      </c>
      <c r="T332" t="s">
        <v>84</v>
      </c>
      <c r="U332" t="s">
        <v>55</v>
      </c>
      <c r="V332" t="s">
        <v>35</v>
      </c>
    </row>
    <row r="333" spans="1:22" x14ac:dyDescent="0.3">
      <c r="A333" t="s">
        <v>521</v>
      </c>
      <c r="B333" s="1">
        <v>45678</v>
      </c>
      <c r="C333" t="s">
        <v>49</v>
      </c>
      <c r="D333" t="s">
        <v>50</v>
      </c>
      <c r="E333" t="s">
        <v>87</v>
      </c>
      <c r="F333" t="s">
        <v>148</v>
      </c>
      <c r="G333" t="s">
        <v>149</v>
      </c>
      <c r="H333" t="s">
        <v>112</v>
      </c>
      <c r="I333" t="s">
        <v>113</v>
      </c>
      <c r="J333" t="s">
        <v>43</v>
      </c>
      <c r="K333" t="s">
        <v>44</v>
      </c>
      <c r="L333" s="2">
        <v>0.3888888888888889</v>
      </c>
      <c r="M333" s="2">
        <v>0.75</v>
      </c>
      <c r="N333">
        <v>8</v>
      </c>
      <c r="O333">
        <v>0</v>
      </c>
      <c r="P333" t="s">
        <v>32</v>
      </c>
      <c r="S333" t="s">
        <v>92</v>
      </c>
      <c r="T333" t="s">
        <v>114</v>
      </c>
      <c r="V333" t="s">
        <v>60</v>
      </c>
    </row>
    <row r="334" spans="1:22" x14ac:dyDescent="0.3">
      <c r="A334" t="s">
        <v>522</v>
      </c>
      <c r="B334" s="3">
        <v>45797</v>
      </c>
      <c r="C334" t="s">
        <v>57</v>
      </c>
      <c r="D334" t="s">
        <v>24</v>
      </c>
      <c r="E334" t="s">
        <v>87</v>
      </c>
      <c r="F334" t="s">
        <v>124</v>
      </c>
      <c r="G334" t="s">
        <v>125</v>
      </c>
      <c r="H334" t="s">
        <v>28</v>
      </c>
      <c r="I334" t="s">
        <v>29</v>
      </c>
      <c r="J334" t="s">
        <v>66</v>
      </c>
      <c r="K334" t="s">
        <v>75</v>
      </c>
      <c r="L334" s="2">
        <v>0.375</v>
      </c>
      <c r="M334" s="2">
        <v>0.75</v>
      </c>
      <c r="N334">
        <v>8</v>
      </c>
      <c r="O334">
        <v>0</v>
      </c>
      <c r="P334" t="s">
        <v>32</v>
      </c>
      <c r="R334">
        <v>4</v>
      </c>
      <c r="S334" t="s">
        <v>67</v>
      </c>
      <c r="T334" t="s">
        <v>34</v>
      </c>
      <c r="U334" t="s">
        <v>85</v>
      </c>
      <c r="V334" t="s">
        <v>69</v>
      </c>
    </row>
    <row r="335" spans="1:22" x14ac:dyDescent="0.3">
      <c r="A335" t="s">
        <v>523</v>
      </c>
      <c r="B335" s="3">
        <v>45722</v>
      </c>
      <c r="C335" t="s">
        <v>71</v>
      </c>
      <c r="D335" t="s">
        <v>50</v>
      </c>
      <c r="E335" t="s">
        <v>25</v>
      </c>
      <c r="F335" t="s">
        <v>39</v>
      </c>
      <c r="G335" t="s">
        <v>40</v>
      </c>
      <c r="H335" t="s">
        <v>41</v>
      </c>
      <c r="I335" t="s">
        <v>42</v>
      </c>
      <c r="J335" t="s">
        <v>43</v>
      </c>
      <c r="K335" t="s">
        <v>81</v>
      </c>
      <c r="L335" s="2">
        <v>0.91666666666666663</v>
      </c>
      <c r="M335" s="2">
        <v>0.29166666666666669</v>
      </c>
      <c r="N335">
        <v>8.5</v>
      </c>
      <c r="O335">
        <v>0.5</v>
      </c>
      <c r="P335" t="s">
        <v>32</v>
      </c>
      <c r="R335">
        <v>5</v>
      </c>
      <c r="S335" t="s">
        <v>45</v>
      </c>
      <c r="T335" t="s">
        <v>46</v>
      </c>
      <c r="V335" t="s">
        <v>35</v>
      </c>
    </row>
    <row r="336" spans="1:22" x14ac:dyDescent="0.3">
      <c r="A336" t="s">
        <v>524</v>
      </c>
      <c r="B336" s="3">
        <v>45794</v>
      </c>
      <c r="C336" t="s">
        <v>57</v>
      </c>
      <c r="D336" t="s">
        <v>24</v>
      </c>
      <c r="E336" t="s">
        <v>38</v>
      </c>
      <c r="F336" t="s">
        <v>182</v>
      </c>
      <c r="G336" t="s">
        <v>183</v>
      </c>
      <c r="H336" t="s">
        <v>112</v>
      </c>
      <c r="I336" t="s">
        <v>113</v>
      </c>
      <c r="J336" t="s">
        <v>30</v>
      </c>
      <c r="K336" t="s">
        <v>75</v>
      </c>
      <c r="L336" s="2">
        <v>0.375</v>
      </c>
      <c r="M336" s="2">
        <v>0.75</v>
      </c>
      <c r="N336">
        <v>8</v>
      </c>
      <c r="O336">
        <v>0</v>
      </c>
      <c r="P336" t="s">
        <v>32</v>
      </c>
      <c r="S336" t="s">
        <v>45</v>
      </c>
      <c r="T336" t="s">
        <v>114</v>
      </c>
      <c r="U336" t="s">
        <v>47</v>
      </c>
      <c r="V336" t="s">
        <v>60</v>
      </c>
    </row>
    <row r="337" spans="1:22" x14ac:dyDescent="0.3">
      <c r="A337" t="s">
        <v>525</v>
      </c>
      <c r="B337" s="3">
        <v>45774</v>
      </c>
      <c r="C337" t="s">
        <v>37</v>
      </c>
      <c r="D337" t="s">
        <v>24</v>
      </c>
      <c r="E337" t="s">
        <v>103</v>
      </c>
      <c r="F337" t="s">
        <v>231</v>
      </c>
      <c r="G337" t="s">
        <v>232</v>
      </c>
      <c r="H337" t="s">
        <v>98</v>
      </c>
      <c r="I337" t="s">
        <v>99</v>
      </c>
      <c r="J337" t="s">
        <v>74</v>
      </c>
      <c r="K337" t="s">
        <v>54</v>
      </c>
      <c r="L337" s="2">
        <v>0.375</v>
      </c>
      <c r="M337" s="2">
        <v>0.75</v>
      </c>
      <c r="N337">
        <v>8</v>
      </c>
      <c r="O337">
        <v>0</v>
      </c>
      <c r="P337" t="s">
        <v>32</v>
      </c>
      <c r="R337">
        <v>4</v>
      </c>
      <c r="S337" t="s">
        <v>92</v>
      </c>
      <c r="T337" t="s">
        <v>101</v>
      </c>
      <c r="U337" t="s">
        <v>55</v>
      </c>
    </row>
    <row r="338" spans="1:22" x14ac:dyDescent="0.3">
      <c r="A338" t="s">
        <v>526</v>
      </c>
      <c r="B338" s="3">
        <v>45673</v>
      </c>
      <c r="C338" t="s">
        <v>49</v>
      </c>
      <c r="D338" t="s">
        <v>50</v>
      </c>
      <c r="E338" t="s">
        <v>25</v>
      </c>
      <c r="F338" t="s">
        <v>240</v>
      </c>
      <c r="G338" t="s">
        <v>241</v>
      </c>
      <c r="H338" t="s">
        <v>41</v>
      </c>
      <c r="I338" t="s">
        <v>42</v>
      </c>
      <c r="J338" t="s">
        <v>66</v>
      </c>
      <c r="K338" t="s">
        <v>75</v>
      </c>
      <c r="L338" s="2">
        <v>0.375</v>
      </c>
      <c r="M338" s="2">
        <v>0.75</v>
      </c>
      <c r="N338">
        <v>8</v>
      </c>
      <c r="O338">
        <v>0</v>
      </c>
      <c r="P338" t="s">
        <v>32</v>
      </c>
      <c r="S338" t="s">
        <v>92</v>
      </c>
      <c r="T338" t="s">
        <v>46</v>
      </c>
      <c r="U338" t="s">
        <v>47</v>
      </c>
      <c r="V338" t="s">
        <v>69</v>
      </c>
    </row>
    <row r="339" spans="1:22" x14ac:dyDescent="0.3">
      <c r="A339" t="s">
        <v>527</v>
      </c>
      <c r="B339" s="3">
        <v>45732</v>
      </c>
      <c r="C339" t="s">
        <v>71</v>
      </c>
      <c r="D339" t="s">
        <v>50</v>
      </c>
      <c r="E339" t="s">
        <v>103</v>
      </c>
      <c r="F339" t="s">
        <v>72</v>
      </c>
      <c r="G339" t="s">
        <v>73</v>
      </c>
      <c r="H339" t="s">
        <v>28</v>
      </c>
      <c r="I339" t="s">
        <v>29</v>
      </c>
      <c r="J339" t="s">
        <v>74</v>
      </c>
      <c r="K339" t="s">
        <v>54</v>
      </c>
      <c r="L339" s="2">
        <v>0.375</v>
      </c>
      <c r="M339" s="2">
        <v>0.75</v>
      </c>
      <c r="N339">
        <v>8</v>
      </c>
      <c r="O339">
        <v>0</v>
      </c>
      <c r="P339" t="s">
        <v>32</v>
      </c>
      <c r="R339">
        <v>4</v>
      </c>
      <c r="S339" t="s">
        <v>67</v>
      </c>
      <c r="T339" t="s">
        <v>34</v>
      </c>
      <c r="U339" t="s">
        <v>55</v>
      </c>
      <c r="V339" t="s">
        <v>35</v>
      </c>
    </row>
    <row r="340" spans="1:22" x14ac:dyDescent="0.3">
      <c r="A340" t="s">
        <v>528</v>
      </c>
      <c r="B340" s="3">
        <v>45672</v>
      </c>
      <c r="C340" t="s">
        <v>49</v>
      </c>
      <c r="D340" t="s">
        <v>50</v>
      </c>
      <c r="E340" t="s">
        <v>51</v>
      </c>
      <c r="F340" t="s">
        <v>145</v>
      </c>
      <c r="G340" t="s">
        <v>146</v>
      </c>
      <c r="H340" t="s">
        <v>90</v>
      </c>
      <c r="I340" t="s">
        <v>91</v>
      </c>
      <c r="J340" t="s">
        <v>100</v>
      </c>
      <c r="K340" t="s">
        <v>54</v>
      </c>
      <c r="L340" s="2">
        <v>0.375</v>
      </c>
      <c r="M340" s="2">
        <v>0.75</v>
      </c>
      <c r="N340">
        <v>8</v>
      </c>
      <c r="O340">
        <v>0</v>
      </c>
      <c r="P340" t="s">
        <v>32</v>
      </c>
      <c r="R340">
        <v>4</v>
      </c>
      <c r="S340" t="s">
        <v>45</v>
      </c>
      <c r="T340" t="s">
        <v>93</v>
      </c>
      <c r="U340" t="s">
        <v>47</v>
      </c>
      <c r="V340" t="s">
        <v>60</v>
      </c>
    </row>
    <row r="341" spans="1:22" x14ac:dyDescent="0.3">
      <c r="A341" t="s">
        <v>529</v>
      </c>
      <c r="B341" s="1">
        <v>45688</v>
      </c>
      <c r="C341" t="s">
        <v>49</v>
      </c>
      <c r="D341" t="s">
        <v>50</v>
      </c>
      <c r="E341" t="s">
        <v>119</v>
      </c>
      <c r="F341" t="s">
        <v>120</v>
      </c>
      <c r="G341" t="s">
        <v>121</v>
      </c>
      <c r="H341" t="s">
        <v>41</v>
      </c>
      <c r="I341" t="s">
        <v>42</v>
      </c>
      <c r="J341" t="s">
        <v>74</v>
      </c>
      <c r="K341" t="s">
        <v>31</v>
      </c>
      <c r="P341" t="s">
        <v>135</v>
      </c>
      <c r="S341" t="s">
        <v>33</v>
      </c>
      <c r="T341" t="s">
        <v>46</v>
      </c>
      <c r="U341" t="s">
        <v>55</v>
      </c>
    </row>
    <row r="342" spans="1:22" x14ac:dyDescent="0.3">
      <c r="A342" t="s">
        <v>530</v>
      </c>
      <c r="B342" s="3">
        <v>45751</v>
      </c>
      <c r="C342" t="s">
        <v>37</v>
      </c>
      <c r="D342" t="s">
        <v>24</v>
      </c>
      <c r="E342" t="s">
        <v>119</v>
      </c>
      <c r="F342" t="s">
        <v>96</v>
      </c>
      <c r="G342" t="s">
        <v>97</v>
      </c>
      <c r="H342" t="s">
        <v>98</v>
      </c>
      <c r="I342" t="s">
        <v>99</v>
      </c>
      <c r="J342" t="s">
        <v>100</v>
      </c>
      <c r="K342" t="s">
        <v>44</v>
      </c>
      <c r="L342" s="2">
        <v>0.375</v>
      </c>
      <c r="M342" s="2">
        <v>0.75</v>
      </c>
      <c r="N342">
        <v>8</v>
      </c>
      <c r="O342">
        <v>0</v>
      </c>
      <c r="P342" t="s">
        <v>32</v>
      </c>
      <c r="R342">
        <v>4</v>
      </c>
      <c r="S342" t="s">
        <v>33</v>
      </c>
      <c r="T342" t="s">
        <v>101</v>
      </c>
      <c r="U342" t="s">
        <v>55</v>
      </c>
      <c r="V342" t="s">
        <v>69</v>
      </c>
    </row>
    <row r="343" spans="1:22" x14ac:dyDescent="0.3">
      <c r="A343" t="s">
        <v>531</v>
      </c>
      <c r="B343" s="3">
        <v>45683</v>
      </c>
      <c r="C343" t="s">
        <v>49</v>
      </c>
      <c r="D343" t="s">
        <v>50</v>
      </c>
      <c r="E343" t="s">
        <v>103</v>
      </c>
      <c r="F343" t="s">
        <v>243</v>
      </c>
      <c r="G343" t="s">
        <v>244</v>
      </c>
      <c r="H343" t="s">
        <v>90</v>
      </c>
      <c r="I343" t="s">
        <v>91</v>
      </c>
      <c r="J343" t="s">
        <v>30</v>
      </c>
      <c r="K343" t="s">
        <v>31</v>
      </c>
      <c r="L343" s="2">
        <v>0.375</v>
      </c>
      <c r="M343" s="2">
        <v>0.75</v>
      </c>
      <c r="N343">
        <v>8</v>
      </c>
      <c r="O343">
        <v>0</v>
      </c>
      <c r="P343" t="s">
        <v>32</v>
      </c>
      <c r="R343">
        <v>5</v>
      </c>
      <c r="S343" t="s">
        <v>67</v>
      </c>
      <c r="T343" t="s">
        <v>93</v>
      </c>
      <c r="U343" t="s">
        <v>85</v>
      </c>
      <c r="V343" t="s">
        <v>60</v>
      </c>
    </row>
    <row r="344" spans="1:22" x14ac:dyDescent="0.3">
      <c r="A344" t="s">
        <v>532</v>
      </c>
      <c r="B344" s="3">
        <v>45689</v>
      </c>
      <c r="C344" t="s">
        <v>95</v>
      </c>
      <c r="D344" t="s">
        <v>50</v>
      </c>
      <c r="E344" t="s">
        <v>38</v>
      </c>
      <c r="F344" t="s">
        <v>215</v>
      </c>
      <c r="G344" t="s">
        <v>216</v>
      </c>
      <c r="H344" t="s">
        <v>79</v>
      </c>
      <c r="I344" t="s">
        <v>80</v>
      </c>
      <c r="J344" t="s">
        <v>30</v>
      </c>
      <c r="K344" t="s">
        <v>81</v>
      </c>
      <c r="L344" s="2">
        <v>0.91666666666666663</v>
      </c>
      <c r="M344" s="2">
        <v>0.29166666666666669</v>
      </c>
      <c r="N344">
        <v>9</v>
      </c>
      <c r="O344">
        <v>1</v>
      </c>
      <c r="P344" t="s">
        <v>32</v>
      </c>
      <c r="S344" t="s">
        <v>92</v>
      </c>
      <c r="T344" t="s">
        <v>84</v>
      </c>
      <c r="U344" t="s">
        <v>55</v>
      </c>
      <c r="V344" t="s">
        <v>69</v>
      </c>
    </row>
    <row r="345" spans="1:22" x14ac:dyDescent="0.3">
      <c r="A345" t="s">
        <v>533</v>
      </c>
      <c r="B345" s="3">
        <v>45774</v>
      </c>
      <c r="C345" t="s">
        <v>37</v>
      </c>
      <c r="D345" t="s">
        <v>24</v>
      </c>
      <c r="E345" t="s">
        <v>103</v>
      </c>
      <c r="F345" t="s">
        <v>151</v>
      </c>
      <c r="G345" t="s">
        <v>152</v>
      </c>
      <c r="H345" t="s">
        <v>98</v>
      </c>
      <c r="I345" t="s">
        <v>99</v>
      </c>
      <c r="J345" t="s">
        <v>30</v>
      </c>
      <c r="K345" t="s">
        <v>54</v>
      </c>
      <c r="P345" t="s">
        <v>82</v>
      </c>
      <c r="Q345" t="s">
        <v>122</v>
      </c>
      <c r="S345" t="s">
        <v>92</v>
      </c>
      <c r="T345" t="s">
        <v>101</v>
      </c>
      <c r="U345" t="s">
        <v>85</v>
      </c>
    </row>
    <row r="346" spans="1:22" x14ac:dyDescent="0.3">
      <c r="A346" t="s">
        <v>534</v>
      </c>
      <c r="B346" s="3">
        <v>45661</v>
      </c>
      <c r="C346" t="s">
        <v>49</v>
      </c>
      <c r="D346" t="s">
        <v>50</v>
      </c>
      <c r="E346" t="s">
        <v>38</v>
      </c>
      <c r="F346" t="s">
        <v>207</v>
      </c>
      <c r="G346" t="s">
        <v>208</v>
      </c>
      <c r="H346" t="s">
        <v>64</v>
      </c>
      <c r="I346" t="s">
        <v>65</v>
      </c>
      <c r="J346" t="s">
        <v>30</v>
      </c>
      <c r="K346" t="s">
        <v>81</v>
      </c>
      <c r="L346" s="2">
        <v>0.91666666666666663</v>
      </c>
      <c r="M346" s="2">
        <v>0.29166666666666669</v>
      </c>
      <c r="N346">
        <v>9.5</v>
      </c>
      <c r="O346">
        <v>1.5</v>
      </c>
      <c r="P346" t="s">
        <v>32</v>
      </c>
      <c r="R346">
        <v>4</v>
      </c>
      <c r="S346" t="s">
        <v>67</v>
      </c>
      <c r="T346" t="s">
        <v>68</v>
      </c>
      <c r="U346" t="s">
        <v>47</v>
      </c>
      <c r="V346" t="s">
        <v>35</v>
      </c>
    </row>
    <row r="347" spans="1:22" x14ac:dyDescent="0.3">
      <c r="A347" t="s">
        <v>535</v>
      </c>
      <c r="B347" s="1">
        <v>45694</v>
      </c>
      <c r="C347" t="s">
        <v>95</v>
      </c>
      <c r="D347" t="s">
        <v>50</v>
      </c>
      <c r="E347" t="s">
        <v>25</v>
      </c>
      <c r="F347" t="s">
        <v>281</v>
      </c>
      <c r="G347" t="s">
        <v>282</v>
      </c>
      <c r="H347" t="s">
        <v>90</v>
      </c>
      <c r="I347" t="s">
        <v>91</v>
      </c>
      <c r="J347" t="s">
        <v>30</v>
      </c>
      <c r="K347" t="s">
        <v>75</v>
      </c>
      <c r="L347" s="2">
        <v>0.375</v>
      </c>
      <c r="M347" s="2">
        <v>0.75</v>
      </c>
      <c r="N347">
        <v>8</v>
      </c>
      <c r="O347">
        <v>0</v>
      </c>
      <c r="P347" t="s">
        <v>32</v>
      </c>
      <c r="R347">
        <v>3</v>
      </c>
      <c r="S347" t="s">
        <v>45</v>
      </c>
      <c r="T347" t="s">
        <v>93</v>
      </c>
      <c r="U347" t="s">
        <v>55</v>
      </c>
      <c r="V347" t="s">
        <v>69</v>
      </c>
    </row>
    <row r="348" spans="1:22" x14ac:dyDescent="0.3">
      <c r="A348" t="s">
        <v>536</v>
      </c>
      <c r="B348" s="3">
        <v>45716</v>
      </c>
      <c r="C348" t="s">
        <v>95</v>
      </c>
      <c r="D348" t="s">
        <v>50</v>
      </c>
      <c r="E348" t="s">
        <v>119</v>
      </c>
      <c r="F348" t="s">
        <v>116</v>
      </c>
      <c r="G348" t="s">
        <v>117</v>
      </c>
      <c r="H348" t="s">
        <v>112</v>
      </c>
      <c r="I348" t="s">
        <v>113</v>
      </c>
      <c r="J348" t="s">
        <v>100</v>
      </c>
      <c r="K348" t="s">
        <v>81</v>
      </c>
      <c r="M348" s="2">
        <v>0.29166666666666669</v>
      </c>
      <c r="N348">
        <v>9.5</v>
      </c>
      <c r="O348">
        <v>1.5</v>
      </c>
      <c r="P348" t="s">
        <v>32</v>
      </c>
      <c r="R348">
        <v>3</v>
      </c>
      <c r="S348" t="s">
        <v>45</v>
      </c>
      <c r="T348" t="s">
        <v>114</v>
      </c>
      <c r="U348" t="s">
        <v>85</v>
      </c>
      <c r="V348" t="s">
        <v>35</v>
      </c>
    </row>
    <row r="349" spans="1:22" x14ac:dyDescent="0.3">
      <c r="A349" t="s">
        <v>537</v>
      </c>
      <c r="B349" s="1">
        <v>45737</v>
      </c>
      <c r="C349" t="s">
        <v>71</v>
      </c>
      <c r="D349" t="s">
        <v>50</v>
      </c>
      <c r="E349" t="s">
        <v>119</v>
      </c>
      <c r="F349" t="s">
        <v>288</v>
      </c>
      <c r="G349" t="s">
        <v>289</v>
      </c>
      <c r="H349" t="s">
        <v>28</v>
      </c>
      <c r="I349" t="s">
        <v>29</v>
      </c>
      <c r="J349" t="s">
        <v>74</v>
      </c>
      <c r="K349" t="s">
        <v>44</v>
      </c>
      <c r="L349" s="2">
        <v>0.375</v>
      </c>
      <c r="M349" s="2">
        <v>0.75</v>
      </c>
      <c r="N349">
        <v>8</v>
      </c>
      <c r="O349">
        <v>0</v>
      </c>
      <c r="P349" t="s">
        <v>32</v>
      </c>
      <c r="R349">
        <v>3</v>
      </c>
      <c r="S349" t="s">
        <v>92</v>
      </c>
      <c r="T349" t="s">
        <v>34</v>
      </c>
      <c r="U349" t="s">
        <v>47</v>
      </c>
      <c r="V349" t="s">
        <v>69</v>
      </c>
    </row>
    <row r="350" spans="1:22" x14ac:dyDescent="0.3">
      <c r="A350" t="s">
        <v>538</v>
      </c>
      <c r="B350" s="1">
        <v>45713</v>
      </c>
      <c r="C350" t="s">
        <v>95</v>
      </c>
      <c r="D350" t="s">
        <v>50</v>
      </c>
      <c r="E350" t="s">
        <v>87</v>
      </c>
      <c r="F350" t="s">
        <v>185</v>
      </c>
      <c r="G350" t="s">
        <v>186</v>
      </c>
      <c r="H350" t="s">
        <v>79</v>
      </c>
      <c r="I350" t="s">
        <v>80</v>
      </c>
      <c r="J350" t="s">
        <v>66</v>
      </c>
      <c r="K350" t="s">
        <v>31</v>
      </c>
      <c r="L350" s="2">
        <v>0.375</v>
      </c>
      <c r="M350" s="2">
        <v>0.75</v>
      </c>
      <c r="N350">
        <v>8</v>
      </c>
      <c r="O350">
        <v>0</v>
      </c>
      <c r="P350" t="s">
        <v>32</v>
      </c>
      <c r="R350">
        <v>4</v>
      </c>
      <c r="S350" t="s">
        <v>92</v>
      </c>
      <c r="T350" t="s">
        <v>84</v>
      </c>
    </row>
    <row r="351" spans="1:22" x14ac:dyDescent="0.3">
      <c r="A351" t="s">
        <v>539</v>
      </c>
      <c r="B351" s="3">
        <v>45833</v>
      </c>
      <c r="C351" t="s">
        <v>23</v>
      </c>
      <c r="D351" t="s">
        <v>24</v>
      </c>
      <c r="E351" t="s">
        <v>51</v>
      </c>
      <c r="F351" t="s">
        <v>220</v>
      </c>
      <c r="G351" t="s">
        <v>221</v>
      </c>
      <c r="H351" t="s">
        <v>79</v>
      </c>
      <c r="I351" t="s">
        <v>80</v>
      </c>
      <c r="J351" t="s">
        <v>100</v>
      </c>
      <c r="K351" t="s">
        <v>81</v>
      </c>
      <c r="L351" s="2">
        <v>0.91666666666666663</v>
      </c>
      <c r="M351" s="2">
        <v>0.29166666666666669</v>
      </c>
      <c r="N351">
        <v>9</v>
      </c>
      <c r="O351">
        <v>1</v>
      </c>
      <c r="P351" t="s">
        <v>32</v>
      </c>
      <c r="R351">
        <v>5</v>
      </c>
      <c r="S351" t="s">
        <v>67</v>
      </c>
      <c r="T351" t="s">
        <v>84</v>
      </c>
      <c r="U351" t="s">
        <v>55</v>
      </c>
      <c r="V351" t="s">
        <v>35</v>
      </c>
    </row>
    <row r="352" spans="1:22" x14ac:dyDescent="0.3">
      <c r="A352" t="s">
        <v>540</v>
      </c>
      <c r="B352" s="3">
        <v>45784</v>
      </c>
      <c r="C352" t="s">
        <v>57</v>
      </c>
      <c r="D352" t="s">
        <v>24</v>
      </c>
      <c r="E352" t="s">
        <v>51</v>
      </c>
      <c r="F352" t="s">
        <v>88</v>
      </c>
      <c r="G352" t="s">
        <v>89</v>
      </c>
      <c r="H352" t="s">
        <v>90</v>
      </c>
      <c r="I352" t="s">
        <v>91</v>
      </c>
      <c r="J352" t="s">
        <v>43</v>
      </c>
      <c r="K352" t="s">
        <v>54</v>
      </c>
      <c r="L352" s="2">
        <v>0.375</v>
      </c>
      <c r="M352" s="2">
        <v>0.75</v>
      </c>
      <c r="N352">
        <v>8</v>
      </c>
      <c r="O352">
        <v>0</v>
      </c>
      <c r="P352" t="s">
        <v>32</v>
      </c>
      <c r="R352">
        <v>5</v>
      </c>
      <c r="S352" t="s">
        <v>45</v>
      </c>
      <c r="T352" t="s">
        <v>93</v>
      </c>
      <c r="U352" t="s">
        <v>55</v>
      </c>
    </row>
    <row r="353" spans="1:22" x14ac:dyDescent="0.3">
      <c r="A353" t="s">
        <v>541</v>
      </c>
      <c r="B353" s="3">
        <v>45715</v>
      </c>
      <c r="C353" t="s">
        <v>95</v>
      </c>
      <c r="D353" t="s">
        <v>50</v>
      </c>
      <c r="E353" t="s">
        <v>25</v>
      </c>
      <c r="F353" t="s">
        <v>182</v>
      </c>
      <c r="G353" t="s">
        <v>183</v>
      </c>
      <c r="H353" t="s">
        <v>112</v>
      </c>
      <c r="I353" t="s">
        <v>113</v>
      </c>
      <c r="J353" t="s">
        <v>30</v>
      </c>
      <c r="K353" t="s">
        <v>81</v>
      </c>
      <c r="L353" s="2">
        <v>0.375</v>
      </c>
      <c r="M353" s="2">
        <v>0.29166666666666669</v>
      </c>
      <c r="N353">
        <v>9.5</v>
      </c>
      <c r="O353">
        <v>1.5</v>
      </c>
      <c r="P353" t="s">
        <v>32</v>
      </c>
      <c r="R353">
        <v>3</v>
      </c>
      <c r="S353" t="s">
        <v>92</v>
      </c>
      <c r="T353" t="s">
        <v>114</v>
      </c>
      <c r="U353" t="s">
        <v>55</v>
      </c>
    </row>
    <row r="354" spans="1:22" x14ac:dyDescent="0.3">
      <c r="A354" t="s">
        <v>542</v>
      </c>
      <c r="B354" s="3">
        <v>45706</v>
      </c>
      <c r="C354" t="s">
        <v>95</v>
      </c>
      <c r="D354" t="s">
        <v>50</v>
      </c>
      <c r="E354" t="s">
        <v>87</v>
      </c>
      <c r="F354" t="s">
        <v>163</v>
      </c>
      <c r="G354" t="s">
        <v>164</v>
      </c>
      <c r="H354" t="s">
        <v>112</v>
      </c>
      <c r="I354" t="s">
        <v>113</v>
      </c>
      <c r="J354" t="s">
        <v>100</v>
      </c>
      <c r="K354" t="s">
        <v>31</v>
      </c>
      <c r="L354" s="2">
        <v>0.39930555555555558</v>
      </c>
      <c r="M354" s="2">
        <v>0.75</v>
      </c>
      <c r="N354">
        <v>8</v>
      </c>
      <c r="O354">
        <v>0</v>
      </c>
      <c r="P354" t="s">
        <v>32</v>
      </c>
      <c r="R354">
        <v>4</v>
      </c>
      <c r="S354" t="s">
        <v>92</v>
      </c>
      <c r="T354" t="s">
        <v>114</v>
      </c>
      <c r="U354" t="s">
        <v>55</v>
      </c>
      <c r="V354" t="s">
        <v>60</v>
      </c>
    </row>
    <row r="355" spans="1:22" x14ac:dyDescent="0.3">
      <c r="A355" t="s">
        <v>543</v>
      </c>
      <c r="B355" s="1">
        <v>45660</v>
      </c>
      <c r="C355" t="s">
        <v>49</v>
      </c>
      <c r="D355" t="s">
        <v>50</v>
      </c>
      <c r="E355" t="s">
        <v>119</v>
      </c>
      <c r="F355" t="s">
        <v>305</v>
      </c>
      <c r="G355" t="s">
        <v>306</v>
      </c>
      <c r="H355" t="s">
        <v>79</v>
      </c>
      <c r="I355" t="s">
        <v>80</v>
      </c>
      <c r="J355" t="s">
        <v>74</v>
      </c>
      <c r="K355" t="s">
        <v>75</v>
      </c>
      <c r="L355" s="2">
        <v>0.375</v>
      </c>
      <c r="M355" s="2">
        <v>0.75</v>
      </c>
      <c r="N355">
        <v>8</v>
      </c>
      <c r="O355">
        <v>0</v>
      </c>
      <c r="P355" t="s">
        <v>32</v>
      </c>
      <c r="R355">
        <v>4</v>
      </c>
      <c r="S355" t="s">
        <v>67</v>
      </c>
      <c r="T355" t="s">
        <v>84</v>
      </c>
      <c r="U355" t="s">
        <v>47</v>
      </c>
      <c r="V355" t="s">
        <v>60</v>
      </c>
    </row>
    <row r="356" spans="1:22" x14ac:dyDescent="0.3">
      <c r="A356" t="s">
        <v>544</v>
      </c>
      <c r="B356" s="1">
        <v>45659</v>
      </c>
      <c r="C356" t="s">
        <v>49</v>
      </c>
      <c r="D356" t="s">
        <v>50</v>
      </c>
      <c r="E356" t="s">
        <v>25</v>
      </c>
      <c r="F356" t="s">
        <v>182</v>
      </c>
      <c r="G356" t="s">
        <v>183</v>
      </c>
      <c r="H356" t="s">
        <v>112</v>
      </c>
      <c r="I356" t="s">
        <v>113</v>
      </c>
      <c r="J356" t="s">
        <v>30</v>
      </c>
      <c r="K356" t="s">
        <v>44</v>
      </c>
      <c r="P356" t="s">
        <v>82</v>
      </c>
      <c r="Q356" t="s">
        <v>225</v>
      </c>
      <c r="S356" t="s">
        <v>67</v>
      </c>
      <c r="T356" t="s">
        <v>114</v>
      </c>
      <c r="U356" t="s">
        <v>55</v>
      </c>
      <c r="V356" t="s">
        <v>60</v>
      </c>
    </row>
    <row r="357" spans="1:22" x14ac:dyDescent="0.3">
      <c r="A357" t="s">
        <v>545</v>
      </c>
      <c r="B357" s="1">
        <v>45709</v>
      </c>
      <c r="C357" t="s">
        <v>95</v>
      </c>
      <c r="D357" t="s">
        <v>50</v>
      </c>
      <c r="E357" t="s">
        <v>119</v>
      </c>
      <c r="F357" t="s">
        <v>354</v>
      </c>
      <c r="G357" t="s">
        <v>355</v>
      </c>
      <c r="H357" t="s">
        <v>28</v>
      </c>
      <c r="I357" t="s">
        <v>29</v>
      </c>
      <c r="J357" t="s">
        <v>100</v>
      </c>
      <c r="K357" t="s">
        <v>44</v>
      </c>
      <c r="L357" s="2">
        <v>0.375</v>
      </c>
      <c r="M357" s="2">
        <v>0.75</v>
      </c>
      <c r="N357">
        <v>8</v>
      </c>
      <c r="O357">
        <v>0</v>
      </c>
      <c r="P357" t="s">
        <v>32</v>
      </c>
      <c r="R357">
        <v>5</v>
      </c>
      <c r="S357" t="s">
        <v>92</v>
      </c>
      <c r="T357" t="s">
        <v>34</v>
      </c>
      <c r="U357" t="s">
        <v>55</v>
      </c>
      <c r="V357" t="s">
        <v>69</v>
      </c>
    </row>
    <row r="358" spans="1:22" x14ac:dyDescent="0.3">
      <c r="A358" t="s">
        <v>546</v>
      </c>
      <c r="B358" s="3">
        <v>45798</v>
      </c>
      <c r="C358" t="s">
        <v>57</v>
      </c>
      <c r="D358" t="s">
        <v>24</v>
      </c>
      <c r="E358" t="s">
        <v>51</v>
      </c>
      <c r="F358" t="s">
        <v>228</v>
      </c>
      <c r="G358" t="s">
        <v>229</v>
      </c>
      <c r="H358" t="s">
        <v>79</v>
      </c>
      <c r="I358" t="s">
        <v>80</v>
      </c>
      <c r="J358" t="s">
        <v>43</v>
      </c>
      <c r="K358" t="s">
        <v>44</v>
      </c>
      <c r="L358" s="2">
        <v>0.375</v>
      </c>
      <c r="N358">
        <v>8</v>
      </c>
      <c r="O358">
        <v>0</v>
      </c>
      <c r="P358" t="s">
        <v>32</v>
      </c>
      <c r="R358">
        <v>5</v>
      </c>
      <c r="S358" t="s">
        <v>33</v>
      </c>
      <c r="T358" t="s">
        <v>84</v>
      </c>
      <c r="U358" t="s">
        <v>55</v>
      </c>
    </row>
    <row r="359" spans="1:22" x14ac:dyDescent="0.3">
      <c r="A359" t="s">
        <v>547</v>
      </c>
      <c r="B359" s="1">
        <v>45702</v>
      </c>
      <c r="C359" t="s">
        <v>95</v>
      </c>
      <c r="D359" t="s">
        <v>50</v>
      </c>
      <c r="E359" t="s">
        <v>119</v>
      </c>
      <c r="F359" t="s">
        <v>145</v>
      </c>
      <c r="G359" t="s">
        <v>146</v>
      </c>
      <c r="H359" t="s">
        <v>90</v>
      </c>
      <c r="I359" t="s">
        <v>91</v>
      </c>
      <c r="J359" t="s">
        <v>100</v>
      </c>
      <c r="K359" t="s">
        <v>44</v>
      </c>
      <c r="L359" s="2">
        <v>0.375</v>
      </c>
      <c r="M359" s="2">
        <v>0.75</v>
      </c>
      <c r="N359">
        <v>8</v>
      </c>
      <c r="O359">
        <v>0</v>
      </c>
      <c r="P359" t="s">
        <v>32</v>
      </c>
      <c r="R359">
        <v>5</v>
      </c>
      <c r="S359" t="s">
        <v>33</v>
      </c>
      <c r="T359" t="s">
        <v>93</v>
      </c>
      <c r="U359" t="s">
        <v>47</v>
      </c>
      <c r="V359" t="s">
        <v>60</v>
      </c>
    </row>
    <row r="360" spans="1:22" x14ac:dyDescent="0.3">
      <c r="A360" t="s">
        <v>548</v>
      </c>
      <c r="B360" s="1">
        <v>45701</v>
      </c>
      <c r="C360" t="s">
        <v>95</v>
      </c>
      <c r="D360" t="s">
        <v>50</v>
      </c>
      <c r="E360" t="s">
        <v>25</v>
      </c>
      <c r="F360" t="s">
        <v>281</v>
      </c>
      <c r="G360" t="s">
        <v>282</v>
      </c>
      <c r="H360" t="s">
        <v>90</v>
      </c>
      <c r="I360" t="s">
        <v>91</v>
      </c>
      <c r="J360" t="s">
        <v>30</v>
      </c>
      <c r="K360" t="s">
        <v>31</v>
      </c>
      <c r="L360" s="2">
        <v>0.375</v>
      </c>
      <c r="M360" s="2">
        <v>0.75</v>
      </c>
      <c r="N360">
        <v>8</v>
      </c>
      <c r="O360">
        <v>0</v>
      </c>
      <c r="P360" t="s">
        <v>32</v>
      </c>
      <c r="R360">
        <v>4</v>
      </c>
      <c r="S360" t="s">
        <v>45</v>
      </c>
      <c r="T360" t="s">
        <v>93</v>
      </c>
      <c r="U360" t="s">
        <v>47</v>
      </c>
      <c r="V360" t="s">
        <v>69</v>
      </c>
    </row>
    <row r="361" spans="1:22" x14ac:dyDescent="0.3">
      <c r="A361" t="s">
        <v>549</v>
      </c>
      <c r="B361" s="3">
        <v>45700</v>
      </c>
      <c r="C361" t="s">
        <v>95</v>
      </c>
      <c r="D361" t="s">
        <v>50</v>
      </c>
      <c r="E361" t="s">
        <v>51</v>
      </c>
      <c r="F361" t="s">
        <v>159</v>
      </c>
      <c r="G361" t="s">
        <v>160</v>
      </c>
      <c r="H361" t="s">
        <v>64</v>
      </c>
      <c r="I361" t="s">
        <v>65</v>
      </c>
      <c r="J361" t="s">
        <v>100</v>
      </c>
      <c r="K361" t="s">
        <v>54</v>
      </c>
      <c r="L361" s="2">
        <v>0.375</v>
      </c>
      <c r="M361" s="2">
        <v>0.75</v>
      </c>
      <c r="N361">
        <v>9.5</v>
      </c>
      <c r="O361">
        <v>1.5</v>
      </c>
      <c r="P361" t="s">
        <v>32</v>
      </c>
      <c r="R361">
        <v>4</v>
      </c>
      <c r="S361" t="s">
        <v>92</v>
      </c>
      <c r="T361" t="s">
        <v>68</v>
      </c>
      <c r="U361" t="s">
        <v>55</v>
      </c>
      <c r="V361" t="s">
        <v>35</v>
      </c>
    </row>
    <row r="362" spans="1:22" x14ac:dyDescent="0.3">
      <c r="A362" t="s">
        <v>550</v>
      </c>
      <c r="B362" s="3">
        <v>45744</v>
      </c>
      <c r="C362" t="s">
        <v>71</v>
      </c>
      <c r="D362" t="s">
        <v>50</v>
      </c>
      <c r="E362" t="s">
        <v>119</v>
      </c>
      <c r="F362" t="s">
        <v>504</v>
      </c>
      <c r="G362" t="s">
        <v>505</v>
      </c>
      <c r="H362" t="s">
        <v>98</v>
      </c>
      <c r="I362" t="s">
        <v>99</v>
      </c>
      <c r="J362" t="s">
        <v>100</v>
      </c>
      <c r="K362" t="s">
        <v>31</v>
      </c>
      <c r="L362" s="2">
        <v>0.375</v>
      </c>
      <c r="M362" s="2">
        <v>0.75</v>
      </c>
      <c r="N362">
        <v>8</v>
      </c>
      <c r="O362">
        <v>0</v>
      </c>
      <c r="P362" t="s">
        <v>32</v>
      </c>
      <c r="R362">
        <v>5</v>
      </c>
      <c r="S362" t="s">
        <v>92</v>
      </c>
      <c r="T362" t="s">
        <v>101</v>
      </c>
      <c r="U362" t="s">
        <v>47</v>
      </c>
      <c r="V362" t="s">
        <v>35</v>
      </c>
    </row>
    <row r="363" spans="1:22" x14ac:dyDescent="0.3">
      <c r="A363" t="s">
        <v>551</v>
      </c>
      <c r="B363" s="3">
        <v>45760</v>
      </c>
      <c r="C363" t="s">
        <v>37</v>
      </c>
      <c r="D363" t="s">
        <v>24</v>
      </c>
      <c r="E363" t="s">
        <v>103</v>
      </c>
      <c r="F363" t="s">
        <v>185</v>
      </c>
      <c r="G363" t="s">
        <v>186</v>
      </c>
      <c r="H363" t="s">
        <v>79</v>
      </c>
      <c r="I363" t="s">
        <v>80</v>
      </c>
      <c r="J363" t="s">
        <v>66</v>
      </c>
      <c r="K363" t="s">
        <v>44</v>
      </c>
      <c r="L363" s="2">
        <v>0.375</v>
      </c>
      <c r="M363" s="2">
        <v>0.75</v>
      </c>
      <c r="N363">
        <v>8</v>
      </c>
      <c r="O363">
        <v>0</v>
      </c>
      <c r="P363" t="s">
        <v>32</v>
      </c>
      <c r="S363" t="s">
        <v>33</v>
      </c>
      <c r="T363" t="s">
        <v>84</v>
      </c>
      <c r="V363" t="s">
        <v>35</v>
      </c>
    </row>
    <row r="364" spans="1:22" x14ac:dyDescent="0.3">
      <c r="A364" t="s">
        <v>552</v>
      </c>
      <c r="B364" s="1">
        <v>45685</v>
      </c>
      <c r="C364" t="s">
        <v>49</v>
      </c>
      <c r="D364" t="s">
        <v>50</v>
      </c>
      <c r="E364" t="s">
        <v>87</v>
      </c>
      <c r="F364" t="s">
        <v>120</v>
      </c>
      <c r="G364" t="s">
        <v>121</v>
      </c>
      <c r="H364" t="s">
        <v>41</v>
      </c>
      <c r="I364" t="s">
        <v>42</v>
      </c>
      <c r="J364" t="s">
        <v>74</v>
      </c>
      <c r="K364" t="s">
        <v>44</v>
      </c>
      <c r="L364" s="2">
        <v>0.375</v>
      </c>
      <c r="M364" s="2">
        <v>0.75</v>
      </c>
      <c r="N364">
        <v>8</v>
      </c>
      <c r="O364">
        <v>0</v>
      </c>
      <c r="P364" t="s">
        <v>32</v>
      </c>
      <c r="R364">
        <v>3</v>
      </c>
      <c r="S364" t="s">
        <v>45</v>
      </c>
      <c r="T364" t="s">
        <v>46</v>
      </c>
      <c r="U364" t="s">
        <v>55</v>
      </c>
      <c r="V364" t="s">
        <v>60</v>
      </c>
    </row>
    <row r="365" spans="1:22" x14ac:dyDescent="0.3">
      <c r="A365" t="s">
        <v>553</v>
      </c>
      <c r="B365" s="3">
        <v>45722</v>
      </c>
      <c r="C365" t="s">
        <v>71</v>
      </c>
      <c r="D365" t="s">
        <v>50</v>
      </c>
      <c r="E365" t="s">
        <v>25</v>
      </c>
      <c r="F365" t="s">
        <v>166</v>
      </c>
      <c r="G365" t="s">
        <v>167</v>
      </c>
      <c r="H365" t="s">
        <v>41</v>
      </c>
      <c r="I365" t="s">
        <v>42</v>
      </c>
      <c r="J365" t="s">
        <v>100</v>
      </c>
      <c r="K365" t="s">
        <v>75</v>
      </c>
      <c r="L365" s="2">
        <v>0.375</v>
      </c>
      <c r="M365" s="2">
        <v>0.75</v>
      </c>
      <c r="N365">
        <v>8</v>
      </c>
      <c r="O365">
        <v>0</v>
      </c>
      <c r="P365" t="s">
        <v>32</v>
      </c>
      <c r="S365" t="s">
        <v>92</v>
      </c>
      <c r="T365" t="s">
        <v>46</v>
      </c>
    </row>
    <row r="366" spans="1:22" x14ac:dyDescent="0.3">
      <c r="A366" t="s">
        <v>554</v>
      </c>
      <c r="B366" s="1">
        <v>45736</v>
      </c>
      <c r="C366" t="s">
        <v>71</v>
      </c>
      <c r="D366" t="s">
        <v>50</v>
      </c>
      <c r="E366" t="s">
        <v>25</v>
      </c>
      <c r="F366" t="s">
        <v>116</v>
      </c>
      <c r="G366" t="s">
        <v>117</v>
      </c>
      <c r="H366" t="s">
        <v>112</v>
      </c>
      <c r="I366" t="s">
        <v>113</v>
      </c>
      <c r="J366" t="s">
        <v>100</v>
      </c>
      <c r="K366" t="s">
        <v>44</v>
      </c>
      <c r="L366" s="2">
        <v>0.38194444444444442</v>
      </c>
      <c r="M366" s="2">
        <v>0.75</v>
      </c>
      <c r="N366">
        <v>8</v>
      </c>
      <c r="O366">
        <v>0</v>
      </c>
      <c r="P366" t="s">
        <v>32</v>
      </c>
      <c r="R366">
        <v>3</v>
      </c>
      <c r="S366" t="s">
        <v>67</v>
      </c>
      <c r="T366" t="s">
        <v>114</v>
      </c>
      <c r="U366" t="s">
        <v>85</v>
      </c>
      <c r="V366" t="s">
        <v>60</v>
      </c>
    </row>
    <row r="367" spans="1:22" x14ac:dyDescent="0.3">
      <c r="A367" t="s">
        <v>555</v>
      </c>
      <c r="B367" s="1">
        <v>45688</v>
      </c>
      <c r="C367" t="s">
        <v>49</v>
      </c>
      <c r="D367" t="s">
        <v>50</v>
      </c>
      <c r="E367" t="s">
        <v>119</v>
      </c>
      <c r="F367" t="s">
        <v>192</v>
      </c>
      <c r="G367" t="s">
        <v>193</v>
      </c>
      <c r="H367" t="s">
        <v>79</v>
      </c>
      <c r="I367" t="s">
        <v>80</v>
      </c>
      <c r="J367" t="s">
        <v>66</v>
      </c>
      <c r="K367" t="s">
        <v>54</v>
      </c>
      <c r="L367" s="2">
        <v>0.375</v>
      </c>
      <c r="M367" s="2">
        <v>0.75</v>
      </c>
      <c r="N367">
        <v>8</v>
      </c>
      <c r="O367">
        <v>0</v>
      </c>
      <c r="P367" t="s">
        <v>32</v>
      </c>
      <c r="R367">
        <v>5</v>
      </c>
      <c r="S367" t="s">
        <v>45</v>
      </c>
      <c r="T367" t="s">
        <v>84</v>
      </c>
      <c r="U367" t="s">
        <v>85</v>
      </c>
    </row>
    <row r="368" spans="1:22" x14ac:dyDescent="0.3">
      <c r="A368" t="s">
        <v>556</v>
      </c>
      <c r="B368" s="1">
        <v>45801</v>
      </c>
      <c r="C368" t="s">
        <v>57</v>
      </c>
      <c r="D368" t="s">
        <v>24</v>
      </c>
      <c r="E368" t="s">
        <v>38</v>
      </c>
      <c r="F368" t="s">
        <v>281</v>
      </c>
      <c r="G368" t="s">
        <v>282</v>
      </c>
      <c r="H368" t="s">
        <v>90</v>
      </c>
      <c r="I368" t="s">
        <v>91</v>
      </c>
      <c r="J368" t="s">
        <v>30</v>
      </c>
      <c r="K368" t="s">
        <v>44</v>
      </c>
      <c r="L368" s="2">
        <v>0.375</v>
      </c>
      <c r="M368" s="2">
        <v>0.75</v>
      </c>
      <c r="N368">
        <v>8</v>
      </c>
      <c r="O368">
        <v>0</v>
      </c>
      <c r="P368" t="s">
        <v>32</v>
      </c>
      <c r="R368">
        <v>5</v>
      </c>
      <c r="S368" t="s">
        <v>33</v>
      </c>
      <c r="T368" t="s">
        <v>93</v>
      </c>
      <c r="U368" t="s">
        <v>47</v>
      </c>
      <c r="V368" t="s">
        <v>60</v>
      </c>
    </row>
    <row r="369" spans="1:22" x14ac:dyDescent="0.3">
      <c r="A369" t="s">
        <v>557</v>
      </c>
      <c r="B369" s="3">
        <v>45730</v>
      </c>
      <c r="C369" t="s">
        <v>71</v>
      </c>
      <c r="D369" t="s">
        <v>50</v>
      </c>
      <c r="E369" t="s">
        <v>119</v>
      </c>
      <c r="F369" t="s">
        <v>288</v>
      </c>
      <c r="G369" t="s">
        <v>289</v>
      </c>
      <c r="H369" t="s">
        <v>28</v>
      </c>
      <c r="I369" t="s">
        <v>29</v>
      </c>
      <c r="J369" t="s">
        <v>74</v>
      </c>
      <c r="K369" t="s">
        <v>54</v>
      </c>
      <c r="L369" s="2">
        <v>0.375</v>
      </c>
      <c r="M369" s="2">
        <v>0.75</v>
      </c>
      <c r="N369">
        <v>8</v>
      </c>
      <c r="O369">
        <v>0</v>
      </c>
      <c r="P369" t="s">
        <v>32</v>
      </c>
      <c r="R369">
        <v>4</v>
      </c>
      <c r="S369" t="s">
        <v>67</v>
      </c>
      <c r="T369" t="s">
        <v>34</v>
      </c>
      <c r="V369" t="s">
        <v>35</v>
      </c>
    </row>
    <row r="370" spans="1:22" x14ac:dyDescent="0.3">
      <c r="A370" t="s">
        <v>558</v>
      </c>
      <c r="B370" s="3">
        <v>45670</v>
      </c>
      <c r="C370" t="s">
        <v>49</v>
      </c>
      <c r="D370" t="s">
        <v>50</v>
      </c>
      <c r="E370" t="s">
        <v>109</v>
      </c>
      <c r="F370" t="s">
        <v>154</v>
      </c>
      <c r="G370" t="s">
        <v>155</v>
      </c>
      <c r="H370" t="s">
        <v>41</v>
      </c>
      <c r="I370" t="s">
        <v>42</v>
      </c>
      <c r="J370" t="s">
        <v>74</v>
      </c>
      <c r="K370" t="s">
        <v>31</v>
      </c>
      <c r="L370" s="2">
        <v>0.375</v>
      </c>
      <c r="M370" s="2">
        <v>0.75</v>
      </c>
      <c r="N370">
        <v>8</v>
      </c>
      <c r="O370">
        <v>0</v>
      </c>
      <c r="P370" t="s">
        <v>32</v>
      </c>
      <c r="R370">
        <v>5</v>
      </c>
      <c r="S370" t="s">
        <v>92</v>
      </c>
      <c r="T370" t="s">
        <v>46</v>
      </c>
      <c r="U370" t="s">
        <v>85</v>
      </c>
      <c r="V370" t="s">
        <v>69</v>
      </c>
    </row>
    <row r="371" spans="1:22" x14ac:dyDescent="0.3">
      <c r="A371" t="s">
        <v>559</v>
      </c>
      <c r="B371" s="3">
        <v>45800</v>
      </c>
      <c r="C371" t="s">
        <v>57</v>
      </c>
      <c r="D371" t="s">
        <v>24</v>
      </c>
      <c r="E371" t="s">
        <v>119</v>
      </c>
      <c r="F371" t="s">
        <v>104</v>
      </c>
      <c r="G371" t="s">
        <v>105</v>
      </c>
      <c r="H371" t="s">
        <v>28</v>
      </c>
      <c r="I371" t="s">
        <v>29</v>
      </c>
      <c r="J371" t="s">
        <v>30</v>
      </c>
      <c r="K371" t="s">
        <v>44</v>
      </c>
      <c r="L371" s="2">
        <v>0.375</v>
      </c>
      <c r="M371" s="2">
        <v>0.75</v>
      </c>
      <c r="N371">
        <v>8</v>
      </c>
      <c r="O371">
        <v>0</v>
      </c>
      <c r="P371" t="s">
        <v>32</v>
      </c>
      <c r="R371">
        <v>5</v>
      </c>
      <c r="S371" t="s">
        <v>92</v>
      </c>
      <c r="T371" t="s">
        <v>34</v>
      </c>
      <c r="U371" t="s">
        <v>85</v>
      </c>
      <c r="V371" t="s">
        <v>69</v>
      </c>
    </row>
    <row r="372" spans="1:22" x14ac:dyDescent="0.3">
      <c r="A372" t="s">
        <v>560</v>
      </c>
      <c r="B372" s="3">
        <v>45741</v>
      </c>
      <c r="C372" t="s">
        <v>71</v>
      </c>
      <c r="D372" t="s">
        <v>50</v>
      </c>
      <c r="E372" t="s">
        <v>87</v>
      </c>
      <c r="F372" t="s">
        <v>166</v>
      </c>
      <c r="G372" t="s">
        <v>167</v>
      </c>
      <c r="H372" t="s">
        <v>41</v>
      </c>
      <c r="I372" t="s">
        <v>42</v>
      </c>
      <c r="J372" t="s">
        <v>100</v>
      </c>
      <c r="K372" t="s">
        <v>31</v>
      </c>
      <c r="L372" s="2">
        <v>0.375</v>
      </c>
      <c r="M372" s="2">
        <v>0.75</v>
      </c>
      <c r="N372">
        <v>8</v>
      </c>
      <c r="O372">
        <v>0</v>
      </c>
      <c r="P372" t="s">
        <v>32</v>
      </c>
      <c r="R372">
        <v>3</v>
      </c>
      <c r="S372" t="s">
        <v>33</v>
      </c>
      <c r="T372" t="s">
        <v>46</v>
      </c>
      <c r="V372" t="s">
        <v>60</v>
      </c>
    </row>
    <row r="373" spans="1:22" x14ac:dyDescent="0.3">
      <c r="A373" t="s">
        <v>561</v>
      </c>
      <c r="B373" s="3">
        <v>45823</v>
      </c>
      <c r="C373" t="s">
        <v>23</v>
      </c>
      <c r="D373" t="s">
        <v>24</v>
      </c>
      <c r="E373" t="s">
        <v>103</v>
      </c>
      <c r="F373" t="s">
        <v>159</v>
      </c>
      <c r="G373" t="s">
        <v>160</v>
      </c>
      <c r="H373" t="s">
        <v>64</v>
      </c>
      <c r="I373" t="s">
        <v>65</v>
      </c>
      <c r="J373" t="s">
        <v>100</v>
      </c>
      <c r="K373" t="s">
        <v>44</v>
      </c>
      <c r="L373" s="2">
        <v>0.375</v>
      </c>
      <c r="M373" s="2">
        <v>0.75</v>
      </c>
      <c r="N373">
        <v>9</v>
      </c>
      <c r="O373">
        <v>1</v>
      </c>
      <c r="P373" t="s">
        <v>32</v>
      </c>
      <c r="R373">
        <v>4</v>
      </c>
      <c r="S373" t="s">
        <v>67</v>
      </c>
      <c r="T373" t="s">
        <v>68</v>
      </c>
      <c r="U373" t="s">
        <v>55</v>
      </c>
      <c r="V373" t="s">
        <v>60</v>
      </c>
    </row>
    <row r="374" spans="1:22" x14ac:dyDescent="0.3">
      <c r="A374" t="s">
        <v>562</v>
      </c>
      <c r="B374" s="3">
        <v>45678</v>
      </c>
      <c r="C374" t="s">
        <v>49</v>
      </c>
      <c r="D374" t="s">
        <v>50</v>
      </c>
      <c r="E374" t="s">
        <v>87</v>
      </c>
      <c r="F374" t="s">
        <v>163</v>
      </c>
      <c r="G374" t="s">
        <v>164</v>
      </c>
      <c r="H374" t="s">
        <v>112</v>
      </c>
      <c r="I374" t="s">
        <v>113</v>
      </c>
      <c r="J374" t="s">
        <v>100</v>
      </c>
      <c r="K374" t="s">
        <v>54</v>
      </c>
      <c r="L374" s="2">
        <v>0.375</v>
      </c>
      <c r="M374" s="2">
        <v>0.75</v>
      </c>
      <c r="N374">
        <v>8</v>
      </c>
      <c r="O374">
        <v>0</v>
      </c>
      <c r="P374" t="s">
        <v>32</v>
      </c>
      <c r="R374">
        <v>5</v>
      </c>
      <c r="S374" t="s">
        <v>33</v>
      </c>
      <c r="T374" t="s">
        <v>114</v>
      </c>
      <c r="V374" t="s">
        <v>60</v>
      </c>
    </row>
    <row r="375" spans="1:22" x14ac:dyDescent="0.3">
      <c r="A375" t="s">
        <v>563</v>
      </c>
      <c r="B375" s="3">
        <v>45690</v>
      </c>
      <c r="C375" t="s">
        <v>95</v>
      </c>
      <c r="D375" t="s">
        <v>50</v>
      </c>
      <c r="E375" t="s">
        <v>103</v>
      </c>
      <c r="F375" t="s">
        <v>192</v>
      </c>
      <c r="G375" t="s">
        <v>193</v>
      </c>
      <c r="H375" t="s">
        <v>79</v>
      </c>
      <c r="I375" t="s">
        <v>80</v>
      </c>
      <c r="J375" t="s">
        <v>66</v>
      </c>
      <c r="K375" t="s">
        <v>44</v>
      </c>
      <c r="L375" s="2">
        <v>0.375</v>
      </c>
      <c r="M375" s="2">
        <v>0.75</v>
      </c>
      <c r="N375">
        <v>8</v>
      </c>
      <c r="O375">
        <v>0</v>
      </c>
      <c r="P375" t="s">
        <v>32</v>
      </c>
      <c r="R375">
        <v>4</v>
      </c>
      <c r="S375" t="s">
        <v>67</v>
      </c>
      <c r="T375" t="s">
        <v>84</v>
      </c>
      <c r="U375" t="s">
        <v>47</v>
      </c>
      <c r="V375" t="s">
        <v>69</v>
      </c>
    </row>
    <row r="376" spans="1:22" x14ac:dyDescent="0.3">
      <c r="A376" t="s">
        <v>564</v>
      </c>
      <c r="B376" s="1">
        <v>45670</v>
      </c>
      <c r="C376" t="s">
        <v>49</v>
      </c>
      <c r="D376" t="s">
        <v>50</v>
      </c>
      <c r="E376" t="s">
        <v>109</v>
      </c>
      <c r="F376" t="s">
        <v>88</v>
      </c>
      <c r="G376" t="s">
        <v>89</v>
      </c>
      <c r="H376" t="s">
        <v>90</v>
      </c>
      <c r="I376" t="s">
        <v>91</v>
      </c>
      <c r="J376" t="s">
        <v>43</v>
      </c>
      <c r="K376" t="s">
        <v>44</v>
      </c>
      <c r="L376" s="2">
        <v>0.375</v>
      </c>
      <c r="M376" s="2">
        <v>0.75</v>
      </c>
      <c r="N376">
        <v>8</v>
      </c>
      <c r="O376">
        <v>0</v>
      </c>
      <c r="P376" t="s">
        <v>32</v>
      </c>
      <c r="R376">
        <v>4</v>
      </c>
      <c r="S376" t="s">
        <v>67</v>
      </c>
      <c r="T376" t="s">
        <v>93</v>
      </c>
      <c r="U376" t="s">
        <v>47</v>
      </c>
    </row>
    <row r="377" spans="1:22" x14ac:dyDescent="0.3">
      <c r="A377" t="s">
        <v>565</v>
      </c>
      <c r="B377" s="3">
        <v>45739</v>
      </c>
      <c r="C377" t="s">
        <v>71</v>
      </c>
      <c r="D377" t="s">
        <v>50</v>
      </c>
      <c r="E377" t="s">
        <v>103</v>
      </c>
      <c r="F377" t="s">
        <v>142</v>
      </c>
      <c r="G377" t="s">
        <v>143</v>
      </c>
      <c r="H377" t="s">
        <v>64</v>
      </c>
      <c r="I377" t="s">
        <v>65</v>
      </c>
      <c r="J377" t="s">
        <v>43</v>
      </c>
      <c r="K377" t="s">
        <v>81</v>
      </c>
      <c r="L377" s="2">
        <v>0.91666666666666663</v>
      </c>
      <c r="M377" s="2">
        <v>0.29166666666666669</v>
      </c>
      <c r="N377">
        <v>10</v>
      </c>
      <c r="O377">
        <v>2</v>
      </c>
      <c r="P377" t="s">
        <v>32</v>
      </c>
      <c r="R377">
        <v>3</v>
      </c>
      <c r="S377" t="s">
        <v>45</v>
      </c>
      <c r="T377" t="s">
        <v>68</v>
      </c>
      <c r="V377" t="s">
        <v>35</v>
      </c>
    </row>
    <row r="378" spans="1:22" x14ac:dyDescent="0.3">
      <c r="A378" t="s">
        <v>566</v>
      </c>
      <c r="B378" s="3">
        <v>45827</v>
      </c>
      <c r="C378" t="s">
        <v>23</v>
      </c>
      <c r="D378" t="s">
        <v>24</v>
      </c>
      <c r="E378" t="s">
        <v>25</v>
      </c>
      <c r="F378" t="s">
        <v>185</v>
      </c>
      <c r="G378" t="s">
        <v>186</v>
      </c>
      <c r="H378" t="s">
        <v>79</v>
      </c>
      <c r="I378" t="s">
        <v>80</v>
      </c>
      <c r="J378" t="s">
        <v>66</v>
      </c>
      <c r="K378" t="s">
        <v>81</v>
      </c>
      <c r="L378" s="2">
        <v>0.91666666666666663</v>
      </c>
      <c r="M378" s="2">
        <v>0.29166666666666669</v>
      </c>
      <c r="N378">
        <v>9</v>
      </c>
      <c r="O378">
        <v>1</v>
      </c>
      <c r="P378" t="s">
        <v>32</v>
      </c>
      <c r="R378">
        <v>5</v>
      </c>
      <c r="S378" t="s">
        <v>92</v>
      </c>
      <c r="T378" t="s">
        <v>84</v>
      </c>
      <c r="V378" t="s">
        <v>35</v>
      </c>
    </row>
    <row r="379" spans="1:22" x14ac:dyDescent="0.3">
      <c r="A379" t="s">
        <v>567</v>
      </c>
      <c r="B379" s="3">
        <v>45672</v>
      </c>
      <c r="C379" t="s">
        <v>49</v>
      </c>
      <c r="D379" t="s">
        <v>50</v>
      </c>
      <c r="E379" t="s">
        <v>51</v>
      </c>
      <c r="F379" t="s">
        <v>207</v>
      </c>
      <c r="G379" t="s">
        <v>208</v>
      </c>
      <c r="H379" t="s">
        <v>64</v>
      </c>
      <c r="I379" t="s">
        <v>65</v>
      </c>
      <c r="J379" t="s">
        <v>30</v>
      </c>
      <c r="K379" t="s">
        <v>31</v>
      </c>
      <c r="P379" t="s">
        <v>135</v>
      </c>
      <c r="S379" t="s">
        <v>92</v>
      </c>
      <c r="T379" t="s">
        <v>68</v>
      </c>
      <c r="U379" t="s">
        <v>47</v>
      </c>
      <c r="V379" t="s">
        <v>60</v>
      </c>
    </row>
    <row r="380" spans="1:22" x14ac:dyDescent="0.3">
      <c r="A380" t="s">
        <v>568</v>
      </c>
      <c r="B380" s="3">
        <v>45719</v>
      </c>
      <c r="C380" t="s">
        <v>71</v>
      </c>
      <c r="D380" t="s">
        <v>50</v>
      </c>
      <c r="E380" t="s">
        <v>109</v>
      </c>
      <c r="F380" t="s">
        <v>127</v>
      </c>
      <c r="G380" t="s">
        <v>128</v>
      </c>
      <c r="H380" t="s">
        <v>90</v>
      </c>
      <c r="I380" t="s">
        <v>91</v>
      </c>
      <c r="J380" t="s">
        <v>66</v>
      </c>
      <c r="K380" t="s">
        <v>81</v>
      </c>
      <c r="L380" s="2">
        <v>0.91666666666666663</v>
      </c>
      <c r="M380" s="2">
        <v>0.29166666666666669</v>
      </c>
      <c r="N380">
        <v>8.5</v>
      </c>
      <c r="O380">
        <v>0.5</v>
      </c>
      <c r="P380" t="s">
        <v>32</v>
      </c>
      <c r="R380">
        <v>5</v>
      </c>
      <c r="S380" t="s">
        <v>45</v>
      </c>
      <c r="T380" t="s">
        <v>93</v>
      </c>
      <c r="U380" t="s">
        <v>55</v>
      </c>
      <c r="V380" t="s">
        <v>35</v>
      </c>
    </row>
    <row r="381" spans="1:22" x14ac:dyDescent="0.3">
      <c r="A381" t="s">
        <v>569</v>
      </c>
      <c r="B381" s="1">
        <v>45807</v>
      </c>
      <c r="C381" t="s">
        <v>57</v>
      </c>
      <c r="D381" t="s">
        <v>24</v>
      </c>
      <c r="E381" t="s">
        <v>119</v>
      </c>
      <c r="F381" t="s">
        <v>26</v>
      </c>
      <c r="G381" t="s">
        <v>27</v>
      </c>
      <c r="H381" t="s">
        <v>28</v>
      </c>
      <c r="I381" t="s">
        <v>29</v>
      </c>
      <c r="J381" t="s">
        <v>30</v>
      </c>
      <c r="K381" t="s">
        <v>75</v>
      </c>
      <c r="L381" s="2">
        <v>0.375</v>
      </c>
      <c r="M381" s="2">
        <v>0.75</v>
      </c>
      <c r="N381">
        <v>8</v>
      </c>
      <c r="O381">
        <v>0</v>
      </c>
      <c r="P381" t="s">
        <v>32</v>
      </c>
      <c r="S381" t="s">
        <v>45</v>
      </c>
      <c r="T381" t="s">
        <v>34</v>
      </c>
      <c r="U381" t="s">
        <v>55</v>
      </c>
      <c r="V381" t="s">
        <v>35</v>
      </c>
    </row>
    <row r="382" spans="1:22" x14ac:dyDescent="0.3">
      <c r="A382" t="s">
        <v>570</v>
      </c>
      <c r="B382" s="1">
        <v>45783</v>
      </c>
      <c r="C382" t="s">
        <v>57</v>
      </c>
      <c r="D382" t="s">
        <v>24</v>
      </c>
      <c r="E382" t="s">
        <v>87</v>
      </c>
      <c r="F382" t="s">
        <v>72</v>
      </c>
      <c r="G382" t="s">
        <v>73</v>
      </c>
      <c r="H382" t="s">
        <v>28</v>
      </c>
      <c r="I382" t="s">
        <v>29</v>
      </c>
      <c r="J382" t="s">
        <v>74</v>
      </c>
      <c r="K382" t="s">
        <v>31</v>
      </c>
      <c r="L382" s="2">
        <v>0.375</v>
      </c>
      <c r="M382" s="2">
        <v>0.75</v>
      </c>
      <c r="N382">
        <v>8</v>
      </c>
      <c r="O382">
        <v>0</v>
      </c>
      <c r="P382" t="s">
        <v>32</v>
      </c>
      <c r="S382" t="s">
        <v>33</v>
      </c>
      <c r="T382" t="s">
        <v>34</v>
      </c>
      <c r="U382" t="s">
        <v>85</v>
      </c>
      <c r="V382" t="s">
        <v>69</v>
      </c>
    </row>
    <row r="383" spans="1:22" x14ac:dyDescent="0.3">
      <c r="A383" t="s">
        <v>571</v>
      </c>
      <c r="B383" s="3">
        <v>45680</v>
      </c>
      <c r="C383" t="s">
        <v>49</v>
      </c>
      <c r="D383" t="s">
        <v>50</v>
      </c>
      <c r="E383" t="s">
        <v>25</v>
      </c>
      <c r="F383" t="s">
        <v>281</v>
      </c>
      <c r="G383" t="s">
        <v>282</v>
      </c>
      <c r="H383" t="s">
        <v>90</v>
      </c>
      <c r="I383" t="s">
        <v>91</v>
      </c>
      <c r="J383" t="s">
        <v>30</v>
      </c>
      <c r="K383" t="s">
        <v>75</v>
      </c>
      <c r="L383" s="2">
        <v>0.375</v>
      </c>
      <c r="M383" s="2">
        <v>0.75</v>
      </c>
      <c r="N383">
        <v>8</v>
      </c>
      <c r="O383">
        <v>0</v>
      </c>
      <c r="P383" t="s">
        <v>32</v>
      </c>
      <c r="R383">
        <v>3</v>
      </c>
      <c r="S383" t="s">
        <v>33</v>
      </c>
      <c r="T383" t="s">
        <v>93</v>
      </c>
      <c r="U383" t="s">
        <v>55</v>
      </c>
    </row>
    <row r="384" spans="1:22" x14ac:dyDescent="0.3">
      <c r="A384" t="s">
        <v>572</v>
      </c>
      <c r="B384" s="1">
        <v>45742</v>
      </c>
      <c r="C384" t="s">
        <v>71</v>
      </c>
      <c r="D384" t="s">
        <v>50</v>
      </c>
      <c r="E384" t="s">
        <v>51</v>
      </c>
      <c r="F384" t="s">
        <v>504</v>
      </c>
      <c r="G384" t="s">
        <v>505</v>
      </c>
      <c r="H384" t="s">
        <v>98</v>
      </c>
      <c r="I384" t="s">
        <v>99</v>
      </c>
      <c r="J384" t="s">
        <v>100</v>
      </c>
      <c r="K384" t="s">
        <v>54</v>
      </c>
      <c r="L384" s="2">
        <v>0.375</v>
      </c>
      <c r="M384" s="2">
        <v>0.75</v>
      </c>
      <c r="N384">
        <v>8</v>
      </c>
      <c r="O384">
        <v>0</v>
      </c>
      <c r="P384" t="s">
        <v>32</v>
      </c>
      <c r="R384">
        <v>4</v>
      </c>
      <c r="S384" t="s">
        <v>45</v>
      </c>
      <c r="T384" t="s">
        <v>101</v>
      </c>
      <c r="U384" t="s">
        <v>85</v>
      </c>
      <c r="V384" t="s">
        <v>69</v>
      </c>
    </row>
    <row r="385" spans="1:22" x14ac:dyDescent="0.3">
      <c r="A385" t="s">
        <v>573</v>
      </c>
      <c r="B385" s="3">
        <v>45689</v>
      </c>
      <c r="C385" t="s">
        <v>95</v>
      </c>
      <c r="D385" t="s">
        <v>50</v>
      </c>
      <c r="E385" t="s">
        <v>38</v>
      </c>
      <c r="F385" t="s">
        <v>52</v>
      </c>
      <c r="G385" t="s">
        <v>53</v>
      </c>
      <c r="H385" t="s">
        <v>41</v>
      </c>
      <c r="I385" t="s">
        <v>42</v>
      </c>
      <c r="J385" t="s">
        <v>43</v>
      </c>
      <c r="K385" t="s">
        <v>81</v>
      </c>
      <c r="L385" s="2">
        <v>0.91666666666666663</v>
      </c>
      <c r="M385" s="2">
        <v>0.29166666666666669</v>
      </c>
      <c r="N385">
        <v>10</v>
      </c>
      <c r="O385">
        <v>2</v>
      </c>
      <c r="P385" t="s">
        <v>32</v>
      </c>
      <c r="R385">
        <v>4</v>
      </c>
      <c r="S385" t="s">
        <v>92</v>
      </c>
      <c r="T385" t="s">
        <v>46</v>
      </c>
      <c r="U385" t="s">
        <v>47</v>
      </c>
      <c r="V385" t="s">
        <v>35</v>
      </c>
    </row>
    <row r="386" spans="1:22" x14ac:dyDescent="0.3">
      <c r="A386" t="s">
        <v>574</v>
      </c>
      <c r="B386" s="1">
        <v>45828</v>
      </c>
      <c r="C386" t="s">
        <v>23</v>
      </c>
      <c r="D386" t="s">
        <v>24</v>
      </c>
      <c r="E386" t="s">
        <v>119</v>
      </c>
      <c r="F386" t="s">
        <v>116</v>
      </c>
      <c r="G386" t="s">
        <v>117</v>
      </c>
      <c r="H386" t="s">
        <v>112</v>
      </c>
      <c r="I386" t="s">
        <v>113</v>
      </c>
      <c r="J386" t="s">
        <v>100</v>
      </c>
      <c r="K386" t="s">
        <v>75</v>
      </c>
      <c r="L386" s="2">
        <v>0.3888888888888889</v>
      </c>
      <c r="M386" s="2">
        <v>0.75</v>
      </c>
      <c r="N386">
        <v>8</v>
      </c>
      <c r="O386">
        <v>0</v>
      </c>
      <c r="P386" t="s">
        <v>32</v>
      </c>
      <c r="R386">
        <v>3</v>
      </c>
      <c r="S386" t="s">
        <v>92</v>
      </c>
      <c r="T386" t="s">
        <v>114</v>
      </c>
    </row>
    <row r="387" spans="1:22" x14ac:dyDescent="0.3">
      <c r="A387" t="s">
        <v>575</v>
      </c>
      <c r="B387" s="3">
        <v>45694</v>
      </c>
      <c r="C387" t="s">
        <v>95</v>
      </c>
      <c r="D387" t="s">
        <v>50</v>
      </c>
      <c r="E387" t="s">
        <v>25</v>
      </c>
      <c r="F387" t="s">
        <v>148</v>
      </c>
      <c r="G387" t="s">
        <v>149</v>
      </c>
      <c r="H387" t="s">
        <v>112</v>
      </c>
      <c r="I387" t="s">
        <v>113</v>
      </c>
      <c r="J387" t="s">
        <v>43</v>
      </c>
      <c r="K387" t="s">
        <v>81</v>
      </c>
      <c r="L387" s="2">
        <v>0.38194444444444442</v>
      </c>
      <c r="M387" s="2">
        <v>0.29166666666666669</v>
      </c>
      <c r="N387">
        <v>8.5</v>
      </c>
      <c r="O387">
        <v>0.5</v>
      </c>
      <c r="P387" t="s">
        <v>32</v>
      </c>
      <c r="R387">
        <v>3</v>
      </c>
      <c r="S387" t="s">
        <v>67</v>
      </c>
      <c r="T387" t="s">
        <v>114</v>
      </c>
      <c r="U387" t="s">
        <v>85</v>
      </c>
      <c r="V387" t="s">
        <v>69</v>
      </c>
    </row>
    <row r="388" spans="1:22" x14ac:dyDescent="0.3">
      <c r="A388" t="s">
        <v>576</v>
      </c>
      <c r="B388" s="3">
        <v>45773</v>
      </c>
      <c r="C388" t="s">
        <v>37</v>
      </c>
      <c r="D388" t="s">
        <v>24</v>
      </c>
      <c r="E388" t="s">
        <v>38</v>
      </c>
      <c r="F388" t="s">
        <v>258</v>
      </c>
      <c r="G388" t="s">
        <v>259</v>
      </c>
      <c r="H388" t="s">
        <v>112</v>
      </c>
      <c r="I388" t="s">
        <v>113</v>
      </c>
      <c r="J388" t="s">
        <v>74</v>
      </c>
      <c r="K388" t="s">
        <v>75</v>
      </c>
      <c r="L388" s="2">
        <v>0.375</v>
      </c>
      <c r="M388" s="2">
        <v>0.75</v>
      </c>
      <c r="N388">
        <v>8</v>
      </c>
      <c r="O388">
        <v>0</v>
      </c>
      <c r="P388" t="s">
        <v>32</v>
      </c>
      <c r="R388">
        <v>4</v>
      </c>
      <c r="S388" t="s">
        <v>45</v>
      </c>
      <c r="T388" t="s">
        <v>114</v>
      </c>
      <c r="V388" t="s">
        <v>69</v>
      </c>
    </row>
    <row r="389" spans="1:22" x14ac:dyDescent="0.3">
      <c r="A389" t="s">
        <v>577</v>
      </c>
      <c r="B389" s="1">
        <v>45766</v>
      </c>
      <c r="C389" t="s">
        <v>37</v>
      </c>
      <c r="D389" t="s">
        <v>24</v>
      </c>
      <c r="E389" t="s">
        <v>38</v>
      </c>
      <c r="F389" t="s">
        <v>504</v>
      </c>
      <c r="G389" t="s">
        <v>505</v>
      </c>
      <c r="H389" t="s">
        <v>98</v>
      </c>
      <c r="I389" t="s">
        <v>99</v>
      </c>
      <c r="J389" t="s">
        <v>100</v>
      </c>
      <c r="K389" t="s">
        <v>44</v>
      </c>
      <c r="L389" s="2">
        <v>0.375</v>
      </c>
      <c r="M389" s="2">
        <v>0.75</v>
      </c>
      <c r="N389">
        <v>8</v>
      </c>
      <c r="O389">
        <v>0</v>
      </c>
      <c r="P389" t="s">
        <v>32</v>
      </c>
      <c r="R389">
        <v>3</v>
      </c>
      <c r="S389" t="s">
        <v>45</v>
      </c>
      <c r="T389" t="s">
        <v>101</v>
      </c>
      <c r="U389" t="s">
        <v>55</v>
      </c>
    </row>
    <row r="390" spans="1:22" x14ac:dyDescent="0.3">
      <c r="A390" t="s">
        <v>578</v>
      </c>
      <c r="B390" s="3">
        <v>45781</v>
      </c>
      <c r="C390" t="s">
        <v>57</v>
      </c>
      <c r="D390" t="s">
        <v>24</v>
      </c>
      <c r="E390" t="s">
        <v>103</v>
      </c>
      <c r="F390" t="s">
        <v>104</v>
      </c>
      <c r="G390" t="s">
        <v>105</v>
      </c>
      <c r="H390" t="s">
        <v>28</v>
      </c>
      <c r="I390" t="s">
        <v>29</v>
      </c>
      <c r="J390" t="s">
        <v>30</v>
      </c>
      <c r="K390" t="s">
        <v>54</v>
      </c>
      <c r="L390" s="2">
        <v>0.375</v>
      </c>
      <c r="M390" s="2">
        <v>0.75</v>
      </c>
      <c r="N390">
        <v>8</v>
      </c>
      <c r="O390">
        <v>0</v>
      </c>
      <c r="P390" t="s">
        <v>32</v>
      </c>
      <c r="R390">
        <v>4</v>
      </c>
      <c r="S390" t="s">
        <v>67</v>
      </c>
      <c r="T390" t="s">
        <v>34</v>
      </c>
    </row>
    <row r="391" spans="1:22" x14ac:dyDescent="0.3">
      <c r="A391" t="s">
        <v>579</v>
      </c>
      <c r="B391" s="1">
        <v>45731</v>
      </c>
      <c r="C391" t="s">
        <v>71</v>
      </c>
      <c r="D391" t="s">
        <v>50</v>
      </c>
      <c r="E391" t="s">
        <v>38</v>
      </c>
      <c r="F391" t="s">
        <v>228</v>
      </c>
      <c r="G391" t="s">
        <v>229</v>
      </c>
      <c r="H391" t="s">
        <v>79</v>
      </c>
      <c r="I391" t="s">
        <v>80</v>
      </c>
      <c r="J391" t="s">
        <v>43</v>
      </c>
      <c r="K391" t="s">
        <v>44</v>
      </c>
      <c r="L391" s="2">
        <v>0.375</v>
      </c>
      <c r="M391" s="2">
        <v>0.75</v>
      </c>
      <c r="N391">
        <v>8</v>
      </c>
      <c r="O391">
        <v>0</v>
      </c>
      <c r="P391" t="s">
        <v>32</v>
      </c>
      <c r="S391" t="s">
        <v>67</v>
      </c>
      <c r="T391" t="s">
        <v>84</v>
      </c>
      <c r="U391" t="s">
        <v>85</v>
      </c>
      <c r="V391" t="s">
        <v>35</v>
      </c>
    </row>
    <row r="392" spans="1:22" x14ac:dyDescent="0.3">
      <c r="A392" t="s">
        <v>580</v>
      </c>
      <c r="B392" s="3">
        <v>45799</v>
      </c>
      <c r="C392" t="s">
        <v>57</v>
      </c>
      <c r="D392" t="s">
        <v>24</v>
      </c>
      <c r="E392" t="s">
        <v>25</v>
      </c>
      <c r="F392" t="s">
        <v>195</v>
      </c>
      <c r="G392" t="s">
        <v>196</v>
      </c>
      <c r="H392" t="s">
        <v>581</v>
      </c>
      <c r="I392" t="s">
        <v>99</v>
      </c>
      <c r="J392" t="s">
        <v>43</v>
      </c>
      <c r="K392" t="s">
        <v>75</v>
      </c>
      <c r="L392" s="2">
        <v>0.375</v>
      </c>
      <c r="M392" s="2">
        <v>0.75</v>
      </c>
      <c r="N392">
        <v>8</v>
      </c>
      <c r="O392">
        <v>0</v>
      </c>
      <c r="P392" t="s">
        <v>32</v>
      </c>
      <c r="R392">
        <v>4</v>
      </c>
      <c r="S392" t="s">
        <v>67</v>
      </c>
      <c r="T392" t="s">
        <v>101</v>
      </c>
      <c r="U392" t="s">
        <v>55</v>
      </c>
      <c r="V392" t="s">
        <v>35</v>
      </c>
    </row>
    <row r="393" spans="1:22" x14ac:dyDescent="0.3">
      <c r="A393" t="s">
        <v>582</v>
      </c>
      <c r="B393" s="3">
        <v>45779</v>
      </c>
      <c r="C393" t="s">
        <v>57</v>
      </c>
      <c r="D393" t="s">
        <v>24</v>
      </c>
      <c r="E393" t="s">
        <v>119</v>
      </c>
      <c r="F393" t="s">
        <v>170</v>
      </c>
      <c r="G393" t="s">
        <v>171</v>
      </c>
      <c r="H393" t="s">
        <v>64</v>
      </c>
      <c r="I393" t="s">
        <v>65</v>
      </c>
      <c r="J393" t="s">
        <v>43</v>
      </c>
      <c r="K393" t="s">
        <v>81</v>
      </c>
      <c r="L393" s="2">
        <v>0.91666666666666663</v>
      </c>
      <c r="M393" s="2">
        <v>0.29166666666666669</v>
      </c>
      <c r="N393">
        <v>10</v>
      </c>
      <c r="O393">
        <v>2</v>
      </c>
      <c r="P393" t="s">
        <v>32</v>
      </c>
      <c r="R393">
        <v>5</v>
      </c>
      <c r="S393" t="s">
        <v>67</v>
      </c>
      <c r="T393" t="s">
        <v>68</v>
      </c>
      <c r="V393" t="s">
        <v>35</v>
      </c>
    </row>
    <row r="394" spans="1:22" x14ac:dyDescent="0.3">
      <c r="A394" t="s">
        <v>583</v>
      </c>
      <c r="B394" s="3">
        <v>45664</v>
      </c>
      <c r="C394" t="s">
        <v>49</v>
      </c>
      <c r="D394" t="s">
        <v>50</v>
      </c>
      <c r="E394" t="s">
        <v>87</v>
      </c>
      <c r="F394" t="s">
        <v>77</v>
      </c>
      <c r="G394" t="s">
        <v>78</v>
      </c>
      <c r="H394" t="s">
        <v>79</v>
      </c>
      <c r="I394" t="s">
        <v>80</v>
      </c>
      <c r="J394" t="s">
        <v>30</v>
      </c>
      <c r="K394" t="s">
        <v>44</v>
      </c>
      <c r="L394" s="2">
        <v>0.375</v>
      </c>
      <c r="M394" s="2">
        <v>0.75</v>
      </c>
      <c r="N394">
        <v>8</v>
      </c>
      <c r="O394">
        <v>0</v>
      </c>
      <c r="P394" t="s">
        <v>32</v>
      </c>
      <c r="R394">
        <v>5</v>
      </c>
      <c r="S394" t="s">
        <v>92</v>
      </c>
      <c r="T394" t="s">
        <v>84</v>
      </c>
      <c r="U394" t="s">
        <v>55</v>
      </c>
    </row>
    <row r="395" spans="1:22" x14ac:dyDescent="0.3">
      <c r="A395" t="s">
        <v>584</v>
      </c>
      <c r="B395" s="1">
        <v>45721</v>
      </c>
      <c r="C395" t="s">
        <v>71</v>
      </c>
      <c r="D395" t="s">
        <v>50</v>
      </c>
      <c r="E395" t="s">
        <v>51</v>
      </c>
      <c r="F395" t="s">
        <v>151</v>
      </c>
      <c r="G395" t="s">
        <v>152</v>
      </c>
      <c r="H395" t="s">
        <v>98</v>
      </c>
      <c r="I395" t="s">
        <v>99</v>
      </c>
      <c r="J395" t="s">
        <v>30</v>
      </c>
      <c r="K395" t="s">
        <v>31</v>
      </c>
      <c r="P395" t="s">
        <v>135</v>
      </c>
      <c r="S395" t="s">
        <v>67</v>
      </c>
      <c r="T395" t="s">
        <v>101</v>
      </c>
      <c r="U395" t="s">
        <v>85</v>
      </c>
    </row>
    <row r="396" spans="1:22" x14ac:dyDescent="0.3">
      <c r="A396" t="s">
        <v>585</v>
      </c>
      <c r="B396" s="3">
        <v>45779</v>
      </c>
      <c r="C396" t="s">
        <v>57</v>
      </c>
      <c r="D396" t="s">
        <v>24</v>
      </c>
      <c r="E396" t="s">
        <v>119</v>
      </c>
      <c r="F396" t="s">
        <v>96</v>
      </c>
      <c r="G396" t="s">
        <v>97</v>
      </c>
      <c r="H396" t="s">
        <v>98</v>
      </c>
      <c r="I396" t="s">
        <v>99</v>
      </c>
      <c r="J396" t="s">
        <v>100</v>
      </c>
      <c r="K396" t="s">
        <v>75</v>
      </c>
      <c r="L396" s="2">
        <v>0.375</v>
      </c>
      <c r="M396" s="2">
        <v>0.75</v>
      </c>
      <c r="N396">
        <v>8</v>
      </c>
      <c r="O396">
        <v>0</v>
      </c>
      <c r="P396" t="s">
        <v>32</v>
      </c>
      <c r="R396">
        <v>4</v>
      </c>
      <c r="S396" t="s">
        <v>33</v>
      </c>
      <c r="T396" t="s">
        <v>101</v>
      </c>
      <c r="U396" t="s">
        <v>55</v>
      </c>
      <c r="V396" t="s">
        <v>35</v>
      </c>
    </row>
    <row r="397" spans="1:22" x14ac:dyDescent="0.3">
      <c r="A397" t="s">
        <v>586</v>
      </c>
      <c r="B397" s="3">
        <v>45704</v>
      </c>
      <c r="C397" t="s">
        <v>95</v>
      </c>
      <c r="D397" t="s">
        <v>50</v>
      </c>
      <c r="E397" t="s">
        <v>103</v>
      </c>
      <c r="F397" t="s">
        <v>228</v>
      </c>
      <c r="G397" t="s">
        <v>229</v>
      </c>
      <c r="H397" t="s">
        <v>79</v>
      </c>
      <c r="I397" t="s">
        <v>80</v>
      </c>
      <c r="J397" t="s">
        <v>43</v>
      </c>
      <c r="K397" t="s">
        <v>75</v>
      </c>
      <c r="L397" s="2">
        <v>0.375</v>
      </c>
      <c r="M397" s="2">
        <v>0.75</v>
      </c>
      <c r="N397">
        <v>8</v>
      </c>
      <c r="O397">
        <v>0</v>
      </c>
      <c r="P397" t="s">
        <v>32</v>
      </c>
      <c r="R397">
        <v>5</v>
      </c>
      <c r="S397" t="s">
        <v>67</v>
      </c>
      <c r="T397" t="s">
        <v>84</v>
      </c>
      <c r="U397" t="s">
        <v>47</v>
      </c>
      <c r="V397" t="s">
        <v>35</v>
      </c>
    </row>
    <row r="398" spans="1:22" x14ac:dyDescent="0.3">
      <c r="A398" t="s">
        <v>587</v>
      </c>
      <c r="B398" s="3">
        <v>45834</v>
      </c>
      <c r="C398" t="s">
        <v>23</v>
      </c>
      <c r="D398" t="s">
        <v>24</v>
      </c>
      <c r="E398" t="s">
        <v>25</v>
      </c>
      <c r="F398" t="s">
        <v>72</v>
      </c>
      <c r="G398" t="s">
        <v>73</v>
      </c>
      <c r="H398" t="s">
        <v>28</v>
      </c>
      <c r="I398" t="s">
        <v>29</v>
      </c>
      <c r="J398" t="s">
        <v>74</v>
      </c>
      <c r="K398" t="s">
        <v>81</v>
      </c>
      <c r="P398" t="s">
        <v>82</v>
      </c>
      <c r="S398" t="s">
        <v>45</v>
      </c>
      <c r="T398" t="s">
        <v>34</v>
      </c>
      <c r="U398" t="s">
        <v>85</v>
      </c>
      <c r="V398" t="s">
        <v>35</v>
      </c>
    </row>
    <row r="399" spans="1:22" x14ac:dyDescent="0.3">
      <c r="A399" t="s">
        <v>588</v>
      </c>
      <c r="B399" s="3">
        <v>45714</v>
      </c>
      <c r="C399" t="s">
        <v>95</v>
      </c>
      <c r="D399" t="s">
        <v>50</v>
      </c>
      <c r="E399" t="s">
        <v>51</v>
      </c>
      <c r="F399" t="s">
        <v>127</v>
      </c>
      <c r="G399" t="s">
        <v>128</v>
      </c>
      <c r="H399" t="s">
        <v>90</v>
      </c>
      <c r="I399" t="s">
        <v>91</v>
      </c>
      <c r="J399" t="s">
        <v>66</v>
      </c>
      <c r="K399" t="s">
        <v>81</v>
      </c>
      <c r="L399" s="2">
        <v>0.91666666666666663</v>
      </c>
      <c r="M399" s="2">
        <v>0.29166666666666669</v>
      </c>
      <c r="N399">
        <v>10</v>
      </c>
      <c r="O399">
        <v>2</v>
      </c>
      <c r="P399" t="s">
        <v>32</v>
      </c>
      <c r="R399">
        <v>3</v>
      </c>
      <c r="S399" t="s">
        <v>45</v>
      </c>
      <c r="T399" t="s">
        <v>93</v>
      </c>
      <c r="V399" t="s">
        <v>69</v>
      </c>
    </row>
    <row r="400" spans="1:22" x14ac:dyDescent="0.3">
      <c r="A400" t="s">
        <v>589</v>
      </c>
      <c r="B400" s="3">
        <v>45829</v>
      </c>
      <c r="C400" t="s">
        <v>23</v>
      </c>
      <c r="D400" t="s">
        <v>24</v>
      </c>
      <c r="E400" t="s">
        <v>38</v>
      </c>
      <c r="F400" t="s">
        <v>182</v>
      </c>
      <c r="G400" t="s">
        <v>183</v>
      </c>
      <c r="H400" t="s">
        <v>112</v>
      </c>
      <c r="I400" t="s">
        <v>113</v>
      </c>
      <c r="J400" t="s">
        <v>30</v>
      </c>
      <c r="K400" t="s">
        <v>75</v>
      </c>
      <c r="L400" s="2">
        <v>0.39930555555555558</v>
      </c>
      <c r="M400" s="2">
        <v>0.75</v>
      </c>
      <c r="N400">
        <v>8</v>
      </c>
      <c r="O400">
        <v>0</v>
      </c>
      <c r="P400" t="s">
        <v>32</v>
      </c>
      <c r="R400">
        <v>4</v>
      </c>
      <c r="S400" t="s">
        <v>33</v>
      </c>
      <c r="T400" t="s">
        <v>114</v>
      </c>
      <c r="U400" t="s">
        <v>55</v>
      </c>
    </row>
    <row r="401" spans="1:22" x14ac:dyDescent="0.3">
      <c r="A401" t="s">
        <v>590</v>
      </c>
      <c r="B401" s="3">
        <v>45794</v>
      </c>
      <c r="C401" t="s">
        <v>57</v>
      </c>
      <c r="D401" t="s">
        <v>24</v>
      </c>
      <c r="E401" t="s">
        <v>38</v>
      </c>
      <c r="F401" t="s">
        <v>145</v>
      </c>
      <c r="G401" t="s">
        <v>146</v>
      </c>
      <c r="H401" t="s">
        <v>90</v>
      </c>
      <c r="I401" t="s">
        <v>91</v>
      </c>
      <c r="J401" t="s">
        <v>100</v>
      </c>
      <c r="K401" t="s">
        <v>81</v>
      </c>
      <c r="L401" s="2">
        <v>0.91666666666666663</v>
      </c>
      <c r="M401" s="2">
        <v>0.29166666666666669</v>
      </c>
      <c r="N401">
        <v>9.5</v>
      </c>
      <c r="O401">
        <v>1.5</v>
      </c>
      <c r="P401" t="s">
        <v>32</v>
      </c>
      <c r="R401">
        <v>3</v>
      </c>
      <c r="S401" t="s">
        <v>45</v>
      </c>
      <c r="T401" t="s">
        <v>93</v>
      </c>
      <c r="U401" t="s">
        <v>85</v>
      </c>
    </row>
    <row r="402" spans="1:22" x14ac:dyDescent="0.3">
      <c r="A402" t="s">
        <v>591</v>
      </c>
      <c r="B402" s="1">
        <v>45728</v>
      </c>
      <c r="C402" t="s">
        <v>71</v>
      </c>
      <c r="D402" t="s">
        <v>50</v>
      </c>
      <c r="E402" t="s">
        <v>51</v>
      </c>
      <c r="F402" t="s">
        <v>62</v>
      </c>
      <c r="G402" t="s">
        <v>63</v>
      </c>
      <c r="H402" t="s">
        <v>64</v>
      </c>
      <c r="I402" t="s">
        <v>65</v>
      </c>
      <c r="J402" t="s">
        <v>66</v>
      </c>
      <c r="K402" t="s">
        <v>44</v>
      </c>
      <c r="L402" s="2">
        <v>0.375</v>
      </c>
      <c r="M402" s="2">
        <v>0.75</v>
      </c>
      <c r="N402">
        <v>8.5</v>
      </c>
      <c r="O402">
        <v>0.5</v>
      </c>
      <c r="P402" t="s">
        <v>32</v>
      </c>
      <c r="R402">
        <v>3</v>
      </c>
      <c r="S402" t="s">
        <v>33</v>
      </c>
      <c r="T402" t="s">
        <v>68</v>
      </c>
      <c r="U402" t="s">
        <v>85</v>
      </c>
      <c r="V402" t="s">
        <v>69</v>
      </c>
    </row>
    <row r="403" spans="1:22" x14ac:dyDescent="0.3">
      <c r="A403" t="s">
        <v>592</v>
      </c>
      <c r="B403" s="3">
        <v>45695</v>
      </c>
      <c r="C403" t="s">
        <v>95</v>
      </c>
      <c r="D403" t="s">
        <v>50</v>
      </c>
      <c r="E403" t="s">
        <v>119</v>
      </c>
      <c r="F403" t="s">
        <v>120</v>
      </c>
      <c r="G403" t="s">
        <v>121</v>
      </c>
      <c r="H403" t="s">
        <v>41</v>
      </c>
      <c r="I403" t="s">
        <v>42</v>
      </c>
      <c r="J403" t="s">
        <v>74</v>
      </c>
      <c r="K403" t="s">
        <v>54</v>
      </c>
      <c r="L403" s="2">
        <v>0.375</v>
      </c>
      <c r="M403" s="2">
        <v>0.75</v>
      </c>
      <c r="N403">
        <v>8</v>
      </c>
      <c r="O403">
        <v>0</v>
      </c>
      <c r="P403" t="s">
        <v>32</v>
      </c>
      <c r="R403">
        <v>4</v>
      </c>
      <c r="S403" t="s">
        <v>92</v>
      </c>
      <c r="T403" t="s">
        <v>46</v>
      </c>
      <c r="U403" t="s">
        <v>47</v>
      </c>
      <c r="V403" t="s">
        <v>35</v>
      </c>
    </row>
    <row r="404" spans="1:22" x14ac:dyDescent="0.3">
      <c r="A404" t="s">
        <v>593</v>
      </c>
      <c r="B404" s="3">
        <v>45788</v>
      </c>
      <c r="C404" t="s">
        <v>57</v>
      </c>
      <c r="D404" t="s">
        <v>24</v>
      </c>
      <c r="E404" t="s">
        <v>103</v>
      </c>
      <c r="F404" t="s">
        <v>39</v>
      </c>
      <c r="G404" t="s">
        <v>40</v>
      </c>
      <c r="H404" t="s">
        <v>41</v>
      </c>
      <c r="I404" t="s">
        <v>42</v>
      </c>
      <c r="J404" t="s">
        <v>43</v>
      </c>
      <c r="K404" t="s">
        <v>54</v>
      </c>
      <c r="L404" s="2">
        <v>0.375</v>
      </c>
      <c r="M404" s="2">
        <v>0.75</v>
      </c>
      <c r="N404">
        <v>8</v>
      </c>
      <c r="O404">
        <v>0</v>
      </c>
      <c r="P404" t="s">
        <v>32</v>
      </c>
      <c r="S404" t="s">
        <v>33</v>
      </c>
      <c r="T404" t="s">
        <v>46</v>
      </c>
    </row>
    <row r="405" spans="1:22" x14ac:dyDescent="0.3">
      <c r="A405" t="s">
        <v>594</v>
      </c>
      <c r="B405" s="3">
        <v>45691</v>
      </c>
      <c r="C405" t="s">
        <v>95</v>
      </c>
      <c r="D405" t="s">
        <v>50</v>
      </c>
      <c r="E405" t="s">
        <v>109</v>
      </c>
      <c r="F405" t="s">
        <v>215</v>
      </c>
      <c r="G405" t="s">
        <v>216</v>
      </c>
      <c r="H405" t="s">
        <v>79</v>
      </c>
      <c r="I405" t="s">
        <v>80</v>
      </c>
      <c r="J405" t="s">
        <v>30</v>
      </c>
      <c r="K405" t="s">
        <v>44</v>
      </c>
      <c r="L405" s="2">
        <v>0.375</v>
      </c>
      <c r="M405" s="2">
        <v>0.75</v>
      </c>
      <c r="N405">
        <v>8</v>
      </c>
      <c r="O405">
        <v>0</v>
      </c>
      <c r="P405" t="s">
        <v>32</v>
      </c>
      <c r="R405">
        <v>5</v>
      </c>
      <c r="S405" t="s">
        <v>67</v>
      </c>
      <c r="T405" t="s">
        <v>84</v>
      </c>
      <c r="V405" t="s">
        <v>69</v>
      </c>
    </row>
    <row r="406" spans="1:22" x14ac:dyDescent="0.3">
      <c r="A406" t="s">
        <v>595</v>
      </c>
      <c r="B406" s="3">
        <v>45702</v>
      </c>
      <c r="C406" t="s">
        <v>95</v>
      </c>
      <c r="D406" t="s">
        <v>50</v>
      </c>
      <c r="E406" t="s">
        <v>119</v>
      </c>
      <c r="F406" t="s">
        <v>72</v>
      </c>
      <c r="G406" t="s">
        <v>73</v>
      </c>
      <c r="H406" t="s">
        <v>28</v>
      </c>
      <c r="I406" t="s">
        <v>29</v>
      </c>
      <c r="J406" t="s">
        <v>74</v>
      </c>
      <c r="K406" t="s">
        <v>54</v>
      </c>
      <c r="M406" s="2">
        <v>0.75</v>
      </c>
      <c r="N406">
        <v>8</v>
      </c>
      <c r="O406">
        <v>0</v>
      </c>
      <c r="P406" t="s">
        <v>32</v>
      </c>
      <c r="R406">
        <v>4</v>
      </c>
      <c r="S406" t="s">
        <v>45</v>
      </c>
      <c r="T406" t="s">
        <v>34</v>
      </c>
      <c r="V406" t="s">
        <v>69</v>
      </c>
    </row>
    <row r="407" spans="1:22" x14ac:dyDescent="0.3">
      <c r="A407" t="s">
        <v>596</v>
      </c>
      <c r="B407" s="1">
        <v>45799</v>
      </c>
      <c r="C407" t="s">
        <v>57</v>
      </c>
      <c r="D407" t="s">
        <v>24</v>
      </c>
      <c r="E407" t="s">
        <v>25</v>
      </c>
      <c r="F407" t="s">
        <v>163</v>
      </c>
      <c r="G407" t="s">
        <v>164</v>
      </c>
      <c r="H407" t="s">
        <v>112</v>
      </c>
      <c r="I407" t="s">
        <v>113</v>
      </c>
      <c r="J407" t="s">
        <v>100</v>
      </c>
      <c r="K407" t="s">
        <v>31</v>
      </c>
      <c r="P407" t="s">
        <v>135</v>
      </c>
      <c r="S407" t="s">
        <v>45</v>
      </c>
      <c r="T407" t="s">
        <v>114</v>
      </c>
      <c r="U407" t="s">
        <v>55</v>
      </c>
    </row>
    <row r="408" spans="1:22" x14ac:dyDescent="0.3">
      <c r="A408" t="s">
        <v>597</v>
      </c>
      <c r="B408" s="3">
        <v>45696</v>
      </c>
      <c r="C408" t="s">
        <v>95</v>
      </c>
      <c r="D408" t="s">
        <v>50</v>
      </c>
      <c r="E408" t="s">
        <v>38</v>
      </c>
      <c r="F408" t="s">
        <v>207</v>
      </c>
      <c r="G408" t="s">
        <v>208</v>
      </c>
      <c r="H408" t="s">
        <v>64</v>
      </c>
      <c r="I408" t="s">
        <v>65</v>
      </c>
      <c r="J408" t="s">
        <v>30</v>
      </c>
      <c r="K408" t="s">
        <v>54</v>
      </c>
      <c r="L408" s="2">
        <v>0.375</v>
      </c>
      <c r="M408" s="2">
        <v>0.75</v>
      </c>
      <c r="N408">
        <v>8.5</v>
      </c>
      <c r="O408">
        <v>0.5</v>
      </c>
      <c r="P408" t="s">
        <v>32</v>
      </c>
      <c r="R408">
        <v>4</v>
      </c>
      <c r="S408" t="s">
        <v>45</v>
      </c>
      <c r="T408" t="s">
        <v>68</v>
      </c>
      <c r="V408" t="s">
        <v>35</v>
      </c>
    </row>
    <row r="409" spans="1:22" x14ac:dyDescent="0.3">
      <c r="A409" t="s">
        <v>598</v>
      </c>
      <c r="B409" s="3">
        <v>45739</v>
      </c>
      <c r="C409" t="s">
        <v>71</v>
      </c>
      <c r="D409" t="s">
        <v>50</v>
      </c>
      <c r="E409" t="s">
        <v>103</v>
      </c>
      <c r="F409" t="s">
        <v>133</v>
      </c>
      <c r="G409" t="s">
        <v>134</v>
      </c>
      <c r="H409" t="s">
        <v>98</v>
      </c>
      <c r="I409" t="s">
        <v>99</v>
      </c>
      <c r="J409" t="s">
        <v>66</v>
      </c>
      <c r="K409" t="s">
        <v>44</v>
      </c>
      <c r="L409" s="2">
        <v>0.375</v>
      </c>
      <c r="M409" s="2">
        <v>0.75</v>
      </c>
      <c r="N409">
        <v>8</v>
      </c>
      <c r="O409">
        <v>0</v>
      </c>
      <c r="P409" t="s">
        <v>32</v>
      </c>
      <c r="S409" t="s">
        <v>92</v>
      </c>
      <c r="T409" t="s">
        <v>101</v>
      </c>
      <c r="U409" t="s">
        <v>55</v>
      </c>
      <c r="V409" t="s">
        <v>69</v>
      </c>
    </row>
    <row r="410" spans="1:22" x14ac:dyDescent="0.3">
      <c r="A410" t="s">
        <v>599</v>
      </c>
      <c r="B410" s="3">
        <v>45828</v>
      </c>
      <c r="C410" t="s">
        <v>23</v>
      </c>
      <c r="D410" t="s">
        <v>24</v>
      </c>
      <c r="E410" t="s">
        <v>119</v>
      </c>
      <c r="F410" t="s">
        <v>195</v>
      </c>
      <c r="G410" t="s">
        <v>196</v>
      </c>
      <c r="H410" t="s">
        <v>98</v>
      </c>
      <c r="I410" t="s">
        <v>99</v>
      </c>
      <c r="J410" t="s">
        <v>43</v>
      </c>
      <c r="K410" t="s">
        <v>81</v>
      </c>
      <c r="L410" s="2">
        <v>0.91666666666666663</v>
      </c>
      <c r="M410" s="2">
        <v>0.29166666666666669</v>
      </c>
      <c r="N410">
        <v>9.5</v>
      </c>
      <c r="O410">
        <v>1.5</v>
      </c>
      <c r="P410" t="s">
        <v>32</v>
      </c>
      <c r="R410">
        <v>3</v>
      </c>
      <c r="S410" t="s">
        <v>92</v>
      </c>
      <c r="T410" t="s">
        <v>101</v>
      </c>
      <c r="U410" t="s">
        <v>55</v>
      </c>
      <c r="V410" t="s">
        <v>35</v>
      </c>
    </row>
    <row r="411" spans="1:22" x14ac:dyDescent="0.3">
      <c r="A411" t="s">
        <v>600</v>
      </c>
      <c r="B411" s="3">
        <v>45774</v>
      </c>
      <c r="C411" t="s">
        <v>37</v>
      </c>
      <c r="D411" t="s">
        <v>24</v>
      </c>
      <c r="E411" t="s">
        <v>103</v>
      </c>
      <c r="F411" t="s">
        <v>182</v>
      </c>
      <c r="G411" t="s">
        <v>183</v>
      </c>
      <c r="H411" t="s">
        <v>112</v>
      </c>
      <c r="I411" t="s">
        <v>113</v>
      </c>
      <c r="J411" t="s">
        <v>30</v>
      </c>
      <c r="K411" t="s">
        <v>81</v>
      </c>
      <c r="L411" s="2">
        <v>0.39930555555555558</v>
      </c>
      <c r="M411" s="2">
        <v>0.29166666666666669</v>
      </c>
      <c r="N411">
        <v>9.5</v>
      </c>
      <c r="O411">
        <v>1.5</v>
      </c>
      <c r="P411" t="s">
        <v>32</v>
      </c>
      <c r="R411">
        <v>4</v>
      </c>
      <c r="S411" t="s">
        <v>45</v>
      </c>
      <c r="T411" t="s">
        <v>114</v>
      </c>
    </row>
    <row r="412" spans="1:22" x14ac:dyDescent="0.3">
      <c r="A412" t="s">
        <v>601</v>
      </c>
      <c r="B412" s="3">
        <v>45769</v>
      </c>
      <c r="C412" t="s">
        <v>37</v>
      </c>
      <c r="D412" t="s">
        <v>24</v>
      </c>
      <c r="E412" t="s">
        <v>87</v>
      </c>
      <c r="F412" t="s">
        <v>39</v>
      </c>
      <c r="G412" t="s">
        <v>40</v>
      </c>
      <c r="H412" t="s">
        <v>41</v>
      </c>
      <c r="I412" t="s">
        <v>42</v>
      </c>
      <c r="J412" t="s">
        <v>43</v>
      </c>
      <c r="K412" t="s">
        <v>44</v>
      </c>
      <c r="L412" s="2">
        <v>0.375</v>
      </c>
      <c r="M412" s="2">
        <v>0.75</v>
      </c>
      <c r="N412">
        <v>8</v>
      </c>
      <c r="O412">
        <v>0</v>
      </c>
      <c r="P412" t="s">
        <v>32</v>
      </c>
      <c r="R412">
        <v>4</v>
      </c>
      <c r="S412" t="s">
        <v>45</v>
      </c>
      <c r="T412" t="s">
        <v>46</v>
      </c>
      <c r="U412" t="s">
        <v>47</v>
      </c>
      <c r="V412" t="s">
        <v>35</v>
      </c>
    </row>
    <row r="413" spans="1:22" x14ac:dyDescent="0.3">
      <c r="A413" t="s">
        <v>602</v>
      </c>
      <c r="B413" s="3">
        <v>45666</v>
      </c>
      <c r="C413" t="s">
        <v>49</v>
      </c>
      <c r="D413" t="s">
        <v>50</v>
      </c>
      <c r="E413" t="s">
        <v>25</v>
      </c>
      <c r="F413" t="s">
        <v>204</v>
      </c>
      <c r="G413" t="s">
        <v>205</v>
      </c>
      <c r="H413" t="s">
        <v>90</v>
      </c>
      <c r="I413" t="s">
        <v>91</v>
      </c>
      <c r="J413" t="s">
        <v>74</v>
      </c>
      <c r="K413" t="s">
        <v>81</v>
      </c>
      <c r="L413" s="2">
        <v>0.91666666666666663</v>
      </c>
      <c r="M413" s="2">
        <v>0.29166666666666669</v>
      </c>
      <c r="N413">
        <v>8.5</v>
      </c>
      <c r="O413">
        <v>0.5</v>
      </c>
      <c r="P413" t="s">
        <v>32</v>
      </c>
      <c r="R413">
        <v>5</v>
      </c>
      <c r="S413" t="s">
        <v>92</v>
      </c>
      <c r="T413" t="s">
        <v>93</v>
      </c>
      <c r="V413" t="s">
        <v>60</v>
      </c>
    </row>
    <row r="414" spans="1:22" x14ac:dyDescent="0.3">
      <c r="A414" t="s">
        <v>603</v>
      </c>
      <c r="B414" s="3">
        <v>45687</v>
      </c>
      <c r="C414" t="s">
        <v>49</v>
      </c>
      <c r="D414" t="s">
        <v>50</v>
      </c>
      <c r="E414" t="s">
        <v>25</v>
      </c>
      <c r="F414" t="s">
        <v>309</v>
      </c>
      <c r="G414" t="s">
        <v>310</v>
      </c>
      <c r="H414" t="s">
        <v>28</v>
      </c>
      <c r="I414" t="s">
        <v>29</v>
      </c>
      <c r="J414" t="s">
        <v>43</v>
      </c>
      <c r="K414" t="s">
        <v>44</v>
      </c>
      <c r="L414" s="2">
        <v>0.375</v>
      </c>
      <c r="M414" s="2">
        <v>0.75</v>
      </c>
      <c r="N414">
        <v>8</v>
      </c>
      <c r="O414">
        <v>0</v>
      </c>
      <c r="P414" t="s">
        <v>32</v>
      </c>
      <c r="R414">
        <v>5</v>
      </c>
      <c r="S414" t="s">
        <v>45</v>
      </c>
      <c r="T414" t="s">
        <v>34</v>
      </c>
      <c r="U414" t="s">
        <v>85</v>
      </c>
      <c r="V414" t="s">
        <v>60</v>
      </c>
    </row>
    <row r="415" spans="1:22" x14ac:dyDescent="0.3">
      <c r="A415" t="s">
        <v>604</v>
      </c>
      <c r="B415" s="1">
        <v>45680</v>
      </c>
      <c r="C415" t="s">
        <v>49</v>
      </c>
      <c r="D415" t="s">
        <v>50</v>
      </c>
      <c r="E415" t="s">
        <v>25</v>
      </c>
      <c r="F415" t="s">
        <v>163</v>
      </c>
      <c r="G415" t="s">
        <v>164</v>
      </c>
      <c r="H415" t="s">
        <v>112</v>
      </c>
      <c r="I415" t="s">
        <v>113</v>
      </c>
      <c r="J415" t="s">
        <v>100</v>
      </c>
      <c r="K415" t="s">
        <v>31</v>
      </c>
      <c r="L415" s="2">
        <v>0.39930555555555558</v>
      </c>
      <c r="M415" s="2">
        <v>0.75</v>
      </c>
      <c r="N415">
        <v>8</v>
      </c>
      <c r="O415">
        <v>0</v>
      </c>
      <c r="P415" t="s">
        <v>32</v>
      </c>
      <c r="R415">
        <v>3</v>
      </c>
      <c r="S415" t="s">
        <v>45</v>
      </c>
      <c r="T415" t="s">
        <v>114</v>
      </c>
      <c r="U415" t="s">
        <v>55</v>
      </c>
    </row>
    <row r="416" spans="1:22" x14ac:dyDescent="0.3">
      <c r="A416" t="s">
        <v>605</v>
      </c>
      <c r="B416" s="1">
        <v>45754</v>
      </c>
      <c r="C416" t="s">
        <v>37</v>
      </c>
      <c r="D416" t="s">
        <v>24</v>
      </c>
      <c r="E416" t="s">
        <v>109</v>
      </c>
      <c r="F416" t="s">
        <v>96</v>
      </c>
      <c r="G416" t="s">
        <v>97</v>
      </c>
      <c r="H416" t="s">
        <v>98</v>
      </c>
      <c r="I416" t="s">
        <v>99</v>
      </c>
      <c r="J416" t="s">
        <v>100</v>
      </c>
      <c r="K416" t="s">
        <v>31</v>
      </c>
      <c r="L416" s="2">
        <v>0.375</v>
      </c>
      <c r="M416" s="2">
        <v>0.75</v>
      </c>
      <c r="N416">
        <v>8</v>
      </c>
      <c r="O416">
        <v>0</v>
      </c>
      <c r="P416" t="s">
        <v>32</v>
      </c>
      <c r="R416">
        <v>3</v>
      </c>
      <c r="S416" t="s">
        <v>33</v>
      </c>
      <c r="T416" t="s">
        <v>101</v>
      </c>
      <c r="U416" t="s">
        <v>47</v>
      </c>
      <c r="V416" t="s">
        <v>60</v>
      </c>
    </row>
    <row r="417" spans="1:22" x14ac:dyDescent="0.3">
      <c r="A417" t="s">
        <v>606</v>
      </c>
      <c r="B417" s="3">
        <v>45791</v>
      </c>
      <c r="C417" t="s">
        <v>57</v>
      </c>
      <c r="D417" t="s">
        <v>24</v>
      </c>
      <c r="E417" t="s">
        <v>51</v>
      </c>
      <c r="F417" t="s">
        <v>258</v>
      </c>
      <c r="G417" t="s">
        <v>259</v>
      </c>
      <c r="H417" t="s">
        <v>314</v>
      </c>
      <c r="I417" t="s">
        <v>113</v>
      </c>
      <c r="J417" t="s">
        <v>74</v>
      </c>
      <c r="K417" t="s">
        <v>81</v>
      </c>
      <c r="L417" s="2">
        <v>0.3888888888888889</v>
      </c>
      <c r="M417" s="2">
        <v>0.29166666666666669</v>
      </c>
      <c r="N417">
        <v>9.5</v>
      </c>
      <c r="O417">
        <v>1.5</v>
      </c>
      <c r="P417" t="s">
        <v>32</v>
      </c>
      <c r="R417">
        <v>4</v>
      </c>
      <c r="S417" t="s">
        <v>92</v>
      </c>
      <c r="T417" t="s">
        <v>114</v>
      </c>
      <c r="U417" t="s">
        <v>47</v>
      </c>
    </row>
    <row r="418" spans="1:22" x14ac:dyDescent="0.3">
      <c r="A418" t="s">
        <v>607</v>
      </c>
      <c r="B418" s="3">
        <v>45674</v>
      </c>
      <c r="C418" t="s">
        <v>49</v>
      </c>
      <c r="D418" t="s">
        <v>50</v>
      </c>
      <c r="E418" t="s">
        <v>119</v>
      </c>
      <c r="F418" t="s">
        <v>309</v>
      </c>
      <c r="G418" t="s">
        <v>310</v>
      </c>
      <c r="H418" t="s">
        <v>28</v>
      </c>
      <c r="I418" t="s">
        <v>29</v>
      </c>
      <c r="J418" t="s">
        <v>43</v>
      </c>
      <c r="K418" t="s">
        <v>75</v>
      </c>
      <c r="L418" s="2">
        <v>0.375</v>
      </c>
      <c r="M418" s="2">
        <v>0.75</v>
      </c>
      <c r="N418">
        <v>8</v>
      </c>
      <c r="O418">
        <v>0</v>
      </c>
      <c r="P418" t="s">
        <v>32</v>
      </c>
      <c r="R418">
        <v>3</v>
      </c>
      <c r="S418" t="s">
        <v>33</v>
      </c>
      <c r="T418" t="s">
        <v>34</v>
      </c>
      <c r="U418" t="s">
        <v>85</v>
      </c>
      <c r="V418" t="s">
        <v>60</v>
      </c>
    </row>
    <row r="419" spans="1:22" x14ac:dyDescent="0.3">
      <c r="A419" t="s">
        <v>608</v>
      </c>
      <c r="B419" s="1">
        <v>45718</v>
      </c>
      <c r="C419" t="s">
        <v>71</v>
      </c>
      <c r="D419" t="s">
        <v>50</v>
      </c>
      <c r="E419" t="s">
        <v>103</v>
      </c>
      <c r="F419" t="s">
        <v>211</v>
      </c>
      <c r="G419" t="s">
        <v>212</v>
      </c>
      <c r="H419" t="s">
        <v>421</v>
      </c>
      <c r="I419" t="s">
        <v>65</v>
      </c>
      <c r="J419" t="s">
        <v>74</v>
      </c>
      <c r="K419" t="s">
        <v>54</v>
      </c>
      <c r="L419" s="2">
        <v>0.375</v>
      </c>
      <c r="M419" s="2">
        <v>0.75</v>
      </c>
      <c r="N419">
        <v>10</v>
      </c>
      <c r="O419">
        <v>2</v>
      </c>
      <c r="P419" t="s">
        <v>32</v>
      </c>
      <c r="R419">
        <v>5</v>
      </c>
      <c r="S419" t="s">
        <v>92</v>
      </c>
      <c r="T419" t="s">
        <v>68</v>
      </c>
      <c r="U419" t="s">
        <v>85</v>
      </c>
      <c r="V419" t="s">
        <v>60</v>
      </c>
    </row>
    <row r="420" spans="1:22" x14ac:dyDescent="0.3">
      <c r="A420" t="s">
        <v>609</v>
      </c>
      <c r="B420" s="1">
        <v>45780</v>
      </c>
      <c r="C420" t="s">
        <v>57</v>
      </c>
      <c r="D420" t="s">
        <v>24</v>
      </c>
      <c r="E420" t="s">
        <v>38</v>
      </c>
      <c r="F420" t="s">
        <v>247</v>
      </c>
      <c r="G420" t="s">
        <v>248</v>
      </c>
      <c r="H420" t="s">
        <v>64</v>
      </c>
      <c r="I420" t="s">
        <v>65</v>
      </c>
      <c r="J420" t="s">
        <v>66</v>
      </c>
      <c r="K420" t="s">
        <v>75</v>
      </c>
      <c r="L420" s="2">
        <v>0.375</v>
      </c>
      <c r="M420" s="2">
        <v>0.75</v>
      </c>
      <c r="N420">
        <v>9.5</v>
      </c>
      <c r="O420">
        <v>1.5</v>
      </c>
      <c r="P420" t="s">
        <v>32</v>
      </c>
      <c r="S420" t="s">
        <v>33</v>
      </c>
      <c r="T420" t="s">
        <v>68</v>
      </c>
      <c r="U420" t="s">
        <v>85</v>
      </c>
      <c r="V420" t="s">
        <v>35</v>
      </c>
    </row>
    <row r="421" spans="1:22" x14ac:dyDescent="0.3">
      <c r="A421" t="s">
        <v>610</v>
      </c>
      <c r="B421" s="1">
        <v>45796</v>
      </c>
      <c r="C421" t="s">
        <v>57</v>
      </c>
      <c r="D421" t="s">
        <v>24</v>
      </c>
      <c r="E421" t="s">
        <v>109</v>
      </c>
      <c r="F421" t="s">
        <v>151</v>
      </c>
      <c r="G421" t="s">
        <v>152</v>
      </c>
      <c r="H421" t="s">
        <v>98</v>
      </c>
      <c r="I421" t="s">
        <v>99</v>
      </c>
      <c r="J421" t="s">
        <v>30</v>
      </c>
      <c r="K421" t="s">
        <v>31</v>
      </c>
      <c r="L421" s="2">
        <v>0.375</v>
      </c>
      <c r="M421" s="2">
        <v>0.75</v>
      </c>
      <c r="N421">
        <v>8</v>
      </c>
      <c r="O421">
        <v>0</v>
      </c>
      <c r="P421" t="s">
        <v>32</v>
      </c>
      <c r="R421">
        <v>5</v>
      </c>
      <c r="S421" t="s">
        <v>45</v>
      </c>
      <c r="T421" t="s">
        <v>101</v>
      </c>
      <c r="U421" t="s">
        <v>85</v>
      </c>
      <c r="V421" t="s">
        <v>60</v>
      </c>
    </row>
    <row r="422" spans="1:22" x14ac:dyDescent="0.3">
      <c r="A422" t="s">
        <v>611</v>
      </c>
      <c r="B422" s="3">
        <v>45778</v>
      </c>
      <c r="C422" t="s">
        <v>57</v>
      </c>
      <c r="D422" t="s">
        <v>24</v>
      </c>
      <c r="E422" t="s">
        <v>25</v>
      </c>
      <c r="F422" t="s">
        <v>305</v>
      </c>
      <c r="G422" t="s">
        <v>306</v>
      </c>
      <c r="H422" t="s">
        <v>79</v>
      </c>
      <c r="I422" t="s">
        <v>80</v>
      </c>
      <c r="J422" t="s">
        <v>74</v>
      </c>
      <c r="K422" t="s">
        <v>75</v>
      </c>
      <c r="L422" s="2">
        <v>0.375</v>
      </c>
      <c r="M422" s="2">
        <v>0.75</v>
      </c>
      <c r="N422">
        <v>8</v>
      </c>
      <c r="O422">
        <v>0</v>
      </c>
      <c r="P422" t="s">
        <v>32</v>
      </c>
      <c r="S422" t="s">
        <v>92</v>
      </c>
      <c r="T422" t="s">
        <v>84</v>
      </c>
      <c r="U422" t="s">
        <v>55</v>
      </c>
      <c r="V422" t="s">
        <v>35</v>
      </c>
    </row>
    <row r="423" spans="1:22" x14ac:dyDescent="0.3">
      <c r="A423" t="s">
        <v>612</v>
      </c>
      <c r="B423" s="3">
        <v>45752</v>
      </c>
      <c r="C423" t="s">
        <v>37</v>
      </c>
      <c r="D423" t="s">
        <v>24</v>
      </c>
      <c r="E423" t="s">
        <v>38</v>
      </c>
      <c r="F423" t="s">
        <v>104</v>
      </c>
      <c r="G423" t="s">
        <v>105</v>
      </c>
      <c r="H423" t="s">
        <v>28</v>
      </c>
      <c r="I423" t="s">
        <v>29</v>
      </c>
      <c r="J423" t="s">
        <v>30</v>
      </c>
      <c r="K423" t="s">
        <v>81</v>
      </c>
      <c r="L423" s="2">
        <v>0.91666666666666663</v>
      </c>
      <c r="M423" s="2">
        <v>0.29166666666666669</v>
      </c>
      <c r="N423">
        <v>9</v>
      </c>
      <c r="O423">
        <v>1</v>
      </c>
      <c r="P423" t="s">
        <v>32</v>
      </c>
      <c r="R423">
        <v>3</v>
      </c>
      <c r="S423" t="s">
        <v>33</v>
      </c>
      <c r="T423" t="s">
        <v>34</v>
      </c>
      <c r="U423" t="s">
        <v>47</v>
      </c>
      <c r="V423" t="s">
        <v>60</v>
      </c>
    </row>
    <row r="424" spans="1:22" x14ac:dyDescent="0.3">
      <c r="A424" t="s">
        <v>613</v>
      </c>
      <c r="B424" s="1">
        <v>45817</v>
      </c>
      <c r="C424" t="s">
        <v>23</v>
      </c>
      <c r="D424" t="s">
        <v>24</v>
      </c>
      <c r="E424" t="s">
        <v>109</v>
      </c>
      <c r="F424" t="s">
        <v>185</v>
      </c>
      <c r="G424" t="s">
        <v>186</v>
      </c>
      <c r="H424" t="s">
        <v>79</v>
      </c>
      <c r="I424" t="s">
        <v>80</v>
      </c>
      <c r="J424" t="s">
        <v>66</v>
      </c>
      <c r="K424" t="s">
        <v>31</v>
      </c>
      <c r="L424" s="2">
        <v>0.375</v>
      </c>
      <c r="M424" s="2">
        <v>0.75</v>
      </c>
      <c r="N424">
        <v>8</v>
      </c>
      <c r="O424">
        <v>0</v>
      </c>
      <c r="P424" t="s">
        <v>32</v>
      </c>
      <c r="R424">
        <v>5</v>
      </c>
      <c r="S424" t="s">
        <v>67</v>
      </c>
      <c r="T424" t="s">
        <v>84</v>
      </c>
      <c r="U424" t="s">
        <v>47</v>
      </c>
      <c r="V424" t="s">
        <v>60</v>
      </c>
    </row>
    <row r="425" spans="1:22" x14ac:dyDescent="0.3">
      <c r="A425" t="s">
        <v>614</v>
      </c>
      <c r="B425" s="3">
        <v>45757</v>
      </c>
      <c r="C425" t="s">
        <v>37</v>
      </c>
      <c r="D425" t="s">
        <v>24</v>
      </c>
      <c r="E425" t="s">
        <v>25</v>
      </c>
      <c r="F425" t="s">
        <v>159</v>
      </c>
      <c r="G425" t="s">
        <v>160</v>
      </c>
      <c r="H425" t="s">
        <v>64</v>
      </c>
      <c r="I425" t="s">
        <v>65</v>
      </c>
      <c r="J425" t="s">
        <v>100</v>
      </c>
      <c r="K425" t="s">
        <v>54</v>
      </c>
      <c r="L425" s="2">
        <v>0.375</v>
      </c>
      <c r="M425" s="2">
        <v>0.75</v>
      </c>
      <c r="N425">
        <v>8.5</v>
      </c>
      <c r="O425">
        <v>0.5</v>
      </c>
      <c r="P425" t="s">
        <v>32</v>
      </c>
      <c r="R425">
        <v>3</v>
      </c>
      <c r="S425" t="s">
        <v>33</v>
      </c>
      <c r="T425" t="s">
        <v>68</v>
      </c>
      <c r="U425" t="s">
        <v>85</v>
      </c>
    </row>
    <row r="426" spans="1:22" x14ac:dyDescent="0.3">
      <c r="A426" t="s">
        <v>615</v>
      </c>
      <c r="B426" s="1">
        <v>45772</v>
      </c>
      <c r="C426" t="s">
        <v>37</v>
      </c>
      <c r="D426" t="s">
        <v>24</v>
      </c>
      <c r="E426" t="s">
        <v>119</v>
      </c>
      <c r="F426" t="s">
        <v>159</v>
      </c>
      <c r="G426" t="s">
        <v>160</v>
      </c>
      <c r="H426" t="s">
        <v>64</v>
      </c>
      <c r="I426" t="s">
        <v>65</v>
      </c>
      <c r="J426" t="s">
        <v>100</v>
      </c>
      <c r="K426" t="s">
        <v>44</v>
      </c>
      <c r="L426" s="2">
        <v>0.375</v>
      </c>
      <c r="M426" s="2">
        <v>0.75</v>
      </c>
      <c r="N426">
        <v>9.5</v>
      </c>
      <c r="O426">
        <v>1.5</v>
      </c>
      <c r="P426" t="s">
        <v>32</v>
      </c>
      <c r="R426">
        <v>4</v>
      </c>
      <c r="S426" t="s">
        <v>92</v>
      </c>
      <c r="T426" t="s">
        <v>68</v>
      </c>
      <c r="U426" t="s">
        <v>55</v>
      </c>
      <c r="V426" t="s">
        <v>35</v>
      </c>
    </row>
    <row r="427" spans="1:22" x14ac:dyDescent="0.3">
      <c r="A427" t="s">
        <v>616</v>
      </c>
      <c r="B427" s="3">
        <v>45805</v>
      </c>
      <c r="C427" t="s">
        <v>57</v>
      </c>
      <c r="D427" t="s">
        <v>24</v>
      </c>
      <c r="E427" t="s">
        <v>51</v>
      </c>
      <c r="F427" t="s">
        <v>124</v>
      </c>
      <c r="G427" t="s">
        <v>125</v>
      </c>
      <c r="H427" t="s">
        <v>28</v>
      </c>
      <c r="I427" t="s">
        <v>29</v>
      </c>
      <c r="J427" t="s">
        <v>66</v>
      </c>
      <c r="K427" t="s">
        <v>44</v>
      </c>
      <c r="L427" s="2">
        <v>0.375</v>
      </c>
      <c r="M427" s="2">
        <v>0.75</v>
      </c>
      <c r="N427">
        <v>8</v>
      </c>
      <c r="O427">
        <v>0</v>
      </c>
      <c r="P427" t="s">
        <v>32</v>
      </c>
      <c r="R427">
        <v>4</v>
      </c>
      <c r="S427" t="s">
        <v>45</v>
      </c>
      <c r="T427" t="s">
        <v>34</v>
      </c>
      <c r="U427" t="s">
        <v>47</v>
      </c>
      <c r="V427" t="s">
        <v>35</v>
      </c>
    </row>
    <row r="428" spans="1:22" x14ac:dyDescent="0.3">
      <c r="A428" t="s">
        <v>617</v>
      </c>
      <c r="B428" s="3">
        <v>45771</v>
      </c>
      <c r="C428" t="s">
        <v>37</v>
      </c>
      <c r="D428" t="s">
        <v>24</v>
      </c>
      <c r="E428" t="s">
        <v>25</v>
      </c>
      <c r="F428" t="s">
        <v>58</v>
      </c>
      <c r="G428" t="s">
        <v>59</v>
      </c>
      <c r="H428" t="s">
        <v>41</v>
      </c>
      <c r="I428" t="s">
        <v>42</v>
      </c>
      <c r="J428" t="s">
        <v>30</v>
      </c>
      <c r="K428" t="s">
        <v>31</v>
      </c>
      <c r="L428" s="2">
        <v>0.375</v>
      </c>
      <c r="M428" s="2">
        <v>0.75</v>
      </c>
      <c r="N428">
        <v>8</v>
      </c>
      <c r="O428">
        <v>0</v>
      </c>
      <c r="P428" t="s">
        <v>32</v>
      </c>
      <c r="R428">
        <v>4</v>
      </c>
      <c r="S428" t="s">
        <v>67</v>
      </c>
      <c r="T428" t="s">
        <v>46</v>
      </c>
      <c r="V428" t="s">
        <v>60</v>
      </c>
    </row>
    <row r="429" spans="1:22" x14ac:dyDescent="0.3">
      <c r="A429" t="s">
        <v>618</v>
      </c>
      <c r="B429" s="1">
        <v>45753</v>
      </c>
      <c r="C429" t="s">
        <v>37</v>
      </c>
      <c r="D429" t="s">
        <v>24</v>
      </c>
      <c r="E429" t="s">
        <v>103</v>
      </c>
      <c r="F429" t="s">
        <v>195</v>
      </c>
      <c r="G429" t="s">
        <v>196</v>
      </c>
      <c r="H429" t="s">
        <v>98</v>
      </c>
      <c r="I429" t="s">
        <v>99</v>
      </c>
      <c r="J429" t="s">
        <v>43</v>
      </c>
      <c r="K429" t="s">
        <v>75</v>
      </c>
      <c r="L429" s="2">
        <v>0.375</v>
      </c>
      <c r="M429" s="2">
        <v>0.75</v>
      </c>
      <c r="N429">
        <v>8</v>
      </c>
      <c r="O429">
        <v>0</v>
      </c>
      <c r="P429" t="s">
        <v>32</v>
      </c>
      <c r="R429">
        <v>3</v>
      </c>
      <c r="S429" t="s">
        <v>92</v>
      </c>
      <c r="T429" t="s">
        <v>101</v>
      </c>
      <c r="V429" t="s">
        <v>69</v>
      </c>
    </row>
    <row r="430" spans="1:22" x14ac:dyDescent="0.3">
      <c r="A430" t="s">
        <v>619</v>
      </c>
      <c r="B430" s="3">
        <v>45659</v>
      </c>
      <c r="C430" t="s">
        <v>49</v>
      </c>
      <c r="D430" t="s">
        <v>50</v>
      </c>
      <c r="E430" t="s">
        <v>25</v>
      </c>
      <c r="F430" t="s">
        <v>266</v>
      </c>
      <c r="G430" t="s">
        <v>267</v>
      </c>
      <c r="H430" t="s">
        <v>98</v>
      </c>
      <c r="I430" t="s">
        <v>99</v>
      </c>
      <c r="J430" t="s">
        <v>66</v>
      </c>
      <c r="K430" t="s">
        <v>44</v>
      </c>
      <c r="L430" s="2">
        <v>0.375</v>
      </c>
      <c r="M430" s="2">
        <v>0.75</v>
      </c>
      <c r="N430">
        <v>8</v>
      </c>
      <c r="O430">
        <v>0</v>
      </c>
      <c r="P430" t="s">
        <v>32</v>
      </c>
      <c r="R430">
        <v>4</v>
      </c>
      <c r="S430" t="s">
        <v>33</v>
      </c>
      <c r="T430" t="s">
        <v>101</v>
      </c>
      <c r="U430" t="s">
        <v>55</v>
      </c>
      <c r="V430" t="s">
        <v>35</v>
      </c>
    </row>
    <row r="431" spans="1:22" x14ac:dyDescent="0.3">
      <c r="A431" t="s">
        <v>620</v>
      </c>
      <c r="B431" s="1">
        <v>45674</v>
      </c>
      <c r="C431" t="s">
        <v>49</v>
      </c>
      <c r="D431" t="s">
        <v>50</v>
      </c>
      <c r="E431" t="s">
        <v>119</v>
      </c>
      <c r="F431" t="s">
        <v>215</v>
      </c>
      <c r="G431" t="s">
        <v>216</v>
      </c>
      <c r="H431" t="s">
        <v>79</v>
      </c>
      <c r="I431" t="s">
        <v>80</v>
      </c>
      <c r="J431" t="s">
        <v>30</v>
      </c>
      <c r="K431" t="s">
        <v>44</v>
      </c>
      <c r="P431" t="s">
        <v>82</v>
      </c>
      <c r="Q431" t="s">
        <v>83</v>
      </c>
      <c r="S431" t="s">
        <v>92</v>
      </c>
      <c r="T431" t="s">
        <v>84</v>
      </c>
    </row>
    <row r="432" spans="1:22" x14ac:dyDescent="0.3">
      <c r="A432" t="s">
        <v>621</v>
      </c>
      <c r="B432" s="1">
        <v>45784</v>
      </c>
      <c r="C432" t="s">
        <v>57</v>
      </c>
      <c r="D432" t="s">
        <v>24</v>
      </c>
      <c r="E432" t="s">
        <v>51</v>
      </c>
      <c r="F432" t="s">
        <v>72</v>
      </c>
      <c r="G432" t="s">
        <v>73</v>
      </c>
      <c r="H432" t="s">
        <v>28</v>
      </c>
      <c r="I432" t="s">
        <v>29</v>
      </c>
      <c r="J432" t="s">
        <v>74</v>
      </c>
      <c r="K432" t="s">
        <v>81</v>
      </c>
      <c r="L432" s="2">
        <v>0.91666666666666663</v>
      </c>
      <c r="M432" s="2">
        <v>0.29166666666666669</v>
      </c>
      <c r="N432">
        <v>9.5</v>
      </c>
      <c r="O432">
        <v>1.5</v>
      </c>
      <c r="P432" t="s">
        <v>32</v>
      </c>
      <c r="R432">
        <v>4</v>
      </c>
      <c r="S432" t="s">
        <v>33</v>
      </c>
      <c r="T432" t="s">
        <v>34</v>
      </c>
      <c r="U432" t="s">
        <v>85</v>
      </c>
      <c r="V432" t="s">
        <v>60</v>
      </c>
    </row>
    <row r="433" spans="1:22" x14ac:dyDescent="0.3">
      <c r="A433" t="s">
        <v>622</v>
      </c>
      <c r="B433" s="1">
        <v>45805</v>
      </c>
      <c r="C433" t="s">
        <v>57</v>
      </c>
      <c r="D433" t="s">
        <v>24</v>
      </c>
      <c r="E433" t="s">
        <v>51</v>
      </c>
      <c r="F433" t="s">
        <v>142</v>
      </c>
      <c r="G433" t="s">
        <v>143</v>
      </c>
      <c r="H433" t="s">
        <v>64</v>
      </c>
      <c r="I433" t="s">
        <v>65</v>
      </c>
      <c r="J433" t="s">
        <v>43</v>
      </c>
      <c r="K433" t="s">
        <v>81</v>
      </c>
      <c r="L433" s="2">
        <v>0.91666666666666663</v>
      </c>
      <c r="M433" s="2">
        <v>0.29166666666666669</v>
      </c>
      <c r="N433">
        <v>9.5</v>
      </c>
      <c r="O433">
        <v>1.5</v>
      </c>
      <c r="P433" t="s">
        <v>32</v>
      </c>
      <c r="R433">
        <v>5</v>
      </c>
      <c r="S433" t="s">
        <v>45</v>
      </c>
      <c r="T433" t="s">
        <v>68</v>
      </c>
      <c r="U433" t="s">
        <v>85</v>
      </c>
      <c r="V433" t="s">
        <v>60</v>
      </c>
    </row>
    <row r="434" spans="1:22" x14ac:dyDescent="0.3">
      <c r="A434" t="s">
        <v>623</v>
      </c>
      <c r="B434" s="1">
        <v>45696</v>
      </c>
      <c r="C434" t="s">
        <v>95</v>
      </c>
      <c r="D434" t="s">
        <v>50</v>
      </c>
      <c r="E434" t="s">
        <v>38</v>
      </c>
      <c r="F434" t="s">
        <v>215</v>
      </c>
      <c r="G434" t="s">
        <v>216</v>
      </c>
      <c r="H434" t="s">
        <v>79</v>
      </c>
      <c r="I434" t="s">
        <v>80</v>
      </c>
      <c r="J434" t="s">
        <v>30</v>
      </c>
      <c r="K434" t="s">
        <v>81</v>
      </c>
      <c r="L434" s="2">
        <v>0.91666666666666663</v>
      </c>
      <c r="M434" s="2">
        <v>0.29166666666666669</v>
      </c>
      <c r="N434">
        <v>9.5</v>
      </c>
      <c r="O434">
        <v>1.5</v>
      </c>
      <c r="P434" t="s">
        <v>32</v>
      </c>
      <c r="R434">
        <v>5</v>
      </c>
      <c r="S434" t="s">
        <v>67</v>
      </c>
      <c r="T434" t="s">
        <v>84</v>
      </c>
      <c r="U434" t="s">
        <v>85</v>
      </c>
      <c r="V434" t="s">
        <v>60</v>
      </c>
    </row>
    <row r="435" spans="1:22" x14ac:dyDescent="0.3">
      <c r="A435" t="s">
        <v>624</v>
      </c>
      <c r="B435" s="3">
        <v>45703</v>
      </c>
      <c r="C435" t="s">
        <v>95</v>
      </c>
      <c r="D435" t="s">
        <v>50</v>
      </c>
      <c r="E435" t="s">
        <v>38</v>
      </c>
      <c r="F435" t="s">
        <v>124</v>
      </c>
      <c r="G435" t="s">
        <v>125</v>
      </c>
      <c r="H435" t="s">
        <v>28</v>
      </c>
      <c r="I435" t="s">
        <v>29</v>
      </c>
      <c r="J435" t="s">
        <v>66</v>
      </c>
      <c r="K435" t="s">
        <v>54</v>
      </c>
      <c r="P435" t="s">
        <v>135</v>
      </c>
      <c r="S435" t="s">
        <v>67</v>
      </c>
      <c r="T435" t="s">
        <v>34</v>
      </c>
      <c r="V435" t="s">
        <v>35</v>
      </c>
    </row>
    <row r="436" spans="1:22" x14ac:dyDescent="0.3">
      <c r="A436" t="s">
        <v>625</v>
      </c>
      <c r="B436" s="3">
        <v>45758</v>
      </c>
      <c r="C436" t="s">
        <v>37</v>
      </c>
      <c r="D436" t="s">
        <v>24</v>
      </c>
      <c r="E436" t="s">
        <v>119</v>
      </c>
      <c r="F436" t="s">
        <v>170</v>
      </c>
      <c r="G436" t="s">
        <v>171</v>
      </c>
      <c r="H436" t="s">
        <v>64</v>
      </c>
      <c r="I436" t="s">
        <v>65</v>
      </c>
      <c r="J436" t="s">
        <v>43</v>
      </c>
      <c r="K436" t="s">
        <v>54</v>
      </c>
      <c r="P436" t="s">
        <v>135</v>
      </c>
      <c r="S436" t="s">
        <v>33</v>
      </c>
      <c r="T436" t="s">
        <v>68</v>
      </c>
      <c r="U436" t="s">
        <v>85</v>
      </c>
      <c r="V436" t="s">
        <v>69</v>
      </c>
    </row>
    <row r="437" spans="1:22" x14ac:dyDescent="0.3">
      <c r="A437" t="s">
        <v>626</v>
      </c>
      <c r="B437" s="3">
        <v>45761</v>
      </c>
      <c r="C437" t="s">
        <v>37</v>
      </c>
      <c r="D437" t="s">
        <v>24</v>
      </c>
      <c r="E437" t="s">
        <v>109</v>
      </c>
      <c r="F437" t="s">
        <v>211</v>
      </c>
      <c r="G437" t="s">
        <v>212</v>
      </c>
      <c r="H437" t="s">
        <v>64</v>
      </c>
      <c r="I437" t="s">
        <v>65</v>
      </c>
      <c r="J437" t="s">
        <v>74</v>
      </c>
      <c r="K437" t="s">
        <v>44</v>
      </c>
      <c r="L437" s="2">
        <v>0.375</v>
      </c>
      <c r="M437" s="2">
        <v>0.75</v>
      </c>
      <c r="N437">
        <v>8.5</v>
      </c>
      <c r="O437">
        <v>0.5</v>
      </c>
      <c r="P437" t="s">
        <v>32</v>
      </c>
      <c r="R437">
        <v>5</v>
      </c>
      <c r="S437" t="s">
        <v>45</v>
      </c>
      <c r="T437" t="s">
        <v>68</v>
      </c>
      <c r="U437" t="s">
        <v>55</v>
      </c>
    </row>
    <row r="438" spans="1:22" x14ac:dyDescent="0.3">
      <c r="A438" t="s">
        <v>627</v>
      </c>
      <c r="B438" s="3">
        <v>45695</v>
      </c>
      <c r="C438" t="s">
        <v>95</v>
      </c>
      <c r="D438" t="s">
        <v>50</v>
      </c>
      <c r="E438" t="s">
        <v>119</v>
      </c>
      <c r="F438" t="s">
        <v>104</v>
      </c>
      <c r="G438" t="s">
        <v>105</v>
      </c>
      <c r="H438" t="s">
        <v>28</v>
      </c>
      <c r="I438" t="s">
        <v>29</v>
      </c>
      <c r="J438" t="s">
        <v>30</v>
      </c>
      <c r="K438" t="s">
        <v>44</v>
      </c>
      <c r="L438" s="2">
        <v>0.375</v>
      </c>
      <c r="M438" s="2">
        <v>0.75</v>
      </c>
      <c r="N438">
        <v>8</v>
      </c>
      <c r="O438">
        <v>0</v>
      </c>
      <c r="P438" t="s">
        <v>32</v>
      </c>
      <c r="R438">
        <v>4</v>
      </c>
      <c r="S438" t="s">
        <v>45</v>
      </c>
      <c r="T438" t="s">
        <v>34</v>
      </c>
      <c r="U438" t="s">
        <v>47</v>
      </c>
      <c r="V438" t="s">
        <v>35</v>
      </c>
    </row>
    <row r="439" spans="1:22" x14ac:dyDescent="0.3">
      <c r="A439" t="s">
        <v>628</v>
      </c>
      <c r="B439" s="3">
        <v>45756</v>
      </c>
      <c r="C439" t="s">
        <v>37</v>
      </c>
      <c r="D439" t="s">
        <v>24</v>
      </c>
      <c r="E439" t="s">
        <v>51</v>
      </c>
      <c r="F439" t="s">
        <v>185</v>
      </c>
      <c r="G439" t="s">
        <v>186</v>
      </c>
      <c r="H439" t="s">
        <v>79</v>
      </c>
      <c r="I439" t="s">
        <v>80</v>
      </c>
      <c r="J439" t="s">
        <v>66</v>
      </c>
      <c r="K439" t="s">
        <v>81</v>
      </c>
      <c r="L439" s="2">
        <v>0.91666666666666663</v>
      </c>
      <c r="M439" s="2">
        <v>0.29166666666666669</v>
      </c>
      <c r="N439">
        <v>9.5</v>
      </c>
      <c r="O439">
        <v>1.5</v>
      </c>
      <c r="P439" t="s">
        <v>32</v>
      </c>
      <c r="R439">
        <v>4</v>
      </c>
      <c r="S439" t="s">
        <v>67</v>
      </c>
      <c r="T439" t="s">
        <v>84</v>
      </c>
      <c r="U439" t="s">
        <v>47</v>
      </c>
      <c r="V439" t="s">
        <v>60</v>
      </c>
    </row>
    <row r="440" spans="1:22" x14ac:dyDescent="0.3">
      <c r="A440" t="s">
        <v>629</v>
      </c>
      <c r="B440" s="3">
        <v>45682</v>
      </c>
      <c r="C440" t="s">
        <v>49</v>
      </c>
      <c r="D440" t="s">
        <v>50</v>
      </c>
      <c r="E440" t="s">
        <v>38</v>
      </c>
      <c r="F440" t="s">
        <v>185</v>
      </c>
      <c r="G440" t="s">
        <v>186</v>
      </c>
      <c r="H440" t="s">
        <v>79</v>
      </c>
      <c r="I440" t="s">
        <v>80</v>
      </c>
      <c r="J440" t="s">
        <v>66</v>
      </c>
      <c r="K440" t="s">
        <v>31</v>
      </c>
      <c r="L440" s="2">
        <v>0.375</v>
      </c>
      <c r="M440" s="2">
        <v>0.75</v>
      </c>
      <c r="N440">
        <v>8</v>
      </c>
      <c r="O440">
        <v>0</v>
      </c>
      <c r="P440" t="s">
        <v>32</v>
      </c>
      <c r="R440">
        <v>5</v>
      </c>
      <c r="S440" t="s">
        <v>92</v>
      </c>
      <c r="T440" t="s">
        <v>84</v>
      </c>
    </row>
    <row r="441" spans="1:22" x14ac:dyDescent="0.3">
      <c r="A441" t="s">
        <v>630</v>
      </c>
      <c r="B441" s="1">
        <v>45735</v>
      </c>
      <c r="C441" t="s">
        <v>71</v>
      </c>
      <c r="D441" t="s">
        <v>50</v>
      </c>
      <c r="E441" t="s">
        <v>51</v>
      </c>
      <c r="F441" t="s">
        <v>204</v>
      </c>
      <c r="G441" t="s">
        <v>205</v>
      </c>
      <c r="H441" t="s">
        <v>90</v>
      </c>
      <c r="I441" t="s">
        <v>91</v>
      </c>
      <c r="J441" t="s">
        <v>74</v>
      </c>
      <c r="K441" t="s">
        <v>81</v>
      </c>
      <c r="L441" s="2">
        <v>0.91666666666666663</v>
      </c>
      <c r="M441" s="2">
        <v>0.29166666666666669</v>
      </c>
      <c r="N441">
        <v>10</v>
      </c>
      <c r="O441">
        <v>2</v>
      </c>
      <c r="P441" t="s">
        <v>32</v>
      </c>
      <c r="R441">
        <v>4</v>
      </c>
      <c r="S441" t="s">
        <v>33</v>
      </c>
      <c r="T441" t="s">
        <v>93</v>
      </c>
      <c r="U441" t="s">
        <v>47</v>
      </c>
      <c r="V441" t="s">
        <v>60</v>
      </c>
    </row>
    <row r="442" spans="1:22" x14ac:dyDescent="0.3">
      <c r="A442" t="s">
        <v>631</v>
      </c>
      <c r="B442" s="3">
        <v>45712</v>
      </c>
      <c r="C442" t="s">
        <v>95</v>
      </c>
      <c r="D442" t="s">
        <v>50</v>
      </c>
      <c r="E442" t="s">
        <v>109</v>
      </c>
      <c r="F442" t="s">
        <v>240</v>
      </c>
      <c r="G442" t="s">
        <v>241</v>
      </c>
      <c r="H442" t="s">
        <v>41</v>
      </c>
      <c r="I442" t="s">
        <v>42</v>
      </c>
      <c r="J442" t="s">
        <v>66</v>
      </c>
      <c r="K442" t="s">
        <v>31</v>
      </c>
      <c r="L442" s="2">
        <v>0.375</v>
      </c>
      <c r="M442" s="2">
        <v>0.75</v>
      </c>
      <c r="N442">
        <v>8</v>
      </c>
      <c r="O442">
        <v>0</v>
      </c>
      <c r="P442" t="s">
        <v>32</v>
      </c>
      <c r="R442">
        <v>4</v>
      </c>
      <c r="S442" t="s">
        <v>92</v>
      </c>
      <c r="T442" t="s">
        <v>46</v>
      </c>
      <c r="U442" t="s">
        <v>47</v>
      </c>
      <c r="V442" t="s">
        <v>69</v>
      </c>
    </row>
    <row r="443" spans="1:22" x14ac:dyDescent="0.3">
      <c r="A443" t="s">
        <v>632</v>
      </c>
      <c r="B443" s="1">
        <v>45692</v>
      </c>
      <c r="C443" t="s">
        <v>95</v>
      </c>
      <c r="D443" t="s">
        <v>50</v>
      </c>
      <c r="E443" t="s">
        <v>87</v>
      </c>
      <c r="F443" t="s">
        <v>127</v>
      </c>
      <c r="G443" t="s">
        <v>128</v>
      </c>
      <c r="H443" t="s">
        <v>90</v>
      </c>
      <c r="I443" t="s">
        <v>91</v>
      </c>
      <c r="J443" t="s">
        <v>66</v>
      </c>
      <c r="K443" t="s">
        <v>44</v>
      </c>
      <c r="L443" s="2">
        <v>0.375</v>
      </c>
      <c r="M443" s="2">
        <v>0.75</v>
      </c>
      <c r="N443">
        <v>8</v>
      </c>
      <c r="O443">
        <v>0</v>
      </c>
      <c r="P443" t="s">
        <v>32</v>
      </c>
      <c r="R443">
        <v>5</v>
      </c>
      <c r="S443" t="s">
        <v>92</v>
      </c>
      <c r="T443" t="s">
        <v>93</v>
      </c>
      <c r="U443" t="s">
        <v>85</v>
      </c>
      <c r="V443" t="s">
        <v>35</v>
      </c>
    </row>
    <row r="444" spans="1:22" x14ac:dyDescent="0.3">
      <c r="A444" t="s">
        <v>633</v>
      </c>
      <c r="B444" s="3">
        <v>45714</v>
      </c>
      <c r="C444" t="s">
        <v>95</v>
      </c>
      <c r="D444" t="s">
        <v>50</v>
      </c>
      <c r="E444" t="s">
        <v>51</v>
      </c>
      <c r="F444" t="s">
        <v>228</v>
      </c>
      <c r="G444" t="s">
        <v>229</v>
      </c>
      <c r="H444" t="s">
        <v>79</v>
      </c>
      <c r="I444" t="s">
        <v>80</v>
      </c>
      <c r="J444" t="s">
        <v>43</v>
      </c>
      <c r="K444" t="s">
        <v>44</v>
      </c>
      <c r="L444" s="2">
        <v>0.375</v>
      </c>
      <c r="M444" s="2">
        <v>0.75</v>
      </c>
      <c r="N444">
        <v>8</v>
      </c>
      <c r="O444">
        <v>0</v>
      </c>
      <c r="P444" t="s">
        <v>32</v>
      </c>
      <c r="R444">
        <v>4</v>
      </c>
      <c r="S444" t="s">
        <v>92</v>
      </c>
      <c r="T444" t="s">
        <v>84</v>
      </c>
      <c r="V444" t="s">
        <v>60</v>
      </c>
    </row>
    <row r="445" spans="1:22" x14ac:dyDescent="0.3">
      <c r="A445" t="s">
        <v>634</v>
      </c>
      <c r="B445" s="1">
        <v>45808</v>
      </c>
      <c r="C445" t="s">
        <v>57</v>
      </c>
      <c r="D445" t="s">
        <v>24</v>
      </c>
      <c r="E445" t="s">
        <v>38</v>
      </c>
      <c r="F445" t="s">
        <v>166</v>
      </c>
      <c r="G445" t="s">
        <v>167</v>
      </c>
      <c r="H445" t="s">
        <v>41</v>
      </c>
      <c r="I445" t="s">
        <v>42</v>
      </c>
      <c r="J445" t="s">
        <v>100</v>
      </c>
      <c r="K445" t="s">
        <v>81</v>
      </c>
      <c r="L445" s="2">
        <v>0.91666666666666663</v>
      </c>
      <c r="M445" s="2">
        <v>0.29166666666666669</v>
      </c>
      <c r="N445">
        <v>8.5</v>
      </c>
      <c r="O445">
        <v>0.5</v>
      </c>
      <c r="P445" t="s">
        <v>32</v>
      </c>
      <c r="R445">
        <v>4</v>
      </c>
      <c r="S445" t="s">
        <v>92</v>
      </c>
      <c r="T445" t="s">
        <v>46</v>
      </c>
      <c r="U445" t="s">
        <v>47</v>
      </c>
      <c r="V445" t="s">
        <v>60</v>
      </c>
    </row>
    <row r="446" spans="1:22" x14ac:dyDescent="0.3">
      <c r="A446" t="s">
        <v>635</v>
      </c>
      <c r="B446" s="3">
        <v>45707</v>
      </c>
      <c r="C446" t="s">
        <v>95</v>
      </c>
      <c r="D446" t="s">
        <v>50</v>
      </c>
      <c r="E446" t="s">
        <v>51</v>
      </c>
      <c r="F446" t="s">
        <v>201</v>
      </c>
      <c r="G446" t="s">
        <v>202</v>
      </c>
      <c r="H446" t="s">
        <v>112</v>
      </c>
      <c r="I446" t="s">
        <v>113</v>
      </c>
      <c r="J446" t="s">
        <v>66</v>
      </c>
      <c r="K446" t="s">
        <v>44</v>
      </c>
      <c r="L446" s="2">
        <v>0.375</v>
      </c>
      <c r="N446">
        <v>8</v>
      </c>
      <c r="O446">
        <v>0</v>
      </c>
      <c r="P446" t="s">
        <v>32</v>
      </c>
      <c r="R446">
        <v>5</v>
      </c>
      <c r="S446" t="s">
        <v>67</v>
      </c>
      <c r="T446" t="s">
        <v>114</v>
      </c>
      <c r="V446" t="s">
        <v>60</v>
      </c>
    </row>
    <row r="447" spans="1:22" x14ac:dyDescent="0.3">
      <c r="A447" t="s">
        <v>636</v>
      </c>
      <c r="B447" s="3">
        <v>45678</v>
      </c>
      <c r="C447" t="s">
        <v>49</v>
      </c>
      <c r="D447" t="s">
        <v>50</v>
      </c>
      <c r="E447" t="s">
        <v>87</v>
      </c>
      <c r="F447" t="s">
        <v>154</v>
      </c>
      <c r="G447" t="s">
        <v>155</v>
      </c>
      <c r="H447" t="s">
        <v>41</v>
      </c>
      <c r="I447" t="s">
        <v>42</v>
      </c>
      <c r="J447" t="s">
        <v>74</v>
      </c>
      <c r="K447" t="s">
        <v>44</v>
      </c>
      <c r="L447" s="2">
        <v>0.375</v>
      </c>
      <c r="M447" s="2">
        <v>0.75</v>
      </c>
      <c r="N447">
        <v>8</v>
      </c>
      <c r="O447">
        <v>0</v>
      </c>
      <c r="P447" t="s">
        <v>32</v>
      </c>
      <c r="R447">
        <v>4</v>
      </c>
      <c r="S447" t="s">
        <v>33</v>
      </c>
      <c r="T447" t="s">
        <v>46</v>
      </c>
      <c r="U447" t="s">
        <v>55</v>
      </c>
      <c r="V447" t="s">
        <v>60</v>
      </c>
    </row>
    <row r="448" spans="1:22" x14ac:dyDescent="0.3">
      <c r="A448" t="s">
        <v>637</v>
      </c>
      <c r="B448" s="3">
        <v>45726</v>
      </c>
      <c r="C448" t="s">
        <v>71</v>
      </c>
      <c r="D448" t="s">
        <v>50</v>
      </c>
      <c r="E448" t="s">
        <v>109</v>
      </c>
      <c r="F448" t="s">
        <v>288</v>
      </c>
      <c r="G448" t="s">
        <v>289</v>
      </c>
      <c r="H448" t="s">
        <v>28</v>
      </c>
      <c r="I448" t="s">
        <v>29</v>
      </c>
      <c r="J448" t="s">
        <v>74</v>
      </c>
      <c r="K448" t="s">
        <v>44</v>
      </c>
      <c r="L448" s="2">
        <v>0.375</v>
      </c>
      <c r="M448" s="2">
        <v>0.75</v>
      </c>
      <c r="N448">
        <v>8</v>
      </c>
      <c r="O448">
        <v>0</v>
      </c>
      <c r="P448" t="s">
        <v>32</v>
      </c>
      <c r="S448" t="s">
        <v>33</v>
      </c>
      <c r="T448" t="s">
        <v>34</v>
      </c>
    </row>
    <row r="449" spans="1:22" x14ac:dyDescent="0.3">
      <c r="A449" t="s">
        <v>638</v>
      </c>
      <c r="B449" s="1">
        <v>45713</v>
      </c>
      <c r="C449" t="s">
        <v>95</v>
      </c>
      <c r="D449" t="s">
        <v>50</v>
      </c>
      <c r="E449" t="s">
        <v>87</v>
      </c>
      <c r="F449" t="s">
        <v>195</v>
      </c>
      <c r="G449" t="s">
        <v>196</v>
      </c>
      <c r="H449" t="s">
        <v>98</v>
      </c>
      <c r="I449" t="s">
        <v>99</v>
      </c>
      <c r="J449" t="s">
        <v>43</v>
      </c>
      <c r="K449" t="s">
        <v>75</v>
      </c>
      <c r="L449" s="2">
        <v>0.375</v>
      </c>
      <c r="M449" s="2">
        <v>0.75</v>
      </c>
      <c r="N449">
        <v>8</v>
      </c>
      <c r="O449">
        <v>0</v>
      </c>
      <c r="P449" t="s">
        <v>32</v>
      </c>
      <c r="S449" t="s">
        <v>45</v>
      </c>
      <c r="T449" t="s">
        <v>101</v>
      </c>
      <c r="U449" t="s">
        <v>85</v>
      </c>
      <c r="V449" t="s">
        <v>60</v>
      </c>
    </row>
    <row r="450" spans="1:22" x14ac:dyDescent="0.3">
      <c r="A450" t="s">
        <v>639</v>
      </c>
      <c r="B450" s="3">
        <v>45770</v>
      </c>
      <c r="C450" t="s">
        <v>37</v>
      </c>
      <c r="D450" t="s">
        <v>24</v>
      </c>
      <c r="E450" t="s">
        <v>51</v>
      </c>
      <c r="F450" t="s">
        <v>195</v>
      </c>
      <c r="G450" t="s">
        <v>196</v>
      </c>
      <c r="H450" t="s">
        <v>98</v>
      </c>
      <c r="I450" t="s">
        <v>99</v>
      </c>
      <c r="J450" t="s">
        <v>43</v>
      </c>
      <c r="K450" t="s">
        <v>31</v>
      </c>
      <c r="L450" s="2">
        <v>0.375</v>
      </c>
      <c r="M450" s="2">
        <v>0.75</v>
      </c>
      <c r="N450">
        <v>8</v>
      </c>
      <c r="O450">
        <v>0</v>
      </c>
      <c r="P450" t="s">
        <v>32</v>
      </c>
      <c r="S450" t="s">
        <v>92</v>
      </c>
      <c r="T450" t="s">
        <v>101</v>
      </c>
      <c r="U450" t="s">
        <v>47</v>
      </c>
      <c r="V450" t="s">
        <v>69</v>
      </c>
    </row>
    <row r="451" spans="1:22" x14ac:dyDescent="0.3">
      <c r="A451" t="s">
        <v>640</v>
      </c>
      <c r="B451" s="3">
        <v>45838</v>
      </c>
      <c r="C451" t="s">
        <v>23</v>
      </c>
      <c r="D451" t="s">
        <v>24</v>
      </c>
      <c r="E451" t="s">
        <v>109</v>
      </c>
      <c r="F451" t="s">
        <v>151</v>
      </c>
      <c r="G451" t="s">
        <v>152</v>
      </c>
      <c r="H451" t="s">
        <v>581</v>
      </c>
      <c r="I451" t="s">
        <v>99</v>
      </c>
      <c r="J451" t="s">
        <v>30</v>
      </c>
      <c r="K451" t="s">
        <v>81</v>
      </c>
      <c r="L451" s="2">
        <v>0.91666666666666663</v>
      </c>
      <c r="M451" s="2">
        <v>0.29166666666666669</v>
      </c>
      <c r="N451">
        <v>10</v>
      </c>
      <c r="O451">
        <v>2</v>
      </c>
      <c r="P451" t="s">
        <v>32</v>
      </c>
      <c r="R451">
        <v>4</v>
      </c>
      <c r="S451" t="s">
        <v>45</v>
      </c>
      <c r="T451" t="s">
        <v>101</v>
      </c>
      <c r="U451" t="s">
        <v>47</v>
      </c>
      <c r="V451" t="s">
        <v>69</v>
      </c>
    </row>
    <row r="452" spans="1:22" x14ac:dyDescent="0.3">
      <c r="A452" t="s">
        <v>641</v>
      </c>
      <c r="B452" s="3">
        <v>45770</v>
      </c>
      <c r="C452" t="s">
        <v>37</v>
      </c>
      <c r="D452" t="s">
        <v>24</v>
      </c>
      <c r="E452" t="s">
        <v>51</v>
      </c>
      <c r="F452" t="s">
        <v>145</v>
      </c>
      <c r="G452" t="s">
        <v>146</v>
      </c>
      <c r="H452" t="s">
        <v>90</v>
      </c>
      <c r="I452" t="s">
        <v>91</v>
      </c>
      <c r="J452" t="s">
        <v>100</v>
      </c>
      <c r="K452" t="s">
        <v>81</v>
      </c>
      <c r="L452" s="2">
        <v>0.91666666666666663</v>
      </c>
      <c r="M452" s="2">
        <v>0.29166666666666669</v>
      </c>
      <c r="N452">
        <v>9</v>
      </c>
      <c r="O452">
        <v>1</v>
      </c>
      <c r="P452" t="s">
        <v>32</v>
      </c>
      <c r="R452">
        <v>4</v>
      </c>
      <c r="S452" t="s">
        <v>45</v>
      </c>
      <c r="T452" t="s">
        <v>93</v>
      </c>
      <c r="U452" t="s">
        <v>47</v>
      </c>
    </row>
    <row r="453" spans="1:22" x14ac:dyDescent="0.3">
      <c r="A453" t="s">
        <v>642</v>
      </c>
      <c r="B453" s="3">
        <v>45787</v>
      </c>
      <c r="C453" t="s">
        <v>57</v>
      </c>
      <c r="D453" t="s">
        <v>24</v>
      </c>
      <c r="E453" t="s">
        <v>38</v>
      </c>
      <c r="F453" t="s">
        <v>58</v>
      </c>
      <c r="G453" t="s">
        <v>59</v>
      </c>
      <c r="H453" t="s">
        <v>41</v>
      </c>
      <c r="I453" t="s">
        <v>42</v>
      </c>
      <c r="J453" t="s">
        <v>30</v>
      </c>
      <c r="K453" t="s">
        <v>31</v>
      </c>
      <c r="L453" s="2">
        <v>0.375</v>
      </c>
      <c r="M453" s="2">
        <v>0.75</v>
      </c>
      <c r="N453">
        <v>8</v>
      </c>
      <c r="O453">
        <v>0</v>
      </c>
      <c r="P453" t="s">
        <v>32</v>
      </c>
      <c r="R453">
        <v>5</v>
      </c>
      <c r="S453" t="s">
        <v>45</v>
      </c>
      <c r="T453" t="s">
        <v>46</v>
      </c>
      <c r="U453" t="s">
        <v>47</v>
      </c>
      <c r="V453" t="s">
        <v>35</v>
      </c>
    </row>
    <row r="454" spans="1:22" x14ac:dyDescent="0.3">
      <c r="A454" t="s">
        <v>643</v>
      </c>
      <c r="B454" s="1">
        <v>45755</v>
      </c>
      <c r="C454" t="s">
        <v>37</v>
      </c>
      <c r="D454" t="s">
        <v>24</v>
      </c>
      <c r="E454" t="s">
        <v>87</v>
      </c>
      <c r="F454" t="s">
        <v>266</v>
      </c>
      <c r="G454" t="s">
        <v>267</v>
      </c>
      <c r="H454" t="s">
        <v>98</v>
      </c>
      <c r="I454" t="s">
        <v>99</v>
      </c>
      <c r="J454" t="s">
        <v>66</v>
      </c>
      <c r="K454" t="s">
        <v>31</v>
      </c>
      <c r="L454" s="2">
        <v>0.375</v>
      </c>
      <c r="M454" s="2">
        <v>0.75</v>
      </c>
      <c r="N454">
        <v>8</v>
      </c>
      <c r="O454">
        <v>0</v>
      </c>
      <c r="P454" t="s">
        <v>32</v>
      </c>
      <c r="R454">
        <v>4</v>
      </c>
      <c r="S454" t="s">
        <v>67</v>
      </c>
      <c r="T454" t="s">
        <v>101</v>
      </c>
      <c r="U454" t="s">
        <v>55</v>
      </c>
    </row>
    <row r="455" spans="1:22" x14ac:dyDescent="0.3">
      <c r="A455" t="s">
        <v>644</v>
      </c>
      <c r="B455" s="3">
        <v>45800</v>
      </c>
      <c r="C455" t="s">
        <v>57</v>
      </c>
      <c r="D455" t="s">
        <v>24</v>
      </c>
      <c r="E455" t="s">
        <v>119</v>
      </c>
      <c r="F455" t="s">
        <v>77</v>
      </c>
      <c r="G455" t="s">
        <v>78</v>
      </c>
      <c r="H455" t="s">
        <v>79</v>
      </c>
      <c r="I455" t="s">
        <v>80</v>
      </c>
      <c r="J455" t="s">
        <v>30</v>
      </c>
      <c r="K455" t="s">
        <v>81</v>
      </c>
      <c r="L455" s="2">
        <v>0.91666666666666663</v>
      </c>
      <c r="M455" s="2">
        <v>0.29166666666666669</v>
      </c>
      <c r="N455">
        <v>10</v>
      </c>
      <c r="O455">
        <v>2</v>
      </c>
      <c r="P455" t="s">
        <v>32</v>
      </c>
      <c r="R455">
        <v>3</v>
      </c>
      <c r="S455" t="s">
        <v>33</v>
      </c>
      <c r="T455" t="s">
        <v>84</v>
      </c>
      <c r="U455" t="s">
        <v>55</v>
      </c>
      <c r="V455" t="s">
        <v>35</v>
      </c>
    </row>
    <row r="456" spans="1:22" x14ac:dyDescent="0.3">
      <c r="A456" t="s">
        <v>645</v>
      </c>
      <c r="B456" s="3">
        <v>45812</v>
      </c>
      <c r="C456" t="s">
        <v>23</v>
      </c>
      <c r="D456" t="s">
        <v>24</v>
      </c>
      <c r="E456" t="s">
        <v>51</v>
      </c>
      <c r="F456" t="s">
        <v>58</v>
      </c>
      <c r="G456" t="s">
        <v>59</v>
      </c>
      <c r="H456" t="s">
        <v>41</v>
      </c>
      <c r="I456" t="s">
        <v>42</v>
      </c>
      <c r="J456" t="s">
        <v>30</v>
      </c>
      <c r="K456" t="s">
        <v>81</v>
      </c>
      <c r="L456" s="2">
        <v>0.91666666666666663</v>
      </c>
      <c r="M456" s="2">
        <v>0.29166666666666669</v>
      </c>
      <c r="N456">
        <v>8.5</v>
      </c>
      <c r="O456">
        <v>0.5</v>
      </c>
      <c r="P456" t="s">
        <v>32</v>
      </c>
      <c r="R456">
        <v>3</v>
      </c>
      <c r="S456" t="s">
        <v>45</v>
      </c>
      <c r="T456" t="s">
        <v>46</v>
      </c>
      <c r="U456" t="s">
        <v>47</v>
      </c>
      <c r="V456" t="s">
        <v>69</v>
      </c>
    </row>
    <row r="457" spans="1:22" x14ac:dyDescent="0.3">
      <c r="A457" t="s">
        <v>646</v>
      </c>
      <c r="B457" s="1">
        <v>45822</v>
      </c>
      <c r="C457" t="s">
        <v>23</v>
      </c>
      <c r="D457" t="s">
        <v>24</v>
      </c>
      <c r="E457" t="s">
        <v>38</v>
      </c>
      <c r="F457" t="s">
        <v>185</v>
      </c>
      <c r="G457" t="s">
        <v>186</v>
      </c>
      <c r="H457" t="s">
        <v>79</v>
      </c>
      <c r="I457" t="s">
        <v>80</v>
      </c>
      <c r="J457" t="s">
        <v>66</v>
      </c>
      <c r="K457" t="s">
        <v>54</v>
      </c>
      <c r="L457" s="2">
        <v>0.375</v>
      </c>
      <c r="M457" s="2">
        <v>0.75</v>
      </c>
      <c r="N457">
        <v>8</v>
      </c>
      <c r="O457">
        <v>0</v>
      </c>
      <c r="P457" t="s">
        <v>32</v>
      </c>
      <c r="R457">
        <v>3</v>
      </c>
      <c r="S457" t="s">
        <v>45</v>
      </c>
      <c r="T457" t="s">
        <v>84</v>
      </c>
      <c r="U457" t="s">
        <v>55</v>
      </c>
      <c r="V457" t="s">
        <v>69</v>
      </c>
    </row>
    <row r="458" spans="1:22" x14ac:dyDescent="0.3">
      <c r="A458" t="s">
        <v>647</v>
      </c>
      <c r="B458" s="3">
        <v>45783</v>
      </c>
      <c r="C458" t="s">
        <v>57</v>
      </c>
      <c r="D458" t="s">
        <v>24</v>
      </c>
      <c r="E458" t="s">
        <v>87</v>
      </c>
      <c r="F458" t="s">
        <v>127</v>
      </c>
      <c r="G458" t="s">
        <v>128</v>
      </c>
      <c r="H458" t="s">
        <v>90</v>
      </c>
      <c r="I458" t="s">
        <v>91</v>
      </c>
      <c r="J458" t="s">
        <v>66</v>
      </c>
      <c r="K458" t="s">
        <v>44</v>
      </c>
      <c r="P458" t="s">
        <v>135</v>
      </c>
      <c r="S458" t="s">
        <v>33</v>
      </c>
      <c r="T458" t="s">
        <v>93</v>
      </c>
      <c r="U458" t="s">
        <v>85</v>
      </c>
      <c r="V458" t="s">
        <v>69</v>
      </c>
    </row>
    <row r="459" spans="1:22" x14ac:dyDescent="0.3">
      <c r="A459" t="s">
        <v>648</v>
      </c>
      <c r="B459" s="1">
        <v>45777</v>
      </c>
      <c r="C459" t="s">
        <v>37</v>
      </c>
      <c r="D459" t="s">
        <v>24</v>
      </c>
      <c r="E459" t="s">
        <v>51</v>
      </c>
      <c r="F459" t="s">
        <v>231</v>
      </c>
      <c r="G459" t="s">
        <v>232</v>
      </c>
      <c r="H459" t="s">
        <v>98</v>
      </c>
      <c r="I459" t="s">
        <v>99</v>
      </c>
      <c r="J459" t="s">
        <v>74</v>
      </c>
      <c r="K459" t="s">
        <v>31</v>
      </c>
      <c r="L459" s="2">
        <v>0.375</v>
      </c>
      <c r="M459" s="2">
        <v>0.75</v>
      </c>
      <c r="N459">
        <v>8</v>
      </c>
      <c r="O459">
        <v>0</v>
      </c>
      <c r="P459" t="s">
        <v>32</v>
      </c>
      <c r="S459" t="s">
        <v>33</v>
      </c>
      <c r="T459" t="s">
        <v>101</v>
      </c>
      <c r="V459" t="s">
        <v>60</v>
      </c>
    </row>
    <row r="460" spans="1:22" x14ac:dyDescent="0.3">
      <c r="A460" t="s">
        <v>649</v>
      </c>
      <c r="B460" s="1">
        <v>45717</v>
      </c>
      <c r="C460" t="s">
        <v>71</v>
      </c>
      <c r="D460" t="s">
        <v>50</v>
      </c>
      <c r="E460" t="s">
        <v>38</v>
      </c>
      <c r="F460" t="s">
        <v>173</v>
      </c>
      <c r="G460" t="s">
        <v>174</v>
      </c>
      <c r="H460" t="s">
        <v>90</v>
      </c>
      <c r="I460" t="s">
        <v>91</v>
      </c>
      <c r="J460" t="s">
        <v>74</v>
      </c>
      <c r="K460" t="s">
        <v>81</v>
      </c>
      <c r="M460" s="2">
        <v>0.29166666666666669</v>
      </c>
      <c r="N460">
        <v>9</v>
      </c>
      <c r="O460">
        <v>1</v>
      </c>
      <c r="P460" t="s">
        <v>32</v>
      </c>
      <c r="R460">
        <v>4</v>
      </c>
      <c r="S460" t="s">
        <v>67</v>
      </c>
      <c r="T460" t="s">
        <v>93</v>
      </c>
      <c r="U460" t="s">
        <v>55</v>
      </c>
    </row>
    <row r="461" spans="1:22" x14ac:dyDescent="0.3">
      <c r="A461" t="s">
        <v>650</v>
      </c>
      <c r="B461" s="1">
        <v>45740</v>
      </c>
      <c r="C461" t="s">
        <v>71</v>
      </c>
      <c r="D461" t="s">
        <v>50</v>
      </c>
      <c r="E461" t="s">
        <v>109</v>
      </c>
      <c r="F461" t="s">
        <v>211</v>
      </c>
      <c r="G461" t="s">
        <v>212</v>
      </c>
      <c r="H461" t="s">
        <v>64</v>
      </c>
      <c r="I461" t="s">
        <v>65</v>
      </c>
      <c r="J461" t="s">
        <v>74</v>
      </c>
      <c r="K461" t="s">
        <v>75</v>
      </c>
      <c r="L461" s="2">
        <v>0.375</v>
      </c>
      <c r="M461" s="2">
        <v>0.75</v>
      </c>
      <c r="N461">
        <v>9</v>
      </c>
      <c r="O461">
        <v>1</v>
      </c>
      <c r="P461" t="s">
        <v>32</v>
      </c>
      <c r="R461">
        <v>3</v>
      </c>
      <c r="S461" t="s">
        <v>45</v>
      </c>
      <c r="T461" t="s">
        <v>68</v>
      </c>
      <c r="U461" t="s">
        <v>55</v>
      </c>
      <c r="V461" t="s">
        <v>35</v>
      </c>
    </row>
    <row r="462" spans="1:22" x14ac:dyDescent="0.3">
      <c r="A462" t="s">
        <v>651</v>
      </c>
      <c r="B462" s="3">
        <v>45796</v>
      </c>
      <c r="C462" t="s">
        <v>57</v>
      </c>
      <c r="D462" t="s">
        <v>24</v>
      </c>
      <c r="E462" t="s">
        <v>109</v>
      </c>
      <c r="F462" t="s">
        <v>173</v>
      </c>
      <c r="G462" t="s">
        <v>174</v>
      </c>
      <c r="H462" t="s">
        <v>90</v>
      </c>
      <c r="I462" t="s">
        <v>91</v>
      </c>
      <c r="J462" t="s">
        <v>74</v>
      </c>
      <c r="K462" t="s">
        <v>75</v>
      </c>
      <c r="L462" s="2">
        <v>0.375</v>
      </c>
      <c r="M462" s="2">
        <v>0.75</v>
      </c>
      <c r="N462">
        <v>8</v>
      </c>
      <c r="O462">
        <v>0</v>
      </c>
      <c r="P462" t="s">
        <v>32</v>
      </c>
      <c r="R462">
        <v>4</v>
      </c>
      <c r="S462" t="s">
        <v>45</v>
      </c>
      <c r="T462" t="s">
        <v>93</v>
      </c>
    </row>
    <row r="463" spans="1:22" x14ac:dyDescent="0.3">
      <c r="A463" t="s">
        <v>652</v>
      </c>
      <c r="B463" s="1">
        <v>45777</v>
      </c>
      <c r="C463" t="s">
        <v>37</v>
      </c>
      <c r="D463" t="s">
        <v>24</v>
      </c>
      <c r="E463" t="s">
        <v>51</v>
      </c>
      <c r="F463" t="s">
        <v>195</v>
      </c>
      <c r="G463" t="s">
        <v>196</v>
      </c>
      <c r="H463" t="s">
        <v>98</v>
      </c>
      <c r="I463" t="s">
        <v>99</v>
      </c>
      <c r="J463" t="s">
        <v>43</v>
      </c>
      <c r="K463" t="s">
        <v>75</v>
      </c>
      <c r="L463" s="2">
        <v>0.375</v>
      </c>
      <c r="M463" s="2">
        <v>0.75</v>
      </c>
      <c r="N463">
        <v>8</v>
      </c>
      <c r="O463">
        <v>0</v>
      </c>
      <c r="P463" t="s">
        <v>32</v>
      </c>
      <c r="R463">
        <v>5</v>
      </c>
      <c r="S463" t="s">
        <v>92</v>
      </c>
      <c r="T463" t="s">
        <v>101</v>
      </c>
      <c r="U463" t="s">
        <v>47</v>
      </c>
      <c r="V463" t="s">
        <v>60</v>
      </c>
    </row>
    <row r="464" spans="1:22" x14ac:dyDescent="0.3">
      <c r="A464" t="s">
        <v>653</v>
      </c>
      <c r="B464" s="1">
        <v>45758</v>
      </c>
      <c r="C464" t="s">
        <v>37</v>
      </c>
      <c r="D464" t="s">
        <v>24</v>
      </c>
      <c r="E464" t="s">
        <v>119</v>
      </c>
      <c r="F464" t="s">
        <v>145</v>
      </c>
      <c r="G464" t="s">
        <v>146</v>
      </c>
      <c r="H464" t="s">
        <v>90</v>
      </c>
      <c r="I464" t="s">
        <v>91</v>
      </c>
      <c r="J464" t="s">
        <v>100</v>
      </c>
      <c r="K464" t="s">
        <v>75</v>
      </c>
      <c r="L464" s="2">
        <v>0.375</v>
      </c>
      <c r="M464" s="2">
        <v>0.75</v>
      </c>
      <c r="N464">
        <v>8</v>
      </c>
      <c r="O464">
        <v>0</v>
      </c>
      <c r="P464" t="s">
        <v>32</v>
      </c>
      <c r="R464">
        <v>3</v>
      </c>
      <c r="S464" t="s">
        <v>33</v>
      </c>
      <c r="T464" t="s">
        <v>93</v>
      </c>
      <c r="V464" t="s">
        <v>60</v>
      </c>
    </row>
    <row r="465" spans="1:22" x14ac:dyDescent="0.3">
      <c r="A465" t="s">
        <v>654</v>
      </c>
      <c r="B465" s="3">
        <v>45785</v>
      </c>
      <c r="C465" t="s">
        <v>57</v>
      </c>
      <c r="D465" t="s">
        <v>24</v>
      </c>
      <c r="E465" t="s">
        <v>25</v>
      </c>
      <c r="F465" t="s">
        <v>240</v>
      </c>
      <c r="G465" t="s">
        <v>241</v>
      </c>
      <c r="H465" t="s">
        <v>41</v>
      </c>
      <c r="I465" t="s">
        <v>42</v>
      </c>
      <c r="J465" t="s">
        <v>66</v>
      </c>
      <c r="K465" t="s">
        <v>75</v>
      </c>
      <c r="L465" s="2">
        <v>0.375</v>
      </c>
      <c r="M465" s="2">
        <v>0.75</v>
      </c>
      <c r="N465">
        <v>8</v>
      </c>
      <c r="O465">
        <v>0</v>
      </c>
      <c r="P465" t="s">
        <v>32</v>
      </c>
      <c r="R465">
        <v>4</v>
      </c>
      <c r="S465" t="s">
        <v>92</v>
      </c>
      <c r="T465" t="s">
        <v>46</v>
      </c>
      <c r="U465" t="s">
        <v>55</v>
      </c>
    </row>
    <row r="466" spans="1:22" x14ac:dyDescent="0.3">
      <c r="A466" t="s">
        <v>655</v>
      </c>
      <c r="B466" s="3">
        <v>45720</v>
      </c>
      <c r="C466" t="s">
        <v>71</v>
      </c>
      <c r="D466" t="s">
        <v>50</v>
      </c>
      <c r="E466" t="s">
        <v>87</v>
      </c>
      <c r="F466" t="s">
        <v>281</v>
      </c>
      <c r="G466" t="s">
        <v>282</v>
      </c>
      <c r="H466" t="s">
        <v>90</v>
      </c>
      <c r="I466" t="s">
        <v>91</v>
      </c>
      <c r="J466" t="s">
        <v>30</v>
      </c>
      <c r="K466" t="s">
        <v>44</v>
      </c>
      <c r="L466" s="2">
        <v>0.375</v>
      </c>
      <c r="M466" s="2">
        <v>0.75</v>
      </c>
      <c r="N466">
        <v>8</v>
      </c>
      <c r="O466">
        <v>0</v>
      </c>
      <c r="P466" t="s">
        <v>32</v>
      </c>
      <c r="S466" t="s">
        <v>45</v>
      </c>
      <c r="T466" t="s">
        <v>93</v>
      </c>
      <c r="V466" t="s">
        <v>35</v>
      </c>
    </row>
    <row r="467" spans="1:22" x14ac:dyDescent="0.3">
      <c r="A467" t="s">
        <v>656</v>
      </c>
      <c r="B467" s="1">
        <v>45765</v>
      </c>
      <c r="C467" t="s">
        <v>37</v>
      </c>
      <c r="D467" t="s">
        <v>24</v>
      </c>
      <c r="E467" t="s">
        <v>119</v>
      </c>
      <c r="F467" t="s">
        <v>145</v>
      </c>
      <c r="G467" t="s">
        <v>146</v>
      </c>
      <c r="H467" t="s">
        <v>90</v>
      </c>
      <c r="I467" t="s">
        <v>91</v>
      </c>
      <c r="J467" t="s">
        <v>100</v>
      </c>
      <c r="K467" t="s">
        <v>31</v>
      </c>
      <c r="L467" s="2">
        <v>0.375</v>
      </c>
      <c r="M467" s="2">
        <v>0.75</v>
      </c>
      <c r="N467">
        <v>8</v>
      </c>
      <c r="O467">
        <v>0</v>
      </c>
      <c r="P467" t="s">
        <v>32</v>
      </c>
      <c r="R467">
        <v>5</v>
      </c>
      <c r="S467" t="s">
        <v>33</v>
      </c>
      <c r="T467" t="s">
        <v>93</v>
      </c>
      <c r="U467" t="s">
        <v>47</v>
      </c>
    </row>
    <row r="468" spans="1:22" x14ac:dyDescent="0.3">
      <c r="A468" t="s">
        <v>657</v>
      </c>
      <c r="B468" s="1">
        <v>45806</v>
      </c>
      <c r="C468" t="s">
        <v>57</v>
      </c>
      <c r="D468" t="s">
        <v>24</v>
      </c>
      <c r="E468" t="s">
        <v>25</v>
      </c>
      <c r="F468" t="s">
        <v>163</v>
      </c>
      <c r="G468" t="s">
        <v>164</v>
      </c>
      <c r="H468" t="s">
        <v>112</v>
      </c>
      <c r="I468" t="s">
        <v>113</v>
      </c>
      <c r="J468" t="s">
        <v>100</v>
      </c>
      <c r="K468" t="s">
        <v>75</v>
      </c>
      <c r="L468" s="2">
        <v>0.39930555555555558</v>
      </c>
      <c r="M468" s="2">
        <v>0.75</v>
      </c>
      <c r="N468">
        <v>8</v>
      </c>
      <c r="O468">
        <v>0</v>
      </c>
      <c r="P468" t="s">
        <v>32</v>
      </c>
      <c r="R468">
        <v>5</v>
      </c>
      <c r="S468" t="s">
        <v>67</v>
      </c>
      <c r="T468" t="s">
        <v>114</v>
      </c>
      <c r="V468" t="s">
        <v>69</v>
      </c>
    </row>
    <row r="469" spans="1:22" x14ac:dyDescent="0.3">
      <c r="A469" t="s">
        <v>658</v>
      </c>
      <c r="B469" s="1">
        <v>45764</v>
      </c>
      <c r="C469" t="s">
        <v>37</v>
      </c>
      <c r="D469" t="s">
        <v>24</v>
      </c>
      <c r="E469" t="s">
        <v>25</v>
      </c>
      <c r="F469" t="s">
        <v>72</v>
      </c>
      <c r="G469" t="s">
        <v>73</v>
      </c>
      <c r="H469" t="s">
        <v>28</v>
      </c>
      <c r="I469" t="s">
        <v>29</v>
      </c>
      <c r="J469" t="s">
        <v>74</v>
      </c>
      <c r="K469" t="s">
        <v>54</v>
      </c>
      <c r="L469" s="2">
        <v>0.375</v>
      </c>
      <c r="M469" s="2">
        <v>0.75</v>
      </c>
      <c r="N469">
        <v>8</v>
      </c>
      <c r="O469">
        <v>0</v>
      </c>
      <c r="P469" t="s">
        <v>32</v>
      </c>
      <c r="R469">
        <v>4</v>
      </c>
      <c r="S469" t="s">
        <v>33</v>
      </c>
      <c r="T469" t="s">
        <v>34</v>
      </c>
      <c r="U469" t="s">
        <v>55</v>
      </c>
      <c r="V469" t="s">
        <v>60</v>
      </c>
    </row>
    <row r="470" spans="1:22" x14ac:dyDescent="0.3">
      <c r="A470" t="s">
        <v>659</v>
      </c>
      <c r="B470" s="3">
        <v>45833</v>
      </c>
      <c r="C470" t="s">
        <v>23</v>
      </c>
      <c r="D470" t="s">
        <v>24</v>
      </c>
      <c r="E470" t="s">
        <v>51</v>
      </c>
      <c r="F470" t="s">
        <v>170</v>
      </c>
      <c r="G470" t="s">
        <v>171</v>
      </c>
      <c r="H470" t="s">
        <v>64</v>
      </c>
      <c r="I470" t="s">
        <v>65</v>
      </c>
      <c r="J470" t="s">
        <v>43</v>
      </c>
      <c r="K470" t="s">
        <v>44</v>
      </c>
      <c r="P470" t="s">
        <v>82</v>
      </c>
      <c r="Q470" t="s">
        <v>122</v>
      </c>
      <c r="S470" t="s">
        <v>45</v>
      </c>
      <c r="T470" t="s">
        <v>68</v>
      </c>
      <c r="V470" t="s">
        <v>35</v>
      </c>
    </row>
    <row r="471" spans="1:22" x14ac:dyDescent="0.3">
      <c r="A471" t="s">
        <v>660</v>
      </c>
      <c r="B471" s="3">
        <v>45817</v>
      </c>
      <c r="C471" t="s">
        <v>23</v>
      </c>
      <c r="D471" t="s">
        <v>24</v>
      </c>
      <c r="E471" t="s">
        <v>109</v>
      </c>
      <c r="F471" t="s">
        <v>192</v>
      </c>
      <c r="G471" t="s">
        <v>193</v>
      </c>
      <c r="H471" t="s">
        <v>79</v>
      </c>
      <c r="I471" t="s">
        <v>80</v>
      </c>
      <c r="J471" t="s">
        <v>66</v>
      </c>
      <c r="K471" t="s">
        <v>31</v>
      </c>
      <c r="L471" s="2">
        <v>0.375</v>
      </c>
      <c r="M471" s="2">
        <v>0.75</v>
      </c>
      <c r="N471">
        <v>8</v>
      </c>
      <c r="O471">
        <v>0</v>
      </c>
      <c r="P471" t="s">
        <v>32</v>
      </c>
      <c r="R471">
        <v>4</v>
      </c>
      <c r="S471" t="s">
        <v>67</v>
      </c>
      <c r="T471" t="s">
        <v>84</v>
      </c>
      <c r="U471" t="s">
        <v>85</v>
      </c>
      <c r="V471" t="s">
        <v>69</v>
      </c>
    </row>
    <row r="472" spans="1:22" x14ac:dyDescent="0.3">
      <c r="A472" t="s">
        <v>661</v>
      </c>
      <c r="B472" s="1">
        <v>45739</v>
      </c>
      <c r="C472" t="s">
        <v>71</v>
      </c>
      <c r="D472" t="s">
        <v>50</v>
      </c>
      <c r="E472" t="s">
        <v>103</v>
      </c>
      <c r="F472" t="s">
        <v>305</v>
      </c>
      <c r="G472" t="s">
        <v>306</v>
      </c>
      <c r="H472" t="s">
        <v>79</v>
      </c>
      <c r="I472" t="s">
        <v>80</v>
      </c>
      <c r="J472" t="s">
        <v>74</v>
      </c>
      <c r="K472" t="s">
        <v>75</v>
      </c>
      <c r="L472" s="2">
        <v>0.375</v>
      </c>
      <c r="M472" s="2">
        <v>0.75</v>
      </c>
      <c r="N472">
        <v>8</v>
      </c>
      <c r="O472">
        <v>0</v>
      </c>
      <c r="P472" t="s">
        <v>32</v>
      </c>
      <c r="R472">
        <v>3</v>
      </c>
      <c r="S472" t="s">
        <v>45</v>
      </c>
      <c r="T472" t="s">
        <v>84</v>
      </c>
      <c r="V472" t="s">
        <v>60</v>
      </c>
    </row>
    <row r="473" spans="1:22" x14ac:dyDescent="0.3">
      <c r="A473" t="s">
        <v>662</v>
      </c>
      <c r="B473" s="3">
        <v>45751</v>
      </c>
      <c r="C473" t="s">
        <v>37</v>
      </c>
      <c r="D473" t="s">
        <v>24</v>
      </c>
      <c r="E473" t="s">
        <v>119</v>
      </c>
      <c r="F473" t="s">
        <v>504</v>
      </c>
      <c r="G473" t="s">
        <v>505</v>
      </c>
      <c r="H473" t="s">
        <v>98</v>
      </c>
      <c r="I473" t="s">
        <v>99</v>
      </c>
      <c r="J473" t="s">
        <v>100</v>
      </c>
      <c r="K473" t="s">
        <v>75</v>
      </c>
      <c r="L473" s="2">
        <v>0.375</v>
      </c>
      <c r="M473" s="2">
        <v>0.75</v>
      </c>
      <c r="N473">
        <v>8</v>
      </c>
      <c r="O473">
        <v>0</v>
      </c>
      <c r="P473" t="s">
        <v>32</v>
      </c>
      <c r="R473">
        <v>4</v>
      </c>
      <c r="S473" t="s">
        <v>45</v>
      </c>
      <c r="T473" t="s">
        <v>101</v>
      </c>
    </row>
    <row r="474" spans="1:22" x14ac:dyDescent="0.3">
      <c r="A474" t="s">
        <v>663</v>
      </c>
      <c r="B474" s="3">
        <v>45785</v>
      </c>
      <c r="C474" t="s">
        <v>57</v>
      </c>
      <c r="D474" t="s">
        <v>24</v>
      </c>
      <c r="E474" t="s">
        <v>25</v>
      </c>
      <c r="F474" t="s">
        <v>170</v>
      </c>
      <c r="G474" t="s">
        <v>171</v>
      </c>
      <c r="H474" t="s">
        <v>64</v>
      </c>
      <c r="I474" t="s">
        <v>65</v>
      </c>
      <c r="J474" t="s">
        <v>43</v>
      </c>
      <c r="K474" t="s">
        <v>54</v>
      </c>
      <c r="L474" s="2">
        <v>0.375</v>
      </c>
      <c r="M474" s="2">
        <v>0.75</v>
      </c>
      <c r="N474">
        <v>10</v>
      </c>
      <c r="O474">
        <v>2</v>
      </c>
      <c r="P474" t="s">
        <v>32</v>
      </c>
      <c r="R474">
        <v>4</v>
      </c>
      <c r="S474" t="s">
        <v>45</v>
      </c>
      <c r="T474" t="s">
        <v>68</v>
      </c>
      <c r="V474" t="s">
        <v>60</v>
      </c>
    </row>
    <row r="475" spans="1:22" x14ac:dyDescent="0.3">
      <c r="A475" t="s">
        <v>664</v>
      </c>
      <c r="B475" s="1">
        <v>45719</v>
      </c>
      <c r="C475" t="s">
        <v>71</v>
      </c>
      <c r="D475" t="s">
        <v>50</v>
      </c>
      <c r="E475" t="s">
        <v>109</v>
      </c>
      <c r="F475" t="s">
        <v>354</v>
      </c>
      <c r="G475" t="s">
        <v>355</v>
      </c>
      <c r="H475" t="s">
        <v>107</v>
      </c>
      <c r="I475" t="s">
        <v>29</v>
      </c>
      <c r="J475" t="s">
        <v>100</v>
      </c>
      <c r="K475" t="s">
        <v>81</v>
      </c>
      <c r="L475" s="2">
        <v>0.91666666666666663</v>
      </c>
      <c r="M475" s="2">
        <v>0.29166666666666669</v>
      </c>
      <c r="N475">
        <v>8.5</v>
      </c>
      <c r="O475">
        <v>0.5</v>
      </c>
      <c r="P475" t="s">
        <v>32</v>
      </c>
      <c r="S475" t="s">
        <v>45</v>
      </c>
      <c r="T475" t="s">
        <v>34</v>
      </c>
      <c r="U475" t="s">
        <v>47</v>
      </c>
      <c r="V475" t="s">
        <v>35</v>
      </c>
    </row>
    <row r="476" spans="1:22" x14ac:dyDescent="0.3">
      <c r="A476" t="s">
        <v>665</v>
      </c>
      <c r="B476" s="3">
        <v>45740</v>
      </c>
      <c r="C476" t="s">
        <v>71</v>
      </c>
      <c r="D476" t="s">
        <v>50</v>
      </c>
      <c r="E476" t="s">
        <v>109</v>
      </c>
      <c r="F476" t="s">
        <v>309</v>
      </c>
      <c r="G476" t="s">
        <v>310</v>
      </c>
      <c r="H476" t="s">
        <v>28</v>
      </c>
      <c r="I476" t="s">
        <v>29</v>
      </c>
      <c r="J476" t="s">
        <v>43</v>
      </c>
      <c r="K476" t="s">
        <v>44</v>
      </c>
      <c r="L476" s="2">
        <v>0.375</v>
      </c>
      <c r="M476" s="2">
        <v>0.75</v>
      </c>
      <c r="N476">
        <v>8</v>
      </c>
      <c r="O476">
        <v>0</v>
      </c>
      <c r="P476" t="s">
        <v>32</v>
      </c>
      <c r="R476">
        <v>5</v>
      </c>
      <c r="S476" t="s">
        <v>33</v>
      </c>
      <c r="T476" t="s">
        <v>34</v>
      </c>
    </row>
    <row r="477" spans="1:22" x14ac:dyDescent="0.3">
      <c r="A477" t="s">
        <v>666</v>
      </c>
      <c r="B477" s="1">
        <v>45663</v>
      </c>
      <c r="C477" t="s">
        <v>49</v>
      </c>
      <c r="D477" t="s">
        <v>50</v>
      </c>
      <c r="E477" t="s">
        <v>109</v>
      </c>
      <c r="F477" t="s">
        <v>192</v>
      </c>
      <c r="G477" t="s">
        <v>193</v>
      </c>
      <c r="H477" t="s">
        <v>79</v>
      </c>
      <c r="I477" t="s">
        <v>80</v>
      </c>
      <c r="J477" t="s">
        <v>66</v>
      </c>
      <c r="K477" t="s">
        <v>81</v>
      </c>
      <c r="L477" s="2">
        <v>0.91666666666666663</v>
      </c>
      <c r="M477" s="2">
        <v>0.29166666666666669</v>
      </c>
      <c r="N477">
        <v>9.5</v>
      </c>
      <c r="O477">
        <v>1.5</v>
      </c>
      <c r="P477" t="s">
        <v>32</v>
      </c>
      <c r="R477">
        <v>4</v>
      </c>
      <c r="S477" t="s">
        <v>92</v>
      </c>
      <c r="T477" t="s">
        <v>84</v>
      </c>
      <c r="U477" t="s">
        <v>85</v>
      </c>
      <c r="V477" t="s">
        <v>35</v>
      </c>
    </row>
    <row r="478" spans="1:22" x14ac:dyDescent="0.3">
      <c r="A478" t="s">
        <v>667</v>
      </c>
      <c r="B478" s="1">
        <v>45753</v>
      </c>
      <c r="C478" t="s">
        <v>37</v>
      </c>
      <c r="D478" t="s">
        <v>24</v>
      </c>
      <c r="E478" t="s">
        <v>103</v>
      </c>
      <c r="F478" t="s">
        <v>247</v>
      </c>
      <c r="G478" t="s">
        <v>248</v>
      </c>
      <c r="H478" t="s">
        <v>64</v>
      </c>
      <c r="I478" t="s">
        <v>65</v>
      </c>
      <c r="J478" t="s">
        <v>66</v>
      </c>
      <c r="K478" t="s">
        <v>75</v>
      </c>
      <c r="L478" s="2">
        <v>0.375</v>
      </c>
      <c r="M478" s="2">
        <v>0.75</v>
      </c>
      <c r="N478">
        <v>9</v>
      </c>
      <c r="O478">
        <v>1</v>
      </c>
      <c r="P478" t="s">
        <v>32</v>
      </c>
      <c r="R478">
        <v>4</v>
      </c>
      <c r="S478" t="s">
        <v>67</v>
      </c>
      <c r="T478" t="s">
        <v>68</v>
      </c>
      <c r="U478" t="s">
        <v>85</v>
      </c>
      <c r="V478" t="s">
        <v>60</v>
      </c>
    </row>
    <row r="479" spans="1:22" x14ac:dyDescent="0.3">
      <c r="A479" t="s">
        <v>668</v>
      </c>
      <c r="B479" s="3">
        <v>45727</v>
      </c>
      <c r="C479" t="s">
        <v>71</v>
      </c>
      <c r="D479" t="s">
        <v>50</v>
      </c>
      <c r="E479" t="s">
        <v>87</v>
      </c>
      <c r="F479" t="s">
        <v>26</v>
      </c>
      <c r="G479" t="s">
        <v>27</v>
      </c>
      <c r="H479" t="s">
        <v>28</v>
      </c>
      <c r="I479" t="s">
        <v>29</v>
      </c>
      <c r="J479" t="s">
        <v>30</v>
      </c>
      <c r="K479" t="s">
        <v>81</v>
      </c>
      <c r="L479" s="2">
        <v>0.91666666666666663</v>
      </c>
      <c r="M479" s="2">
        <v>0.29166666666666669</v>
      </c>
      <c r="N479">
        <v>10</v>
      </c>
      <c r="O479">
        <v>2</v>
      </c>
      <c r="P479" t="s">
        <v>32</v>
      </c>
      <c r="R479">
        <v>4</v>
      </c>
      <c r="S479" t="s">
        <v>92</v>
      </c>
      <c r="T479" t="s">
        <v>34</v>
      </c>
      <c r="U479" t="s">
        <v>47</v>
      </c>
      <c r="V479" t="s">
        <v>69</v>
      </c>
    </row>
    <row r="480" spans="1:22" x14ac:dyDescent="0.3">
      <c r="A480" t="s">
        <v>669</v>
      </c>
      <c r="B480" s="3">
        <v>45793</v>
      </c>
      <c r="C480" t="s">
        <v>57</v>
      </c>
      <c r="D480" t="s">
        <v>24</v>
      </c>
      <c r="E480" t="s">
        <v>119</v>
      </c>
      <c r="F480" t="s">
        <v>201</v>
      </c>
      <c r="G480" t="s">
        <v>202</v>
      </c>
      <c r="H480" t="s">
        <v>112</v>
      </c>
      <c r="I480" t="s">
        <v>113</v>
      </c>
      <c r="J480" t="s">
        <v>66</v>
      </c>
      <c r="K480" t="s">
        <v>54</v>
      </c>
      <c r="L480" s="2">
        <v>0.375</v>
      </c>
      <c r="M480" s="2">
        <v>0.75</v>
      </c>
      <c r="N480">
        <v>8</v>
      </c>
      <c r="O480">
        <v>0</v>
      </c>
      <c r="P480" t="s">
        <v>32</v>
      </c>
      <c r="R480">
        <v>5</v>
      </c>
      <c r="S480" t="s">
        <v>33</v>
      </c>
      <c r="T480" t="s">
        <v>114</v>
      </c>
      <c r="U480" t="s">
        <v>55</v>
      </c>
    </row>
    <row r="481" spans="1:22" x14ac:dyDescent="0.3">
      <c r="A481" t="s">
        <v>670</v>
      </c>
      <c r="B481" s="1">
        <v>45833</v>
      </c>
      <c r="C481" t="s">
        <v>23</v>
      </c>
      <c r="D481" t="s">
        <v>24</v>
      </c>
      <c r="E481" t="s">
        <v>51</v>
      </c>
      <c r="F481" t="s">
        <v>204</v>
      </c>
      <c r="G481" t="s">
        <v>205</v>
      </c>
      <c r="H481" t="s">
        <v>90</v>
      </c>
      <c r="I481" t="s">
        <v>91</v>
      </c>
      <c r="J481" t="s">
        <v>74</v>
      </c>
      <c r="K481" t="s">
        <v>44</v>
      </c>
      <c r="P481" t="s">
        <v>135</v>
      </c>
      <c r="S481" t="s">
        <v>92</v>
      </c>
      <c r="T481" t="s">
        <v>93</v>
      </c>
      <c r="U481" t="s">
        <v>55</v>
      </c>
      <c r="V481" t="s">
        <v>69</v>
      </c>
    </row>
    <row r="482" spans="1:22" x14ac:dyDescent="0.3">
      <c r="A482" t="s">
        <v>671</v>
      </c>
      <c r="B482" s="3">
        <v>45825</v>
      </c>
      <c r="C482" t="s">
        <v>23</v>
      </c>
      <c r="D482" t="s">
        <v>24</v>
      </c>
      <c r="E482" t="s">
        <v>87</v>
      </c>
      <c r="F482" t="s">
        <v>173</v>
      </c>
      <c r="G482" t="s">
        <v>174</v>
      </c>
      <c r="H482" t="s">
        <v>90</v>
      </c>
      <c r="I482" t="s">
        <v>91</v>
      </c>
      <c r="J482" t="s">
        <v>74</v>
      </c>
      <c r="K482" t="s">
        <v>81</v>
      </c>
      <c r="L482" s="2">
        <v>0.91666666666666663</v>
      </c>
      <c r="M482" s="2">
        <v>0.29166666666666669</v>
      </c>
      <c r="N482">
        <v>9</v>
      </c>
      <c r="O482">
        <v>1</v>
      </c>
      <c r="P482" t="s">
        <v>32</v>
      </c>
      <c r="R482">
        <v>4</v>
      </c>
      <c r="S482" t="s">
        <v>67</v>
      </c>
      <c r="T482" t="s">
        <v>93</v>
      </c>
      <c r="U482" t="s">
        <v>85</v>
      </c>
      <c r="V482" t="s">
        <v>60</v>
      </c>
    </row>
    <row r="483" spans="1:22" x14ac:dyDescent="0.3">
      <c r="A483" t="s">
        <v>672</v>
      </c>
      <c r="B483" s="1">
        <v>45834</v>
      </c>
      <c r="C483" t="s">
        <v>23</v>
      </c>
      <c r="D483" t="s">
        <v>24</v>
      </c>
      <c r="E483" t="s">
        <v>25</v>
      </c>
      <c r="F483" t="s">
        <v>305</v>
      </c>
      <c r="G483" t="s">
        <v>306</v>
      </c>
      <c r="H483" t="s">
        <v>79</v>
      </c>
      <c r="I483" t="s">
        <v>80</v>
      </c>
      <c r="J483" t="s">
        <v>74</v>
      </c>
      <c r="K483" t="s">
        <v>44</v>
      </c>
      <c r="L483" s="2">
        <v>0.375</v>
      </c>
      <c r="M483" s="2">
        <v>0.75</v>
      </c>
      <c r="N483">
        <v>8</v>
      </c>
      <c r="O483">
        <v>0</v>
      </c>
      <c r="P483" t="s">
        <v>32</v>
      </c>
      <c r="R483">
        <v>4</v>
      </c>
      <c r="S483" t="s">
        <v>45</v>
      </c>
      <c r="T483" t="s">
        <v>84</v>
      </c>
      <c r="U483" t="s">
        <v>85</v>
      </c>
    </row>
    <row r="484" spans="1:22" x14ac:dyDescent="0.3">
      <c r="A484" t="s">
        <v>673</v>
      </c>
      <c r="B484" s="1">
        <v>45673</v>
      </c>
      <c r="C484" t="s">
        <v>49</v>
      </c>
      <c r="D484" t="s">
        <v>50</v>
      </c>
      <c r="E484" t="s">
        <v>25</v>
      </c>
      <c r="F484" t="s">
        <v>127</v>
      </c>
      <c r="G484" t="s">
        <v>128</v>
      </c>
      <c r="H484" t="s">
        <v>90</v>
      </c>
      <c r="I484" t="s">
        <v>91</v>
      </c>
      <c r="J484" t="s">
        <v>66</v>
      </c>
      <c r="K484" t="s">
        <v>75</v>
      </c>
      <c r="L484" s="2">
        <v>0.375</v>
      </c>
      <c r="M484" s="2">
        <v>0.75</v>
      </c>
      <c r="N484">
        <v>8</v>
      </c>
      <c r="O484">
        <v>0</v>
      </c>
      <c r="P484" t="s">
        <v>32</v>
      </c>
      <c r="R484">
        <v>5</v>
      </c>
      <c r="S484" t="s">
        <v>92</v>
      </c>
      <c r="T484" t="s">
        <v>93</v>
      </c>
      <c r="V484" t="s">
        <v>35</v>
      </c>
    </row>
    <row r="485" spans="1:22" x14ac:dyDescent="0.3">
      <c r="A485" t="s">
        <v>674</v>
      </c>
      <c r="B485" s="3">
        <v>45730</v>
      </c>
      <c r="C485" t="s">
        <v>71</v>
      </c>
      <c r="D485" t="s">
        <v>50</v>
      </c>
      <c r="E485" t="s">
        <v>119</v>
      </c>
      <c r="F485" t="s">
        <v>266</v>
      </c>
      <c r="G485" t="s">
        <v>267</v>
      </c>
      <c r="H485" t="s">
        <v>98</v>
      </c>
      <c r="I485" t="s">
        <v>99</v>
      </c>
      <c r="J485" t="s">
        <v>66</v>
      </c>
      <c r="K485" t="s">
        <v>31</v>
      </c>
      <c r="L485" s="2">
        <v>0.375</v>
      </c>
      <c r="M485" s="2">
        <v>0.75</v>
      </c>
      <c r="N485">
        <v>8</v>
      </c>
      <c r="O485">
        <v>0</v>
      </c>
      <c r="P485" t="s">
        <v>32</v>
      </c>
      <c r="R485">
        <v>4</v>
      </c>
      <c r="S485" t="s">
        <v>67</v>
      </c>
      <c r="T485" t="s">
        <v>101</v>
      </c>
      <c r="U485" t="s">
        <v>55</v>
      </c>
      <c r="V485" t="s">
        <v>60</v>
      </c>
    </row>
    <row r="486" spans="1:22" x14ac:dyDescent="0.3">
      <c r="A486" t="s">
        <v>675</v>
      </c>
      <c r="B486" s="3">
        <v>45786</v>
      </c>
      <c r="C486" t="s">
        <v>57</v>
      </c>
      <c r="D486" t="s">
        <v>24</v>
      </c>
      <c r="E486" t="s">
        <v>119</v>
      </c>
      <c r="F486" t="s">
        <v>215</v>
      </c>
      <c r="G486" t="s">
        <v>216</v>
      </c>
      <c r="H486" t="s">
        <v>79</v>
      </c>
      <c r="I486" t="s">
        <v>80</v>
      </c>
      <c r="J486" t="s">
        <v>30</v>
      </c>
      <c r="K486" t="s">
        <v>54</v>
      </c>
      <c r="L486" s="2">
        <v>0.375</v>
      </c>
      <c r="M486" s="2">
        <v>0.75</v>
      </c>
      <c r="N486">
        <v>8</v>
      </c>
      <c r="O486">
        <v>0</v>
      </c>
      <c r="P486" t="s">
        <v>32</v>
      </c>
      <c r="R486">
        <v>4</v>
      </c>
      <c r="S486" t="s">
        <v>67</v>
      </c>
      <c r="T486" t="s">
        <v>84</v>
      </c>
      <c r="U486" t="s">
        <v>47</v>
      </c>
    </row>
    <row r="487" spans="1:22" x14ac:dyDescent="0.3">
      <c r="A487" t="s">
        <v>676</v>
      </c>
      <c r="B487" s="1">
        <v>45663</v>
      </c>
      <c r="C487" t="s">
        <v>49</v>
      </c>
      <c r="D487" t="s">
        <v>50</v>
      </c>
      <c r="E487" t="s">
        <v>109</v>
      </c>
      <c r="F487" t="s">
        <v>309</v>
      </c>
      <c r="G487" t="s">
        <v>310</v>
      </c>
      <c r="H487" t="s">
        <v>28</v>
      </c>
      <c r="I487" t="s">
        <v>29</v>
      </c>
      <c r="J487" t="s">
        <v>43</v>
      </c>
      <c r="K487" t="s">
        <v>75</v>
      </c>
      <c r="L487" s="2">
        <v>0.375</v>
      </c>
      <c r="N487">
        <v>8</v>
      </c>
      <c r="O487">
        <v>0</v>
      </c>
      <c r="P487" t="s">
        <v>32</v>
      </c>
      <c r="R487">
        <v>3</v>
      </c>
      <c r="S487" t="s">
        <v>92</v>
      </c>
      <c r="T487" t="s">
        <v>34</v>
      </c>
      <c r="V487" t="s">
        <v>35</v>
      </c>
    </row>
    <row r="488" spans="1:22" x14ac:dyDescent="0.3">
      <c r="A488" t="s">
        <v>677</v>
      </c>
      <c r="B488" s="1">
        <v>45668</v>
      </c>
      <c r="C488" t="s">
        <v>49</v>
      </c>
      <c r="D488" t="s">
        <v>50</v>
      </c>
      <c r="E488" t="s">
        <v>38</v>
      </c>
      <c r="F488" t="s">
        <v>220</v>
      </c>
      <c r="G488" t="s">
        <v>221</v>
      </c>
      <c r="H488" t="s">
        <v>79</v>
      </c>
      <c r="I488" t="s">
        <v>80</v>
      </c>
      <c r="J488" t="s">
        <v>100</v>
      </c>
      <c r="K488" t="s">
        <v>81</v>
      </c>
      <c r="L488" s="2">
        <v>0.91666666666666663</v>
      </c>
      <c r="M488" s="2">
        <v>0.29166666666666669</v>
      </c>
      <c r="N488">
        <v>9</v>
      </c>
      <c r="O488">
        <v>1</v>
      </c>
      <c r="P488" t="s">
        <v>32</v>
      </c>
      <c r="R488">
        <v>4</v>
      </c>
      <c r="S488" t="s">
        <v>67</v>
      </c>
      <c r="T488" t="s">
        <v>84</v>
      </c>
      <c r="V488" t="s">
        <v>69</v>
      </c>
    </row>
    <row r="489" spans="1:22" x14ac:dyDescent="0.3">
      <c r="A489" t="s">
        <v>678</v>
      </c>
      <c r="B489" s="3">
        <v>45788</v>
      </c>
      <c r="C489" t="s">
        <v>57</v>
      </c>
      <c r="D489" t="s">
        <v>24</v>
      </c>
      <c r="E489" t="s">
        <v>103</v>
      </c>
      <c r="F489" t="s">
        <v>72</v>
      </c>
      <c r="G489" t="s">
        <v>73</v>
      </c>
      <c r="H489" t="s">
        <v>28</v>
      </c>
      <c r="I489" t="s">
        <v>29</v>
      </c>
      <c r="J489" t="s">
        <v>74</v>
      </c>
      <c r="K489" t="s">
        <v>54</v>
      </c>
      <c r="L489" s="2">
        <v>0.375</v>
      </c>
      <c r="M489" s="2">
        <v>0.75</v>
      </c>
      <c r="N489">
        <v>8</v>
      </c>
      <c r="O489">
        <v>0</v>
      </c>
      <c r="P489" t="s">
        <v>32</v>
      </c>
      <c r="R489">
        <v>3</v>
      </c>
      <c r="S489" t="s">
        <v>92</v>
      </c>
      <c r="T489" t="s">
        <v>34</v>
      </c>
      <c r="U489" t="s">
        <v>47</v>
      </c>
      <c r="V489" t="s">
        <v>35</v>
      </c>
    </row>
    <row r="490" spans="1:22" x14ac:dyDescent="0.3">
      <c r="A490" t="s">
        <v>679</v>
      </c>
      <c r="B490" s="1">
        <v>45817</v>
      </c>
      <c r="C490" t="s">
        <v>23</v>
      </c>
      <c r="D490" t="s">
        <v>24</v>
      </c>
      <c r="E490" t="s">
        <v>109</v>
      </c>
      <c r="F490" t="s">
        <v>258</v>
      </c>
      <c r="G490" t="s">
        <v>259</v>
      </c>
      <c r="H490" t="s">
        <v>112</v>
      </c>
      <c r="I490" t="s">
        <v>113</v>
      </c>
      <c r="J490" t="s">
        <v>74</v>
      </c>
      <c r="K490" t="s">
        <v>81</v>
      </c>
      <c r="L490" s="2">
        <v>0.3888888888888889</v>
      </c>
      <c r="M490" s="2">
        <v>0.29166666666666669</v>
      </c>
      <c r="N490">
        <v>10</v>
      </c>
      <c r="O490">
        <v>2</v>
      </c>
      <c r="P490" t="s">
        <v>32</v>
      </c>
      <c r="R490">
        <v>4</v>
      </c>
      <c r="S490" t="s">
        <v>67</v>
      </c>
      <c r="T490" t="s">
        <v>114</v>
      </c>
      <c r="V490" t="s">
        <v>60</v>
      </c>
    </row>
    <row r="491" spans="1:22" x14ac:dyDescent="0.3">
      <c r="A491" t="s">
        <v>680</v>
      </c>
      <c r="B491" s="3">
        <v>45758</v>
      </c>
      <c r="C491" t="s">
        <v>37</v>
      </c>
      <c r="D491" t="s">
        <v>24</v>
      </c>
      <c r="E491" t="s">
        <v>119</v>
      </c>
      <c r="F491" t="s">
        <v>201</v>
      </c>
      <c r="G491" t="s">
        <v>202</v>
      </c>
      <c r="H491" t="s">
        <v>112</v>
      </c>
      <c r="I491" t="s">
        <v>113</v>
      </c>
      <c r="J491" t="s">
        <v>66</v>
      </c>
      <c r="K491" t="s">
        <v>81</v>
      </c>
      <c r="L491" s="2">
        <v>0.39930555555555558</v>
      </c>
      <c r="M491" s="2">
        <v>0.29166666666666669</v>
      </c>
      <c r="N491">
        <v>10</v>
      </c>
      <c r="O491">
        <v>2</v>
      </c>
      <c r="P491" t="s">
        <v>32</v>
      </c>
      <c r="R491">
        <v>4</v>
      </c>
      <c r="S491" t="s">
        <v>92</v>
      </c>
      <c r="T491" t="s">
        <v>114</v>
      </c>
    </row>
    <row r="492" spans="1:22" x14ac:dyDescent="0.3">
      <c r="A492" t="s">
        <v>681</v>
      </c>
      <c r="B492" s="1">
        <v>45668</v>
      </c>
      <c r="C492" t="s">
        <v>49</v>
      </c>
      <c r="D492" t="s">
        <v>50</v>
      </c>
      <c r="E492" t="s">
        <v>38</v>
      </c>
      <c r="F492" t="s">
        <v>309</v>
      </c>
      <c r="G492" t="s">
        <v>310</v>
      </c>
      <c r="H492" t="s">
        <v>28</v>
      </c>
      <c r="I492" t="s">
        <v>29</v>
      </c>
      <c r="J492" t="s">
        <v>43</v>
      </c>
      <c r="K492" t="s">
        <v>75</v>
      </c>
      <c r="L492" s="2">
        <v>0.375</v>
      </c>
      <c r="M492" s="2">
        <v>0.75</v>
      </c>
      <c r="N492">
        <v>8</v>
      </c>
      <c r="O492">
        <v>0</v>
      </c>
      <c r="P492" t="s">
        <v>32</v>
      </c>
      <c r="S492" t="s">
        <v>67</v>
      </c>
      <c r="T492" t="s">
        <v>34</v>
      </c>
      <c r="V492" t="s">
        <v>35</v>
      </c>
    </row>
    <row r="493" spans="1:22" x14ac:dyDescent="0.3">
      <c r="A493" t="s">
        <v>682</v>
      </c>
      <c r="B493" s="1">
        <v>45675</v>
      </c>
      <c r="C493" t="s">
        <v>49</v>
      </c>
      <c r="D493" t="s">
        <v>50</v>
      </c>
      <c r="E493" t="s">
        <v>38</v>
      </c>
      <c r="F493" t="s">
        <v>266</v>
      </c>
      <c r="G493" t="s">
        <v>267</v>
      </c>
      <c r="H493" t="s">
        <v>98</v>
      </c>
      <c r="I493" t="s">
        <v>99</v>
      </c>
      <c r="J493" t="s">
        <v>66</v>
      </c>
      <c r="K493" t="s">
        <v>75</v>
      </c>
      <c r="L493" s="2">
        <v>0.375</v>
      </c>
      <c r="M493" s="2">
        <v>0.75</v>
      </c>
      <c r="N493">
        <v>8</v>
      </c>
      <c r="O493">
        <v>0</v>
      </c>
      <c r="P493" t="s">
        <v>32</v>
      </c>
      <c r="R493">
        <v>4</v>
      </c>
      <c r="S493" t="s">
        <v>45</v>
      </c>
      <c r="T493" t="s">
        <v>101</v>
      </c>
      <c r="U493" t="s">
        <v>47</v>
      </c>
      <c r="V493" t="s">
        <v>69</v>
      </c>
    </row>
    <row r="494" spans="1:22" x14ac:dyDescent="0.3">
      <c r="A494" t="s">
        <v>683</v>
      </c>
      <c r="B494" s="3">
        <v>45759</v>
      </c>
      <c r="C494" t="s">
        <v>37</v>
      </c>
      <c r="D494" t="s">
        <v>24</v>
      </c>
      <c r="E494" t="s">
        <v>38</v>
      </c>
      <c r="F494" t="s">
        <v>309</v>
      </c>
      <c r="G494" t="s">
        <v>310</v>
      </c>
      <c r="H494" t="s">
        <v>28</v>
      </c>
      <c r="I494" t="s">
        <v>29</v>
      </c>
      <c r="J494" t="s">
        <v>43</v>
      </c>
      <c r="K494" t="s">
        <v>75</v>
      </c>
      <c r="L494" s="2">
        <v>0.375</v>
      </c>
      <c r="M494" s="2">
        <v>0.75</v>
      </c>
      <c r="N494">
        <v>8</v>
      </c>
      <c r="O494">
        <v>0</v>
      </c>
      <c r="P494" t="s">
        <v>32</v>
      </c>
      <c r="R494">
        <v>4</v>
      </c>
      <c r="S494" t="s">
        <v>33</v>
      </c>
      <c r="T494" t="s">
        <v>34</v>
      </c>
      <c r="U494" t="s">
        <v>47</v>
      </c>
      <c r="V494" t="s">
        <v>60</v>
      </c>
    </row>
    <row r="495" spans="1:22" x14ac:dyDescent="0.3">
      <c r="A495" t="s">
        <v>684</v>
      </c>
      <c r="B495" s="3">
        <v>45722</v>
      </c>
      <c r="C495" t="s">
        <v>71</v>
      </c>
      <c r="D495" t="s">
        <v>50</v>
      </c>
      <c r="E495" t="s">
        <v>25</v>
      </c>
      <c r="F495" t="s">
        <v>211</v>
      </c>
      <c r="G495" t="s">
        <v>212</v>
      </c>
      <c r="H495" t="s">
        <v>64</v>
      </c>
      <c r="I495" t="s">
        <v>65</v>
      </c>
      <c r="J495" t="s">
        <v>74</v>
      </c>
      <c r="K495" t="s">
        <v>44</v>
      </c>
      <c r="L495" s="2">
        <v>0.375</v>
      </c>
      <c r="M495" s="2">
        <v>0.75</v>
      </c>
      <c r="N495">
        <v>8</v>
      </c>
      <c r="O495">
        <v>0</v>
      </c>
      <c r="P495" t="s">
        <v>32</v>
      </c>
      <c r="S495" t="s">
        <v>45</v>
      </c>
      <c r="T495" t="s">
        <v>68</v>
      </c>
    </row>
    <row r="496" spans="1:22" x14ac:dyDescent="0.3">
      <c r="A496" t="s">
        <v>685</v>
      </c>
      <c r="B496" s="3">
        <v>45761</v>
      </c>
      <c r="C496" t="s">
        <v>37</v>
      </c>
      <c r="D496" t="s">
        <v>24</v>
      </c>
      <c r="E496" t="s">
        <v>109</v>
      </c>
      <c r="F496" t="s">
        <v>58</v>
      </c>
      <c r="G496" t="s">
        <v>59</v>
      </c>
      <c r="H496" t="s">
        <v>41</v>
      </c>
      <c r="I496" t="s">
        <v>42</v>
      </c>
      <c r="J496" t="s">
        <v>30</v>
      </c>
      <c r="K496" t="s">
        <v>54</v>
      </c>
      <c r="P496" t="s">
        <v>135</v>
      </c>
      <c r="S496" t="s">
        <v>33</v>
      </c>
      <c r="T496" t="s">
        <v>46</v>
      </c>
      <c r="V496" t="s">
        <v>60</v>
      </c>
    </row>
    <row r="497" spans="1:22" x14ac:dyDescent="0.3">
      <c r="A497" t="s">
        <v>686</v>
      </c>
      <c r="B497" s="3">
        <v>45773</v>
      </c>
      <c r="C497" t="s">
        <v>37</v>
      </c>
      <c r="D497" t="s">
        <v>24</v>
      </c>
      <c r="E497" t="s">
        <v>38</v>
      </c>
      <c r="F497" t="s">
        <v>305</v>
      </c>
      <c r="G497" t="s">
        <v>306</v>
      </c>
      <c r="H497" t="s">
        <v>79</v>
      </c>
      <c r="I497" t="s">
        <v>80</v>
      </c>
      <c r="J497" t="s">
        <v>74</v>
      </c>
      <c r="K497" t="s">
        <v>81</v>
      </c>
      <c r="L497" s="2">
        <v>0.91666666666666663</v>
      </c>
      <c r="M497" s="2">
        <v>0.29166666666666669</v>
      </c>
      <c r="N497">
        <v>8.5</v>
      </c>
      <c r="O497">
        <v>0.5</v>
      </c>
      <c r="P497" t="s">
        <v>32</v>
      </c>
      <c r="R497">
        <v>5</v>
      </c>
      <c r="S497" t="s">
        <v>45</v>
      </c>
      <c r="T497" t="s">
        <v>84</v>
      </c>
      <c r="V497" t="s">
        <v>69</v>
      </c>
    </row>
    <row r="498" spans="1:22" x14ac:dyDescent="0.3">
      <c r="A498" t="s">
        <v>687</v>
      </c>
      <c r="B498" s="3">
        <v>45823</v>
      </c>
      <c r="C498" t="s">
        <v>23</v>
      </c>
      <c r="D498" t="s">
        <v>24</v>
      </c>
      <c r="E498" t="s">
        <v>103</v>
      </c>
      <c r="F498" t="s">
        <v>309</v>
      </c>
      <c r="G498" t="s">
        <v>310</v>
      </c>
      <c r="H498" t="s">
        <v>28</v>
      </c>
      <c r="I498" t="s">
        <v>29</v>
      </c>
      <c r="J498" t="s">
        <v>43</v>
      </c>
      <c r="K498" t="s">
        <v>81</v>
      </c>
      <c r="P498" t="s">
        <v>82</v>
      </c>
      <c r="S498" t="s">
        <v>33</v>
      </c>
      <c r="T498" t="s">
        <v>34</v>
      </c>
      <c r="U498" t="s">
        <v>55</v>
      </c>
      <c r="V498" t="s">
        <v>60</v>
      </c>
    </row>
    <row r="499" spans="1:22" x14ac:dyDescent="0.3">
      <c r="A499" t="s">
        <v>688</v>
      </c>
      <c r="B499" s="1">
        <v>45713</v>
      </c>
      <c r="C499" t="s">
        <v>95</v>
      </c>
      <c r="D499" t="s">
        <v>50</v>
      </c>
      <c r="E499" t="s">
        <v>87</v>
      </c>
      <c r="F499" t="s">
        <v>231</v>
      </c>
      <c r="G499" t="s">
        <v>232</v>
      </c>
      <c r="H499" t="s">
        <v>98</v>
      </c>
      <c r="I499" t="s">
        <v>99</v>
      </c>
      <c r="J499" t="s">
        <v>74</v>
      </c>
      <c r="K499" t="s">
        <v>81</v>
      </c>
      <c r="L499" s="2">
        <v>0.91666666666666663</v>
      </c>
      <c r="M499" s="2">
        <v>0.29166666666666669</v>
      </c>
      <c r="N499">
        <v>8.5</v>
      </c>
      <c r="O499">
        <v>0.5</v>
      </c>
      <c r="P499" t="s">
        <v>32</v>
      </c>
      <c r="R499">
        <v>4</v>
      </c>
      <c r="S499" t="s">
        <v>45</v>
      </c>
      <c r="T499" t="s">
        <v>101</v>
      </c>
      <c r="V499" t="s">
        <v>60</v>
      </c>
    </row>
    <row r="500" spans="1:22" x14ac:dyDescent="0.3">
      <c r="A500" t="s">
        <v>689</v>
      </c>
      <c r="B500" s="3">
        <v>45835</v>
      </c>
      <c r="C500" t="s">
        <v>23</v>
      </c>
      <c r="D500" t="s">
        <v>24</v>
      </c>
      <c r="E500" t="s">
        <v>119</v>
      </c>
      <c r="F500" t="s">
        <v>354</v>
      </c>
      <c r="G500" t="s">
        <v>355</v>
      </c>
      <c r="H500" t="s">
        <v>28</v>
      </c>
      <c r="I500" t="s">
        <v>29</v>
      </c>
      <c r="J500" t="s">
        <v>100</v>
      </c>
      <c r="K500" t="s">
        <v>44</v>
      </c>
      <c r="L500" s="2">
        <v>0.375</v>
      </c>
      <c r="M500" s="2">
        <v>0.75</v>
      </c>
      <c r="N500">
        <v>8</v>
      </c>
      <c r="O500">
        <v>0</v>
      </c>
      <c r="P500" t="s">
        <v>32</v>
      </c>
      <c r="S500" t="s">
        <v>67</v>
      </c>
      <c r="T500" t="s">
        <v>34</v>
      </c>
      <c r="U500" t="s">
        <v>85</v>
      </c>
    </row>
    <row r="501" spans="1:22" x14ac:dyDescent="0.3">
      <c r="A501" t="s">
        <v>690</v>
      </c>
      <c r="B501" s="3">
        <v>45763</v>
      </c>
      <c r="C501" t="s">
        <v>37</v>
      </c>
      <c r="D501" t="s">
        <v>24</v>
      </c>
      <c r="E501" t="s">
        <v>51</v>
      </c>
      <c r="F501" t="s">
        <v>96</v>
      </c>
      <c r="G501" t="s">
        <v>97</v>
      </c>
      <c r="H501" t="s">
        <v>581</v>
      </c>
      <c r="I501" t="s">
        <v>99</v>
      </c>
      <c r="J501" t="s">
        <v>100</v>
      </c>
      <c r="K501" t="s">
        <v>31</v>
      </c>
      <c r="M501" s="2">
        <v>0.75</v>
      </c>
      <c r="N501">
        <v>8</v>
      </c>
      <c r="O501">
        <v>0</v>
      </c>
      <c r="P501" t="s">
        <v>32</v>
      </c>
      <c r="R501">
        <v>4</v>
      </c>
      <c r="S501" t="s">
        <v>45</v>
      </c>
      <c r="T501" t="s">
        <v>101</v>
      </c>
      <c r="V501" t="s">
        <v>60</v>
      </c>
    </row>
    <row r="502" spans="1:22" x14ac:dyDescent="0.3">
      <c r="A502" t="s">
        <v>691</v>
      </c>
      <c r="B502" s="1">
        <v>45746</v>
      </c>
      <c r="C502" t="s">
        <v>71</v>
      </c>
      <c r="D502" t="s">
        <v>50</v>
      </c>
      <c r="E502" t="s">
        <v>103</v>
      </c>
      <c r="F502" t="s">
        <v>220</v>
      </c>
      <c r="G502" t="s">
        <v>221</v>
      </c>
      <c r="H502" t="s">
        <v>79</v>
      </c>
      <c r="I502" t="s">
        <v>80</v>
      </c>
      <c r="J502" t="s">
        <v>100</v>
      </c>
      <c r="K502" t="s">
        <v>54</v>
      </c>
      <c r="L502" s="2">
        <v>0.375</v>
      </c>
      <c r="M502" s="2">
        <v>0.75</v>
      </c>
      <c r="N502">
        <v>8</v>
      </c>
      <c r="O502">
        <v>0</v>
      </c>
      <c r="P502" t="s">
        <v>32</v>
      </c>
      <c r="R502">
        <v>3</v>
      </c>
      <c r="S502" t="s">
        <v>92</v>
      </c>
      <c r="T502" t="s">
        <v>84</v>
      </c>
      <c r="U502" t="s">
        <v>85</v>
      </c>
      <c r="V502" t="s">
        <v>60</v>
      </c>
    </row>
    <row r="503" spans="1:22" x14ac:dyDescent="0.3">
      <c r="A503" t="s">
        <v>692</v>
      </c>
      <c r="B503" s="3">
        <v>45682</v>
      </c>
      <c r="C503" t="s">
        <v>49</v>
      </c>
      <c r="D503" t="s">
        <v>50</v>
      </c>
      <c r="E503" t="s">
        <v>38</v>
      </c>
      <c r="F503" t="s">
        <v>145</v>
      </c>
      <c r="G503" t="s">
        <v>146</v>
      </c>
      <c r="H503" t="s">
        <v>90</v>
      </c>
      <c r="I503" t="s">
        <v>91</v>
      </c>
      <c r="J503" t="s">
        <v>100</v>
      </c>
      <c r="K503" t="s">
        <v>75</v>
      </c>
      <c r="L503" s="2">
        <v>0.375</v>
      </c>
      <c r="M503" s="2">
        <v>0.75</v>
      </c>
      <c r="N503">
        <v>8</v>
      </c>
      <c r="O503">
        <v>0</v>
      </c>
      <c r="P503" t="s">
        <v>32</v>
      </c>
      <c r="R503">
        <v>4</v>
      </c>
      <c r="S503" t="s">
        <v>92</v>
      </c>
      <c r="T503" t="s">
        <v>93</v>
      </c>
      <c r="V503" t="s">
        <v>35</v>
      </c>
    </row>
    <row r="504" spans="1:22" x14ac:dyDescent="0.3">
      <c r="A504" t="s">
        <v>693</v>
      </c>
      <c r="B504" s="3">
        <v>45739</v>
      </c>
      <c r="C504" t="s">
        <v>71</v>
      </c>
      <c r="D504" t="s">
        <v>50</v>
      </c>
      <c r="E504" t="s">
        <v>103</v>
      </c>
      <c r="F504" t="s">
        <v>145</v>
      </c>
      <c r="G504" t="s">
        <v>146</v>
      </c>
      <c r="H504" t="s">
        <v>90</v>
      </c>
      <c r="I504" t="s">
        <v>91</v>
      </c>
      <c r="J504" t="s">
        <v>100</v>
      </c>
      <c r="K504" t="s">
        <v>44</v>
      </c>
      <c r="L504" s="2">
        <v>0.375</v>
      </c>
      <c r="M504" s="2">
        <v>0.75</v>
      </c>
      <c r="N504">
        <v>8</v>
      </c>
      <c r="O504">
        <v>0</v>
      </c>
      <c r="P504" t="s">
        <v>32</v>
      </c>
      <c r="R504">
        <v>3</v>
      </c>
      <c r="S504" t="s">
        <v>45</v>
      </c>
      <c r="T504" t="s">
        <v>93</v>
      </c>
      <c r="U504" t="s">
        <v>85</v>
      </c>
    </row>
    <row r="505" spans="1:22" x14ac:dyDescent="0.3">
      <c r="A505" t="s">
        <v>694</v>
      </c>
      <c r="B505" s="1">
        <v>45772</v>
      </c>
      <c r="C505" t="s">
        <v>37</v>
      </c>
      <c r="D505" t="s">
        <v>24</v>
      </c>
      <c r="E505" t="s">
        <v>119</v>
      </c>
      <c r="F505" t="s">
        <v>231</v>
      </c>
      <c r="G505" t="s">
        <v>232</v>
      </c>
      <c r="H505" t="s">
        <v>98</v>
      </c>
      <c r="I505" t="s">
        <v>99</v>
      </c>
      <c r="J505" t="s">
        <v>74</v>
      </c>
      <c r="K505" t="s">
        <v>54</v>
      </c>
      <c r="L505" s="2">
        <v>0.375</v>
      </c>
      <c r="N505">
        <v>8</v>
      </c>
      <c r="O505">
        <v>0</v>
      </c>
      <c r="P505" t="s">
        <v>32</v>
      </c>
      <c r="R505">
        <v>4</v>
      </c>
      <c r="S505" t="s">
        <v>92</v>
      </c>
      <c r="T505" t="s">
        <v>101</v>
      </c>
      <c r="U505" t="s">
        <v>85</v>
      </c>
      <c r="V505" t="s">
        <v>60</v>
      </c>
    </row>
    <row r="506" spans="1:22" x14ac:dyDescent="0.3">
      <c r="A506" t="s">
        <v>695</v>
      </c>
      <c r="B506" s="1">
        <v>45773</v>
      </c>
      <c r="C506" t="s">
        <v>37</v>
      </c>
      <c r="D506" t="s">
        <v>24</v>
      </c>
      <c r="E506" t="s">
        <v>38</v>
      </c>
      <c r="F506" t="s">
        <v>182</v>
      </c>
      <c r="G506" t="s">
        <v>183</v>
      </c>
      <c r="H506" t="s">
        <v>112</v>
      </c>
      <c r="I506" t="s">
        <v>113</v>
      </c>
      <c r="J506" t="s">
        <v>30</v>
      </c>
      <c r="K506" t="s">
        <v>31</v>
      </c>
      <c r="M506" s="2">
        <v>0.75</v>
      </c>
      <c r="N506">
        <v>8</v>
      </c>
      <c r="O506">
        <v>0</v>
      </c>
      <c r="P506" t="s">
        <v>32</v>
      </c>
      <c r="R506">
        <v>5</v>
      </c>
      <c r="S506" t="s">
        <v>67</v>
      </c>
      <c r="T506" t="s">
        <v>114</v>
      </c>
      <c r="U506" t="s">
        <v>55</v>
      </c>
      <c r="V506" t="s">
        <v>69</v>
      </c>
    </row>
    <row r="507" spans="1:22" x14ac:dyDescent="0.3">
      <c r="A507" t="s">
        <v>696</v>
      </c>
      <c r="B507" s="3">
        <v>45669</v>
      </c>
      <c r="C507" t="s">
        <v>49</v>
      </c>
      <c r="D507" t="s">
        <v>50</v>
      </c>
      <c r="E507" t="s">
        <v>103</v>
      </c>
      <c r="F507" t="s">
        <v>88</v>
      </c>
      <c r="G507" t="s">
        <v>89</v>
      </c>
      <c r="H507" t="s">
        <v>90</v>
      </c>
      <c r="I507" t="s">
        <v>91</v>
      </c>
      <c r="J507" t="s">
        <v>43</v>
      </c>
      <c r="K507" t="s">
        <v>31</v>
      </c>
      <c r="L507" s="2">
        <v>0.375</v>
      </c>
      <c r="M507" s="2">
        <v>0.75</v>
      </c>
      <c r="N507">
        <v>8</v>
      </c>
      <c r="O507">
        <v>0</v>
      </c>
      <c r="P507" t="s">
        <v>32</v>
      </c>
      <c r="R507">
        <v>5</v>
      </c>
      <c r="S507" t="s">
        <v>33</v>
      </c>
      <c r="T507" t="s">
        <v>93</v>
      </c>
      <c r="V507" t="s">
        <v>60</v>
      </c>
    </row>
    <row r="508" spans="1:22" x14ac:dyDescent="0.3">
      <c r="A508" t="s">
        <v>697</v>
      </c>
      <c r="B508" s="3">
        <v>45671</v>
      </c>
      <c r="C508" t="s">
        <v>49</v>
      </c>
      <c r="D508" t="s">
        <v>50</v>
      </c>
      <c r="E508" t="s">
        <v>87</v>
      </c>
      <c r="F508" t="s">
        <v>275</v>
      </c>
      <c r="G508" t="s">
        <v>276</v>
      </c>
      <c r="H508" t="s">
        <v>64</v>
      </c>
      <c r="I508" t="s">
        <v>65</v>
      </c>
      <c r="J508" t="s">
        <v>100</v>
      </c>
      <c r="K508" t="s">
        <v>81</v>
      </c>
      <c r="P508" t="s">
        <v>135</v>
      </c>
      <c r="S508" t="s">
        <v>67</v>
      </c>
      <c r="T508" t="s">
        <v>68</v>
      </c>
      <c r="V508" t="s">
        <v>60</v>
      </c>
    </row>
    <row r="509" spans="1:22" x14ac:dyDescent="0.3">
      <c r="A509" t="s">
        <v>698</v>
      </c>
      <c r="B509" s="3">
        <v>45759</v>
      </c>
      <c r="C509" t="s">
        <v>37</v>
      </c>
      <c r="D509" t="s">
        <v>24</v>
      </c>
      <c r="E509" t="s">
        <v>38</v>
      </c>
      <c r="F509" t="s">
        <v>77</v>
      </c>
      <c r="G509" t="s">
        <v>78</v>
      </c>
      <c r="H509" t="s">
        <v>79</v>
      </c>
      <c r="I509" t="s">
        <v>80</v>
      </c>
      <c r="J509" t="s">
        <v>30</v>
      </c>
      <c r="K509" t="s">
        <v>81</v>
      </c>
      <c r="L509" s="2">
        <v>0.91666666666666663</v>
      </c>
      <c r="M509" s="2">
        <v>0.29166666666666669</v>
      </c>
      <c r="N509">
        <v>10</v>
      </c>
      <c r="O509">
        <v>2</v>
      </c>
      <c r="P509" t="s">
        <v>32</v>
      </c>
      <c r="S509" t="s">
        <v>33</v>
      </c>
      <c r="T509" t="s">
        <v>84</v>
      </c>
      <c r="U509" t="s">
        <v>85</v>
      </c>
      <c r="V509" t="s">
        <v>60</v>
      </c>
    </row>
    <row r="510" spans="1:22" x14ac:dyDescent="0.3">
      <c r="A510" t="s">
        <v>699</v>
      </c>
      <c r="B510" s="3">
        <v>45707</v>
      </c>
      <c r="C510" t="s">
        <v>95</v>
      </c>
      <c r="D510" t="s">
        <v>50</v>
      </c>
      <c r="E510" t="s">
        <v>51</v>
      </c>
      <c r="F510" t="s">
        <v>163</v>
      </c>
      <c r="G510" t="s">
        <v>164</v>
      </c>
      <c r="H510" t="s">
        <v>112</v>
      </c>
      <c r="I510" t="s">
        <v>113</v>
      </c>
      <c r="J510" t="s">
        <v>100</v>
      </c>
      <c r="K510" t="s">
        <v>44</v>
      </c>
      <c r="L510" s="2">
        <v>0.375</v>
      </c>
      <c r="M510" s="2">
        <v>0.75</v>
      </c>
      <c r="N510">
        <v>8</v>
      </c>
      <c r="O510">
        <v>0</v>
      </c>
      <c r="P510" t="s">
        <v>32</v>
      </c>
      <c r="R510">
        <v>5</v>
      </c>
      <c r="S510" t="s">
        <v>33</v>
      </c>
      <c r="T510" t="s">
        <v>114</v>
      </c>
      <c r="V510" t="s">
        <v>69</v>
      </c>
    </row>
    <row r="511" spans="1:22" x14ac:dyDescent="0.3">
      <c r="A511" t="s">
        <v>700</v>
      </c>
      <c r="B511" s="1">
        <v>45822</v>
      </c>
      <c r="C511" t="s">
        <v>23</v>
      </c>
      <c r="D511" t="s">
        <v>24</v>
      </c>
      <c r="E511" t="s">
        <v>38</v>
      </c>
      <c r="F511" t="s">
        <v>195</v>
      </c>
      <c r="G511" t="s">
        <v>196</v>
      </c>
      <c r="H511" t="s">
        <v>98</v>
      </c>
      <c r="I511" t="s">
        <v>99</v>
      </c>
      <c r="J511" t="s">
        <v>43</v>
      </c>
      <c r="K511" t="s">
        <v>31</v>
      </c>
      <c r="L511" s="2">
        <v>0.375</v>
      </c>
      <c r="M511" s="2">
        <v>0.75</v>
      </c>
      <c r="N511">
        <v>8</v>
      </c>
      <c r="O511">
        <v>0</v>
      </c>
      <c r="P511" t="s">
        <v>32</v>
      </c>
      <c r="S511" t="s">
        <v>45</v>
      </c>
      <c r="T511" t="s">
        <v>101</v>
      </c>
      <c r="U511" t="s">
        <v>85</v>
      </c>
      <c r="V511" t="s">
        <v>35</v>
      </c>
    </row>
    <row r="512" spans="1:22" x14ac:dyDescent="0.3">
      <c r="A512" t="s">
        <v>701</v>
      </c>
      <c r="B512" s="1">
        <v>45772</v>
      </c>
      <c r="C512" t="s">
        <v>37</v>
      </c>
      <c r="D512" t="s">
        <v>24</v>
      </c>
      <c r="E512" t="s">
        <v>119</v>
      </c>
      <c r="F512" t="s">
        <v>243</v>
      </c>
      <c r="G512" t="s">
        <v>244</v>
      </c>
      <c r="H512" t="s">
        <v>90</v>
      </c>
      <c r="I512" t="s">
        <v>91</v>
      </c>
      <c r="J512" t="s">
        <v>30</v>
      </c>
      <c r="K512" t="s">
        <v>54</v>
      </c>
      <c r="L512" s="2">
        <v>0.375</v>
      </c>
      <c r="M512" s="2">
        <v>0.75</v>
      </c>
      <c r="N512">
        <v>8</v>
      </c>
      <c r="O512">
        <v>0</v>
      </c>
      <c r="P512" t="s">
        <v>32</v>
      </c>
      <c r="R512">
        <v>4</v>
      </c>
      <c r="S512" t="s">
        <v>92</v>
      </c>
      <c r="T512" t="s">
        <v>93</v>
      </c>
      <c r="U512" t="s">
        <v>47</v>
      </c>
      <c r="V512" t="s">
        <v>35</v>
      </c>
    </row>
    <row r="513" spans="1:22" x14ac:dyDescent="0.3">
      <c r="A513" t="s">
        <v>702</v>
      </c>
      <c r="B513" s="3">
        <v>45753</v>
      </c>
      <c r="C513" t="s">
        <v>37</v>
      </c>
      <c r="D513" t="s">
        <v>24</v>
      </c>
      <c r="E513" t="s">
        <v>103</v>
      </c>
      <c r="F513" t="s">
        <v>133</v>
      </c>
      <c r="G513" t="s">
        <v>134</v>
      </c>
      <c r="H513" t="s">
        <v>98</v>
      </c>
      <c r="I513" t="s">
        <v>99</v>
      </c>
      <c r="J513" t="s">
        <v>66</v>
      </c>
      <c r="K513" t="s">
        <v>44</v>
      </c>
      <c r="L513" s="2">
        <v>0.375</v>
      </c>
      <c r="M513" s="2">
        <v>0.75</v>
      </c>
      <c r="N513">
        <v>8</v>
      </c>
      <c r="O513">
        <v>0</v>
      </c>
      <c r="P513" t="s">
        <v>32</v>
      </c>
      <c r="S513" t="s">
        <v>33</v>
      </c>
      <c r="T513" t="s">
        <v>101</v>
      </c>
      <c r="V513" t="s">
        <v>60</v>
      </c>
    </row>
    <row r="514" spans="1:22" x14ac:dyDescent="0.3">
      <c r="A514" t="s">
        <v>703</v>
      </c>
      <c r="B514" s="1">
        <v>45716</v>
      </c>
      <c r="C514" t="s">
        <v>95</v>
      </c>
      <c r="D514" t="s">
        <v>50</v>
      </c>
      <c r="E514" t="s">
        <v>119</v>
      </c>
      <c r="F514" t="s">
        <v>309</v>
      </c>
      <c r="G514" t="s">
        <v>310</v>
      </c>
      <c r="H514" t="s">
        <v>28</v>
      </c>
      <c r="I514" t="s">
        <v>29</v>
      </c>
      <c r="J514" t="s">
        <v>43</v>
      </c>
      <c r="K514" t="s">
        <v>75</v>
      </c>
      <c r="L514" s="2">
        <v>0.375</v>
      </c>
      <c r="M514" s="2">
        <v>0.75</v>
      </c>
      <c r="N514">
        <v>8</v>
      </c>
      <c r="O514">
        <v>0</v>
      </c>
      <c r="P514" t="s">
        <v>32</v>
      </c>
      <c r="R514">
        <v>5</v>
      </c>
      <c r="S514" t="s">
        <v>92</v>
      </c>
      <c r="T514" t="s">
        <v>34</v>
      </c>
      <c r="U514" t="s">
        <v>55</v>
      </c>
      <c r="V514" t="s">
        <v>60</v>
      </c>
    </row>
    <row r="515" spans="1:22" x14ac:dyDescent="0.3">
      <c r="A515" t="s">
        <v>704</v>
      </c>
      <c r="B515" s="1">
        <v>45816</v>
      </c>
      <c r="C515" t="s">
        <v>23</v>
      </c>
      <c r="D515" t="s">
        <v>24</v>
      </c>
      <c r="E515" t="s">
        <v>103</v>
      </c>
      <c r="F515" t="s">
        <v>148</v>
      </c>
      <c r="G515" t="s">
        <v>149</v>
      </c>
      <c r="H515" t="s">
        <v>112</v>
      </c>
      <c r="I515" t="s">
        <v>113</v>
      </c>
      <c r="J515" t="s">
        <v>43</v>
      </c>
      <c r="K515" t="s">
        <v>31</v>
      </c>
      <c r="L515" s="2">
        <v>0.3888888888888889</v>
      </c>
      <c r="M515" s="2">
        <v>0.75</v>
      </c>
      <c r="N515">
        <v>8</v>
      </c>
      <c r="O515">
        <v>0</v>
      </c>
      <c r="P515" t="s">
        <v>32</v>
      </c>
      <c r="R515">
        <v>5</v>
      </c>
      <c r="S515" t="s">
        <v>67</v>
      </c>
      <c r="T515" t="s">
        <v>114</v>
      </c>
      <c r="U515" t="s">
        <v>55</v>
      </c>
    </row>
    <row r="516" spans="1:22" x14ac:dyDescent="0.3">
      <c r="A516" t="s">
        <v>705</v>
      </c>
      <c r="B516" s="3">
        <v>45750</v>
      </c>
      <c r="C516" t="s">
        <v>37</v>
      </c>
      <c r="D516" t="s">
        <v>24</v>
      </c>
      <c r="E516" t="s">
        <v>25</v>
      </c>
      <c r="F516" t="s">
        <v>148</v>
      </c>
      <c r="G516" t="s">
        <v>149</v>
      </c>
      <c r="H516" t="s">
        <v>112</v>
      </c>
      <c r="I516" t="s">
        <v>113</v>
      </c>
      <c r="J516" t="s">
        <v>43</v>
      </c>
      <c r="K516" t="s">
        <v>54</v>
      </c>
      <c r="L516" s="2">
        <v>0.375</v>
      </c>
      <c r="M516" s="2">
        <v>0.75</v>
      </c>
      <c r="N516">
        <v>8</v>
      </c>
      <c r="O516">
        <v>0</v>
      </c>
      <c r="P516" t="s">
        <v>32</v>
      </c>
      <c r="R516">
        <v>3</v>
      </c>
      <c r="S516" t="s">
        <v>92</v>
      </c>
      <c r="T516" t="s">
        <v>114</v>
      </c>
      <c r="U516" t="s">
        <v>55</v>
      </c>
      <c r="V516" t="s">
        <v>69</v>
      </c>
    </row>
    <row r="517" spans="1:22" x14ac:dyDescent="0.3">
      <c r="A517" t="s">
        <v>706</v>
      </c>
      <c r="B517" s="3">
        <v>45708</v>
      </c>
      <c r="C517" t="s">
        <v>95</v>
      </c>
      <c r="D517" t="s">
        <v>50</v>
      </c>
      <c r="E517" t="s">
        <v>25</v>
      </c>
      <c r="F517" t="s">
        <v>231</v>
      </c>
      <c r="G517" t="s">
        <v>232</v>
      </c>
      <c r="H517" t="s">
        <v>98</v>
      </c>
      <c r="I517" t="s">
        <v>99</v>
      </c>
      <c r="J517" t="s">
        <v>74</v>
      </c>
      <c r="K517" t="s">
        <v>75</v>
      </c>
      <c r="P517" t="s">
        <v>82</v>
      </c>
      <c r="S517" t="s">
        <v>45</v>
      </c>
      <c r="T517" t="s">
        <v>101</v>
      </c>
      <c r="U517" t="s">
        <v>55</v>
      </c>
      <c r="V517" t="s">
        <v>35</v>
      </c>
    </row>
    <row r="518" spans="1:22" x14ac:dyDescent="0.3">
      <c r="A518" t="s">
        <v>707</v>
      </c>
      <c r="B518" s="3">
        <v>45765</v>
      </c>
      <c r="C518" t="s">
        <v>37</v>
      </c>
      <c r="D518" t="s">
        <v>24</v>
      </c>
      <c r="E518" t="s">
        <v>119</v>
      </c>
      <c r="F518" t="s">
        <v>127</v>
      </c>
      <c r="G518" t="s">
        <v>128</v>
      </c>
      <c r="H518" t="s">
        <v>90</v>
      </c>
      <c r="I518" t="s">
        <v>91</v>
      </c>
      <c r="J518" t="s">
        <v>66</v>
      </c>
      <c r="K518" t="s">
        <v>81</v>
      </c>
      <c r="L518" s="2">
        <v>0.91666666666666663</v>
      </c>
      <c r="M518" s="2">
        <v>0.29166666666666669</v>
      </c>
      <c r="N518">
        <v>8.5</v>
      </c>
      <c r="O518">
        <v>0.5</v>
      </c>
      <c r="P518" t="s">
        <v>32</v>
      </c>
      <c r="R518">
        <v>3</v>
      </c>
      <c r="S518" t="s">
        <v>45</v>
      </c>
      <c r="T518" t="s">
        <v>93</v>
      </c>
      <c r="U518" t="s">
        <v>47</v>
      </c>
      <c r="V518" t="s">
        <v>60</v>
      </c>
    </row>
    <row r="519" spans="1:22" x14ac:dyDescent="0.3">
      <c r="A519" t="s">
        <v>708</v>
      </c>
      <c r="B519" s="3">
        <v>45673</v>
      </c>
      <c r="C519" t="s">
        <v>49</v>
      </c>
      <c r="D519" t="s">
        <v>50</v>
      </c>
      <c r="E519" t="s">
        <v>25</v>
      </c>
      <c r="F519" t="s">
        <v>185</v>
      </c>
      <c r="G519" t="s">
        <v>186</v>
      </c>
      <c r="H519" t="s">
        <v>79</v>
      </c>
      <c r="I519" t="s">
        <v>80</v>
      </c>
      <c r="J519" t="s">
        <v>66</v>
      </c>
      <c r="K519" t="s">
        <v>54</v>
      </c>
      <c r="P519" t="s">
        <v>82</v>
      </c>
      <c r="Q519" t="s">
        <v>225</v>
      </c>
      <c r="S519" t="s">
        <v>45</v>
      </c>
      <c r="T519" t="s">
        <v>84</v>
      </c>
      <c r="U519" t="s">
        <v>85</v>
      </c>
    </row>
    <row r="520" spans="1:22" x14ac:dyDescent="0.3">
      <c r="A520" t="s">
        <v>709</v>
      </c>
      <c r="B520" s="3">
        <v>45687</v>
      </c>
      <c r="C520" t="s">
        <v>49</v>
      </c>
      <c r="D520" t="s">
        <v>50</v>
      </c>
      <c r="E520" t="s">
        <v>25</v>
      </c>
      <c r="F520" t="s">
        <v>120</v>
      </c>
      <c r="G520" t="s">
        <v>121</v>
      </c>
      <c r="H520" t="s">
        <v>41</v>
      </c>
      <c r="I520" t="s">
        <v>42</v>
      </c>
      <c r="J520" t="s">
        <v>74</v>
      </c>
      <c r="K520" t="s">
        <v>81</v>
      </c>
      <c r="L520" s="2">
        <v>0.91666666666666663</v>
      </c>
      <c r="M520" s="2">
        <v>0.29166666666666669</v>
      </c>
      <c r="N520">
        <v>9</v>
      </c>
      <c r="O520">
        <v>1</v>
      </c>
      <c r="P520" t="s">
        <v>32</v>
      </c>
      <c r="R520">
        <v>3</v>
      </c>
      <c r="S520" t="s">
        <v>33</v>
      </c>
      <c r="T520" t="s">
        <v>46</v>
      </c>
      <c r="U520" t="s">
        <v>47</v>
      </c>
      <c r="V520" t="s">
        <v>69</v>
      </c>
    </row>
    <row r="521" spans="1:22" x14ac:dyDescent="0.3">
      <c r="A521" t="s">
        <v>710</v>
      </c>
      <c r="B521" s="3">
        <v>45677</v>
      </c>
      <c r="C521" t="s">
        <v>49</v>
      </c>
      <c r="D521" t="s">
        <v>50</v>
      </c>
      <c r="E521" t="s">
        <v>109</v>
      </c>
      <c r="F521" t="s">
        <v>124</v>
      </c>
      <c r="G521" t="s">
        <v>125</v>
      </c>
      <c r="H521" t="s">
        <v>28</v>
      </c>
      <c r="I521" t="s">
        <v>29</v>
      </c>
      <c r="J521" t="s">
        <v>66</v>
      </c>
      <c r="K521" t="s">
        <v>44</v>
      </c>
      <c r="P521" t="s">
        <v>135</v>
      </c>
      <c r="S521" t="s">
        <v>67</v>
      </c>
      <c r="T521" t="s">
        <v>34</v>
      </c>
      <c r="U521" t="s">
        <v>55</v>
      </c>
      <c r="V521" t="s">
        <v>69</v>
      </c>
    </row>
    <row r="522" spans="1:22" x14ac:dyDescent="0.3">
      <c r="A522" t="s">
        <v>711</v>
      </c>
      <c r="B522" s="3">
        <v>45682</v>
      </c>
      <c r="C522" t="s">
        <v>49</v>
      </c>
      <c r="D522" t="s">
        <v>50</v>
      </c>
      <c r="E522" t="s">
        <v>38</v>
      </c>
      <c r="F522" t="s">
        <v>133</v>
      </c>
      <c r="G522" t="s">
        <v>134</v>
      </c>
      <c r="H522" t="s">
        <v>98</v>
      </c>
      <c r="I522" t="s">
        <v>99</v>
      </c>
      <c r="J522" t="s">
        <v>66</v>
      </c>
      <c r="K522" t="s">
        <v>31</v>
      </c>
      <c r="L522" s="2">
        <v>0.375</v>
      </c>
      <c r="M522" s="2">
        <v>0.75</v>
      </c>
      <c r="N522">
        <v>8</v>
      </c>
      <c r="O522">
        <v>0</v>
      </c>
      <c r="P522" t="s">
        <v>32</v>
      </c>
      <c r="R522">
        <v>3</v>
      </c>
      <c r="S522" t="s">
        <v>92</v>
      </c>
      <c r="T522" t="s">
        <v>101</v>
      </c>
      <c r="V522" t="s">
        <v>35</v>
      </c>
    </row>
    <row r="523" spans="1:22" x14ac:dyDescent="0.3">
      <c r="A523" t="s">
        <v>712</v>
      </c>
      <c r="B523" s="3">
        <v>45800</v>
      </c>
      <c r="C523" t="s">
        <v>57</v>
      </c>
      <c r="D523" t="s">
        <v>24</v>
      </c>
      <c r="E523" t="s">
        <v>119</v>
      </c>
      <c r="F523" t="s">
        <v>192</v>
      </c>
      <c r="G523" t="s">
        <v>193</v>
      </c>
      <c r="H523" t="s">
        <v>79</v>
      </c>
      <c r="I523" t="s">
        <v>80</v>
      </c>
      <c r="J523" t="s">
        <v>66</v>
      </c>
      <c r="K523" t="s">
        <v>75</v>
      </c>
      <c r="L523" s="2">
        <v>0.375</v>
      </c>
      <c r="M523" s="2">
        <v>0.75</v>
      </c>
      <c r="N523">
        <v>8</v>
      </c>
      <c r="O523">
        <v>0</v>
      </c>
      <c r="P523" t="s">
        <v>32</v>
      </c>
      <c r="R523">
        <v>4</v>
      </c>
      <c r="S523" t="s">
        <v>67</v>
      </c>
      <c r="T523" t="s">
        <v>84</v>
      </c>
      <c r="U523" t="s">
        <v>47</v>
      </c>
    </row>
    <row r="524" spans="1:22" x14ac:dyDescent="0.3">
      <c r="A524" t="s">
        <v>713</v>
      </c>
      <c r="B524" s="3">
        <v>45677</v>
      </c>
      <c r="C524" t="s">
        <v>49</v>
      </c>
      <c r="D524" t="s">
        <v>50</v>
      </c>
      <c r="E524" t="s">
        <v>109</v>
      </c>
      <c r="F524" t="s">
        <v>182</v>
      </c>
      <c r="G524" t="s">
        <v>183</v>
      </c>
      <c r="H524" t="s">
        <v>112</v>
      </c>
      <c r="I524" t="s">
        <v>113</v>
      </c>
      <c r="J524" t="s">
        <v>30</v>
      </c>
      <c r="K524" t="s">
        <v>81</v>
      </c>
      <c r="P524" t="s">
        <v>82</v>
      </c>
      <c r="Q524" t="s">
        <v>122</v>
      </c>
      <c r="S524" t="s">
        <v>45</v>
      </c>
      <c r="T524" t="s">
        <v>114</v>
      </c>
      <c r="V524" t="s">
        <v>60</v>
      </c>
    </row>
    <row r="525" spans="1:22" x14ac:dyDescent="0.3">
      <c r="A525" t="s">
        <v>714</v>
      </c>
      <c r="B525" s="3">
        <v>45716</v>
      </c>
      <c r="C525" t="s">
        <v>95</v>
      </c>
      <c r="D525" t="s">
        <v>50</v>
      </c>
      <c r="E525" t="s">
        <v>119</v>
      </c>
      <c r="F525" t="s">
        <v>173</v>
      </c>
      <c r="G525" t="s">
        <v>174</v>
      </c>
      <c r="H525" t="s">
        <v>90</v>
      </c>
      <c r="I525" t="s">
        <v>91</v>
      </c>
      <c r="J525" t="s">
        <v>74</v>
      </c>
      <c r="K525" t="s">
        <v>81</v>
      </c>
      <c r="L525" s="2">
        <v>0.91666666666666663</v>
      </c>
      <c r="M525" s="2">
        <v>0.29166666666666669</v>
      </c>
      <c r="N525">
        <v>8.5</v>
      </c>
      <c r="O525">
        <v>0.5</v>
      </c>
      <c r="P525" t="s">
        <v>32</v>
      </c>
      <c r="R525">
        <v>4</v>
      </c>
      <c r="S525" t="s">
        <v>67</v>
      </c>
      <c r="T525" t="s">
        <v>93</v>
      </c>
      <c r="V525" t="s">
        <v>69</v>
      </c>
    </row>
    <row r="526" spans="1:22" x14ac:dyDescent="0.3">
      <c r="A526" t="s">
        <v>715</v>
      </c>
      <c r="B526" s="1">
        <v>45836</v>
      </c>
      <c r="C526" t="s">
        <v>23</v>
      </c>
      <c r="D526" t="s">
        <v>24</v>
      </c>
      <c r="E526" t="s">
        <v>38</v>
      </c>
      <c r="F526" t="s">
        <v>116</v>
      </c>
      <c r="G526" t="s">
        <v>117</v>
      </c>
      <c r="H526" t="s">
        <v>112</v>
      </c>
      <c r="I526" t="s">
        <v>113</v>
      </c>
      <c r="J526" t="s">
        <v>100</v>
      </c>
      <c r="K526" t="s">
        <v>81</v>
      </c>
      <c r="L526" s="2">
        <v>0.39930555555555558</v>
      </c>
      <c r="M526" s="2">
        <v>0.29166666666666669</v>
      </c>
      <c r="N526">
        <v>10</v>
      </c>
      <c r="O526">
        <v>2</v>
      </c>
      <c r="P526" t="s">
        <v>32</v>
      </c>
      <c r="R526">
        <v>4</v>
      </c>
      <c r="S526" t="s">
        <v>67</v>
      </c>
      <c r="T526" t="s">
        <v>114</v>
      </c>
      <c r="V526" t="s">
        <v>69</v>
      </c>
    </row>
    <row r="527" spans="1:22" x14ac:dyDescent="0.3">
      <c r="A527" t="s">
        <v>716</v>
      </c>
      <c r="B527" s="3">
        <v>45775</v>
      </c>
      <c r="C527" t="s">
        <v>37</v>
      </c>
      <c r="D527" t="s">
        <v>24</v>
      </c>
      <c r="E527" t="s">
        <v>109</v>
      </c>
      <c r="F527" t="s">
        <v>127</v>
      </c>
      <c r="G527" t="s">
        <v>128</v>
      </c>
      <c r="H527" t="s">
        <v>90</v>
      </c>
      <c r="I527" t="s">
        <v>91</v>
      </c>
      <c r="J527" t="s">
        <v>66</v>
      </c>
      <c r="K527" t="s">
        <v>75</v>
      </c>
      <c r="L527" s="2">
        <v>0.375</v>
      </c>
      <c r="M527" s="2">
        <v>0.75</v>
      </c>
      <c r="N527">
        <v>8</v>
      </c>
      <c r="O527">
        <v>0</v>
      </c>
      <c r="P527" t="s">
        <v>32</v>
      </c>
      <c r="R527">
        <v>3</v>
      </c>
      <c r="S527" t="s">
        <v>67</v>
      </c>
      <c r="T527" t="s">
        <v>93</v>
      </c>
      <c r="U527" t="s">
        <v>85</v>
      </c>
      <c r="V527" t="s">
        <v>60</v>
      </c>
    </row>
    <row r="528" spans="1:22" x14ac:dyDescent="0.3">
      <c r="A528" t="s">
        <v>717</v>
      </c>
      <c r="B528" s="3">
        <v>45781</v>
      </c>
      <c r="C528" t="s">
        <v>57</v>
      </c>
      <c r="D528" t="s">
        <v>24</v>
      </c>
      <c r="E528" t="s">
        <v>103</v>
      </c>
      <c r="F528" t="s">
        <v>173</v>
      </c>
      <c r="G528" t="s">
        <v>174</v>
      </c>
      <c r="H528" t="s">
        <v>90</v>
      </c>
      <c r="I528" t="s">
        <v>91</v>
      </c>
      <c r="J528" t="s">
        <v>74</v>
      </c>
      <c r="K528" t="s">
        <v>44</v>
      </c>
      <c r="L528" s="2">
        <v>0.375</v>
      </c>
      <c r="M528" s="2">
        <v>0.75</v>
      </c>
      <c r="N528">
        <v>8</v>
      </c>
      <c r="O528">
        <v>0</v>
      </c>
      <c r="P528" t="s">
        <v>32</v>
      </c>
      <c r="R528">
        <v>4</v>
      </c>
      <c r="S528" t="s">
        <v>67</v>
      </c>
      <c r="T528" t="s">
        <v>93</v>
      </c>
      <c r="U528" t="s">
        <v>55</v>
      </c>
      <c r="V528" t="s">
        <v>35</v>
      </c>
    </row>
    <row r="529" spans="1:22" x14ac:dyDescent="0.3">
      <c r="A529" t="s">
        <v>718</v>
      </c>
      <c r="B529" s="1">
        <v>45803</v>
      </c>
      <c r="C529" t="s">
        <v>57</v>
      </c>
      <c r="D529" t="s">
        <v>24</v>
      </c>
      <c r="E529" t="s">
        <v>109</v>
      </c>
      <c r="F529" t="s">
        <v>243</v>
      </c>
      <c r="G529" t="s">
        <v>244</v>
      </c>
      <c r="H529" t="s">
        <v>90</v>
      </c>
      <c r="I529" t="s">
        <v>91</v>
      </c>
      <c r="J529" t="s">
        <v>30</v>
      </c>
      <c r="K529" t="s">
        <v>54</v>
      </c>
      <c r="L529" s="2">
        <v>0.375</v>
      </c>
      <c r="M529" s="2">
        <v>0.75</v>
      </c>
      <c r="N529">
        <v>8</v>
      </c>
      <c r="O529">
        <v>0</v>
      </c>
      <c r="P529" t="s">
        <v>32</v>
      </c>
      <c r="R529">
        <v>4</v>
      </c>
      <c r="S529" t="s">
        <v>92</v>
      </c>
      <c r="T529" t="s">
        <v>93</v>
      </c>
      <c r="U529" t="s">
        <v>85</v>
      </c>
      <c r="V529" t="s">
        <v>60</v>
      </c>
    </row>
    <row r="530" spans="1:22" x14ac:dyDescent="0.3">
      <c r="A530" t="s">
        <v>719</v>
      </c>
      <c r="B530" s="1">
        <v>45762</v>
      </c>
      <c r="C530" t="s">
        <v>37</v>
      </c>
      <c r="D530" t="s">
        <v>24</v>
      </c>
      <c r="E530" t="s">
        <v>87</v>
      </c>
      <c r="F530" t="s">
        <v>163</v>
      </c>
      <c r="G530" t="s">
        <v>164</v>
      </c>
      <c r="H530" t="s">
        <v>112</v>
      </c>
      <c r="I530" t="s">
        <v>113</v>
      </c>
      <c r="J530" t="s">
        <v>100</v>
      </c>
      <c r="K530" t="s">
        <v>75</v>
      </c>
      <c r="L530" s="2">
        <v>0.3888888888888889</v>
      </c>
      <c r="M530" s="2">
        <v>0.75</v>
      </c>
      <c r="N530">
        <v>8</v>
      </c>
      <c r="O530">
        <v>0</v>
      </c>
      <c r="P530" t="s">
        <v>32</v>
      </c>
      <c r="R530">
        <v>3</v>
      </c>
      <c r="S530" t="s">
        <v>45</v>
      </c>
      <c r="T530" t="s">
        <v>114</v>
      </c>
      <c r="U530" t="s">
        <v>85</v>
      </c>
      <c r="V530" t="s">
        <v>35</v>
      </c>
    </row>
    <row r="531" spans="1:22" x14ac:dyDescent="0.3">
      <c r="A531" t="s">
        <v>720</v>
      </c>
      <c r="B531" s="3">
        <v>45826</v>
      </c>
      <c r="C531" t="s">
        <v>23</v>
      </c>
      <c r="D531" t="s">
        <v>24</v>
      </c>
      <c r="E531" t="s">
        <v>51</v>
      </c>
      <c r="F531" t="s">
        <v>258</v>
      </c>
      <c r="G531" t="s">
        <v>259</v>
      </c>
      <c r="H531" t="s">
        <v>112</v>
      </c>
      <c r="I531" t="s">
        <v>113</v>
      </c>
      <c r="J531" t="s">
        <v>74</v>
      </c>
      <c r="K531" t="s">
        <v>44</v>
      </c>
      <c r="L531" s="2">
        <v>0.39930555555555558</v>
      </c>
      <c r="M531" s="2">
        <v>0.75</v>
      </c>
      <c r="N531">
        <v>8</v>
      </c>
      <c r="O531">
        <v>0</v>
      </c>
      <c r="P531" t="s">
        <v>32</v>
      </c>
      <c r="R531">
        <v>4</v>
      </c>
      <c r="S531" t="s">
        <v>45</v>
      </c>
      <c r="T531" t="s">
        <v>114</v>
      </c>
      <c r="U531" t="s">
        <v>55</v>
      </c>
    </row>
    <row r="532" spans="1:22" x14ac:dyDescent="0.3">
      <c r="A532" t="s">
        <v>721</v>
      </c>
      <c r="B532" s="3">
        <v>45809</v>
      </c>
      <c r="C532" t="s">
        <v>23</v>
      </c>
      <c r="D532" t="s">
        <v>24</v>
      </c>
      <c r="E532" t="s">
        <v>103</v>
      </c>
      <c r="F532" t="s">
        <v>26</v>
      </c>
      <c r="G532" t="s">
        <v>27</v>
      </c>
      <c r="H532" t="s">
        <v>28</v>
      </c>
      <c r="I532" t="s">
        <v>29</v>
      </c>
      <c r="J532" t="s">
        <v>30</v>
      </c>
      <c r="K532" t="s">
        <v>31</v>
      </c>
      <c r="L532" s="2">
        <v>0.375</v>
      </c>
      <c r="M532" s="2">
        <v>0.75</v>
      </c>
      <c r="N532">
        <v>8</v>
      </c>
      <c r="O532">
        <v>0</v>
      </c>
      <c r="P532" t="s">
        <v>32</v>
      </c>
      <c r="S532" t="s">
        <v>67</v>
      </c>
      <c r="T532" t="s">
        <v>34</v>
      </c>
      <c r="U532" t="s">
        <v>85</v>
      </c>
      <c r="V532" t="s">
        <v>35</v>
      </c>
    </row>
    <row r="533" spans="1:22" x14ac:dyDescent="0.3">
      <c r="A533" t="s">
        <v>722</v>
      </c>
      <c r="B533" s="3">
        <v>45757</v>
      </c>
      <c r="C533" t="s">
        <v>37</v>
      </c>
      <c r="D533" t="s">
        <v>24</v>
      </c>
      <c r="E533" t="s">
        <v>25</v>
      </c>
      <c r="F533" t="s">
        <v>215</v>
      </c>
      <c r="G533" t="s">
        <v>216</v>
      </c>
      <c r="H533" t="s">
        <v>79</v>
      </c>
      <c r="I533" t="s">
        <v>80</v>
      </c>
      <c r="J533" t="s">
        <v>30</v>
      </c>
      <c r="K533" t="s">
        <v>75</v>
      </c>
      <c r="L533" s="2">
        <v>0.375</v>
      </c>
      <c r="M533" s="2">
        <v>0.75</v>
      </c>
      <c r="N533">
        <v>8</v>
      </c>
      <c r="O533">
        <v>0</v>
      </c>
      <c r="P533" t="s">
        <v>32</v>
      </c>
      <c r="S533" t="s">
        <v>92</v>
      </c>
      <c r="T533" t="s">
        <v>84</v>
      </c>
      <c r="V533" t="s">
        <v>60</v>
      </c>
    </row>
    <row r="534" spans="1:22" x14ac:dyDescent="0.3">
      <c r="A534" t="s">
        <v>723</v>
      </c>
      <c r="B534" s="3">
        <v>45798</v>
      </c>
      <c r="C534" t="s">
        <v>57</v>
      </c>
      <c r="D534" t="s">
        <v>24</v>
      </c>
      <c r="E534" t="s">
        <v>51</v>
      </c>
      <c r="F534" t="s">
        <v>104</v>
      </c>
      <c r="G534" t="s">
        <v>105</v>
      </c>
      <c r="H534" t="s">
        <v>28</v>
      </c>
      <c r="I534" t="s">
        <v>29</v>
      </c>
      <c r="J534" t="s">
        <v>30</v>
      </c>
      <c r="K534" t="s">
        <v>44</v>
      </c>
      <c r="L534" s="2">
        <v>0.375</v>
      </c>
      <c r="M534" s="2">
        <v>0.75</v>
      </c>
      <c r="N534">
        <v>8</v>
      </c>
      <c r="O534">
        <v>0</v>
      </c>
      <c r="P534" t="s">
        <v>32</v>
      </c>
      <c r="R534">
        <v>4</v>
      </c>
      <c r="S534" t="s">
        <v>33</v>
      </c>
      <c r="T534" t="s">
        <v>34</v>
      </c>
      <c r="U534" t="s">
        <v>47</v>
      </c>
      <c r="V534" t="s">
        <v>35</v>
      </c>
    </row>
    <row r="535" spans="1:22" x14ac:dyDescent="0.3">
      <c r="A535" t="s">
        <v>724</v>
      </c>
      <c r="B535" s="1">
        <v>45756</v>
      </c>
      <c r="C535" t="s">
        <v>37</v>
      </c>
      <c r="D535" t="s">
        <v>24</v>
      </c>
      <c r="E535" t="s">
        <v>51</v>
      </c>
      <c r="F535" t="s">
        <v>281</v>
      </c>
      <c r="G535" t="s">
        <v>282</v>
      </c>
      <c r="H535" t="s">
        <v>90</v>
      </c>
      <c r="I535" t="s">
        <v>91</v>
      </c>
      <c r="J535" t="s">
        <v>30</v>
      </c>
      <c r="K535" t="s">
        <v>81</v>
      </c>
      <c r="L535" s="2">
        <v>0.91666666666666663</v>
      </c>
      <c r="M535" s="2">
        <v>0.29166666666666669</v>
      </c>
      <c r="N535">
        <v>9.5</v>
      </c>
      <c r="O535">
        <v>1.5</v>
      </c>
      <c r="P535" t="s">
        <v>32</v>
      </c>
      <c r="R535">
        <v>4</v>
      </c>
      <c r="S535" t="s">
        <v>67</v>
      </c>
      <c r="T535" t="s">
        <v>93</v>
      </c>
      <c r="U535" t="s">
        <v>47</v>
      </c>
      <c r="V535" t="s">
        <v>35</v>
      </c>
    </row>
    <row r="536" spans="1:22" x14ac:dyDescent="0.3">
      <c r="A536" t="s">
        <v>725</v>
      </c>
      <c r="B536" s="1">
        <v>45748</v>
      </c>
      <c r="C536" t="s">
        <v>37</v>
      </c>
      <c r="D536" t="s">
        <v>24</v>
      </c>
      <c r="E536" t="s">
        <v>87</v>
      </c>
      <c r="F536" t="s">
        <v>207</v>
      </c>
      <c r="G536" t="s">
        <v>208</v>
      </c>
      <c r="H536" t="s">
        <v>64</v>
      </c>
      <c r="I536" t="s">
        <v>65</v>
      </c>
      <c r="J536" t="s">
        <v>30</v>
      </c>
      <c r="K536" t="s">
        <v>31</v>
      </c>
      <c r="P536" t="s">
        <v>82</v>
      </c>
      <c r="S536" t="s">
        <v>92</v>
      </c>
      <c r="T536" t="s">
        <v>68</v>
      </c>
      <c r="U536" t="s">
        <v>85</v>
      </c>
      <c r="V536" t="s">
        <v>35</v>
      </c>
    </row>
    <row r="537" spans="1:22" x14ac:dyDescent="0.3">
      <c r="A537" t="s">
        <v>726</v>
      </c>
      <c r="B537" s="3">
        <v>45757</v>
      </c>
      <c r="C537" t="s">
        <v>37</v>
      </c>
      <c r="D537" t="s">
        <v>24</v>
      </c>
      <c r="E537" t="s">
        <v>25</v>
      </c>
      <c r="F537" t="s">
        <v>182</v>
      </c>
      <c r="G537" t="s">
        <v>183</v>
      </c>
      <c r="H537" t="s">
        <v>112</v>
      </c>
      <c r="I537" t="s">
        <v>113</v>
      </c>
      <c r="J537" t="s">
        <v>30</v>
      </c>
      <c r="K537" t="s">
        <v>54</v>
      </c>
      <c r="L537" s="2">
        <v>0.3888888888888889</v>
      </c>
      <c r="M537" s="2">
        <v>0.75</v>
      </c>
      <c r="N537">
        <v>8</v>
      </c>
      <c r="O537">
        <v>0</v>
      </c>
      <c r="P537" t="s">
        <v>32</v>
      </c>
      <c r="R537">
        <v>4</v>
      </c>
      <c r="S537" t="s">
        <v>67</v>
      </c>
      <c r="T537" t="s">
        <v>114</v>
      </c>
    </row>
    <row r="538" spans="1:22" x14ac:dyDescent="0.3">
      <c r="A538" t="s">
        <v>727</v>
      </c>
      <c r="B538" s="3">
        <v>45701</v>
      </c>
      <c r="C538" t="s">
        <v>95</v>
      </c>
      <c r="D538" t="s">
        <v>50</v>
      </c>
      <c r="E538" t="s">
        <v>25</v>
      </c>
      <c r="F538" t="s">
        <v>120</v>
      </c>
      <c r="G538" t="s">
        <v>121</v>
      </c>
      <c r="H538" t="s">
        <v>180</v>
      </c>
      <c r="I538" t="s">
        <v>42</v>
      </c>
      <c r="J538" t="s">
        <v>74</v>
      </c>
      <c r="K538" t="s">
        <v>81</v>
      </c>
      <c r="L538" s="2">
        <v>0.91666666666666663</v>
      </c>
      <c r="M538" s="2">
        <v>0.29166666666666669</v>
      </c>
      <c r="N538">
        <v>8.5</v>
      </c>
      <c r="O538">
        <v>0.5</v>
      </c>
      <c r="P538" t="s">
        <v>32</v>
      </c>
      <c r="R538">
        <v>4</v>
      </c>
      <c r="S538" t="s">
        <v>33</v>
      </c>
      <c r="T538" t="s">
        <v>46</v>
      </c>
      <c r="U538" t="s">
        <v>55</v>
      </c>
    </row>
    <row r="539" spans="1:22" x14ac:dyDescent="0.3">
      <c r="A539" t="s">
        <v>728</v>
      </c>
      <c r="B539" s="3">
        <v>45819</v>
      </c>
      <c r="C539" t="s">
        <v>23</v>
      </c>
      <c r="D539" t="s">
        <v>24</v>
      </c>
      <c r="E539" t="s">
        <v>51</v>
      </c>
      <c r="F539" t="s">
        <v>192</v>
      </c>
      <c r="G539" t="s">
        <v>193</v>
      </c>
      <c r="H539" t="s">
        <v>79</v>
      </c>
      <c r="I539" t="s">
        <v>80</v>
      </c>
      <c r="J539" t="s">
        <v>66</v>
      </c>
      <c r="K539" t="s">
        <v>54</v>
      </c>
      <c r="P539" t="s">
        <v>135</v>
      </c>
      <c r="S539" t="s">
        <v>33</v>
      </c>
      <c r="T539" t="s">
        <v>84</v>
      </c>
      <c r="U539" t="s">
        <v>55</v>
      </c>
      <c r="V539" t="s">
        <v>35</v>
      </c>
    </row>
    <row r="540" spans="1:22" x14ac:dyDescent="0.3">
      <c r="A540" t="s">
        <v>729</v>
      </c>
      <c r="B540" s="3">
        <v>45833</v>
      </c>
      <c r="C540" t="s">
        <v>23</v>
      </c>
      <c r="D540" t="s">
        <v>24</v>
      </c>
      <c r="E540" t="s">
        <v>51</v>
      </c>
      <c r="F540" t="s">
        <v>228</v>
      </c>
      <c r="G540" t="s">
        <v>229</v>
      </c>
      <c r="H540" t="s">
        <v>79</v>
      </c>
      <c r="I540" t="s">
        <v>80</v>
      </c>
      <c r="J540" t="s">
        <v>43</v>
      </c>
      <c r="K540" t="s">
        <v>31</v>
      </c>
      <c r="L540" s="2">
        <v>0.375</v>
      </c>
      <c r="M540" s="2">
        <v>0.75</v>
      </c>
      <c r="N540">
        <v>8</v>
      </c>
      <c r="O540">
        <v>0</v>
      </c>
      <c r="P540" t="s">
        <v>32</v>
      </c>
      <c r="R540">
        <v>4</v>
      </c>
      <c r="S540" t="s">
        <v>67</v>
      </c>
      <c r="T540" t="s">
        <v>84</v>
      </c>
      <c r="V540" t="s">
        <v>69</v>
      </c>
    </row>
    <row r="541" spans="1:22" x14ac:dyDescent="0.3">
      <c r="A541" t="s">
        <v>730</v>
      </c>
      <c r="B541" s="3">
        <v>45767</v>
      </c>
      <c r="C541" t="s">
        <v>37</v>
      </c>
      <c r="D541" t="s">
        <v>24</v>
      </c>
      <c r="E541" t="s">
        <v>103</v>
      </c>
      <c r="F541" t="s">
        <v>266</v>
      </c>
      <c r="G541" t="s">
        <v>267</v>
      </c>
      <c r="H541" t="s">
        <v>98</v>
      </c>
      <c r="I541" t="s">
        <v>99</v>
      </c>
      <c r="J541" t="s">
        <v>66</v>
      </c>
      <c r="K541" t="s">
        <v>44</v>
      </c>
      <c r="L541" s="2">
        <v>0.375</v>
      </c>
      <c r="M541" s="2">
        <v>0.75</v>
      </c>
      <c r="N541">
        <v>8</v>
      </c>
      <c r="O541">
        <v>0</v>
      </c>
      <c r="P541" t="s">
        <v>32</v>
      </c>
      <c r="S541" t="s">
        <v>33</v>
      </c>
      <c r="T541" t="s">
        <v>101</v>
      </c>
      <c r="V541" t="s">
        <v>35</v>
      </c>
    </row>
    <row r="542" spans="1:22" x14ac:dyDescent="0.3">
      <c r="A542" t="s">
        <v>731</v>
      </c>
      <c r="B542" s="1">
        <v>45830</v>
      </c>
      <c r="C542" t="s">
        <v>23</v>
      </c>
      <c r="D542" t="s">
        <v>24</v>
      </c>
      <c r="E542" t="s">
        <v>103</v>
      </c>
      <c r="F542" t="s">
        <v>154</v>
      </c>
      <c r="G542" t="s">
        <v>155</v>
      </c>
      <c r="H542" t="s">
        <v>41</v>
      </c>
      <c r="I542" t="s">
        <v>42</v>
      </c>
      <c r="J542" t="s">
        <v>74</v>
      </c>
      <c r="K542" t="s">
        <v>75</v>
      </c>
      <c r="L542" s="2">
        <v>0.375</v>
      </c>
      <c r="M542" s="2">
        <v>0.75</v>
      </c>
      <c r="N542">
        <v>8</v>
      </c>
      <c r="O542">
        <v>0</v>
      </c>
      <c r="P542" t="s">
        <v>32</v>
      </c>
      <c r="S542" t="s">
        <v>92</v>
      </c>
      <c r="T542" t="s">
        <v>46</v>
      </c>
      <c r="V542" t="s">
        <v>35</v>
      </c>
    </row>
    <row r="543" spans="1:22" x14ac:dyDescent="0.3">
      <c r="A543" t="s">
        <v>732</v>
      </c>
      <c r="B543" s="3">
        <v>45728</v>
      </c>
      <c r="C543" t="s">
        <v>71</v>
      </c>
      <c r="D543" t="s">
        <v>50</v>
      </c>
      <c r="E543" t="s">
        <v>51</v>
      </c>
      <c r="F543" t="s">
        <v>288</v>
      </c>
      <c r="G543" t="s">
        <v>289</v>
      </c>
      <c r="H543" t="s">
        <v>28</v>
      </c>
      <c r="I543" t="s">
        <v>29</v>
      </c>
      <c r="J543" t="s">
        <v>74</v>
      </c>
      <c r="K543" t="s">
        <v>81</v>
      </c>
      <c r="L543" s="2">
        <v>0.91666666666666663</v>
      </c>
      <c r="M543" s="2">
        <v>0.29166666666666669</v>
      </c>
      <c r="N543">
        <v>9.5</v>
      </c>
      <c r="O543">
        <v>1.5</v>
      </c>
      <c r="P543" t="s">
        <v>32</v>
      </c>
      <c r="S543" t="s">
        <v>67</v>
      </c>
      <c r="T543" t="s">
        <v>34</v>
      </c>
      <c r="U543" t="s">
        <v>55</v>
      </c>
    </row>
    <row r="544" spans="1:22" x14ac:dyDescent="0.3">
      <c r="A544" t="s">
        <v>733</v>
      </c>
      <c r="B544" s="3">
        <v>45738</v>
      </c>
      <c r="C544" t="s">
        <v>71</v>
      </c>
      <c r="D544" t="s">
        <v>50</v>
      </c>
      <c r="E544" t="s">
        <v>38</v>
      </c>
      <c r="F544" t="s">
        <v>204</v>
      </c>
      <c r="G544" t="s">
        <v>205</v>
      </c>
      <c r="H544" t="s">
        <v>90</v>
      </c>
      <c r="I544" t="s">
        <v>91</v>
      </c>
      <c r="J544" t="s">
        <v>74</v>
      </c>
      <c r="K544" t="s">
        <v>75</v>
      </c>
      <c r="L544" s="2">
        <v>0.375</v>
      </c>
      <c r="M544" s="2">
        <v>0.75</v>
      </c>
      <c r="N544">
        <v>8</v>
      </c>
      <c r="O544">
        <v>0</v>
      </c>
      <c r="P544" t="s">
        <v>32</v>
      </c>
      <c r="S544" t="s">
        <v>92</v>
      </c>
      <c r="T544" t="s">
        <v>93</v>
      </c>
      <c r="U544" t="s">
        <v>55</v>
      </c>
      <c r="V544" t="s">
        <v>60</v>
      </c>
    </row>
    <row r="545" spans="1:22" x14ac:dyDescent="0.3">
      <c r="A545" t="s">
        <v>734</v>
      </c>
      <c r="B545" s="1">
        <v>45690</v>
      </c>
      <c r="C545" t="s">
        <v>95</v>
      </c>
      <c r="D545" t="s">
        <v>50</v>
      </c>
      <c r="E545" t="s">
        <v>103</v>
      </c>
      <c r="F545" t="s">
        <v>110</v>
      </c>
      <c r="G545" t="s">
        <v>111</v>
      </c>
      <c r="H545" t="s">
        <v>112</v>
      </c>
      <c r="I545" t="s">
        <v>113</v>
      </c>
      <c r="J545" t="s">
        <v>43</v>
      </c>
      <c r="K545" t="s">
        <v>75</v>
      </c>
      <c r="L545" s="2">
        <v>0.3888888888888889</v>
      </c>
      <c r="M545" s="2">
        <v>0.75</v>
      </c>
      <c r="N545">
        <v>8</v>
      </c>
      <c r="O545">
        <v>0</v>
      </c>
      <c r="P545" t="s">
        <v>32</v>
      </c>
      <c r="R545">
        <v>4</v>
      </c>
      <c r="S545" t="s">
        <v>45</v>
      </c>
      <c r="T545" t="s">
        <v>114</v>
      </c>
      <c r="V545" t="s">
        <v>69</v>
      </c>
    </row>
    <row r="546" spans="1:22" x14ac:dyDescent="0.3">
      <c r="A546" t="s">
        <v>735</v>
      </c>
      <c r="B546" s="3">
        <v>45727</v>
      </c>
      <c r="C546" t="s">
        <v>71</v>
      </c>
      <c r="D546" t="s">
        <v>50</v>
      </c>
      <c r="E546" t="s">
        <v>87</v>
      </c>
      <c r="F546" t="s">
        <v>58</v>
      </c>
      <c r="G546" t="s">
        <v>59</v>
      </c>
      <c r="H546" t="s">
        <v>41</v>
      </c>
      <c r="I546" t="s">
        <v>42</v>
      </c>
      <c r="J546" t="s">
        <v>30</v>
      </c>
      <c r="K546" t="s">
        <v>54</v>
      </c>
      <c r="L546" s="2">
        <v>0.375</v>
      </c>
      <c r="M546" s="2">
        <v>0.75</v>
      </c>
      <c r="N546">
        <v>8</v>
      </c>
      <c r="O546">
        <v>0</v>
      </c>
      <c r="P546" t="s">
        <v>32</v>
      </c>
      <c r="R546">
        <v>4</v>
      </c>
      <c r="S546" t="s">
        <v>67</v>
      </c>
      <c r="T546" t="s">
        <v>46</v>
      </c>
    </row>
    <row r="547" spans="1:22" x14ac:dyDescent="0.3">
      <c r="A547" t="s">
        <v>736</v>
      </c>
      <c r="B547" s="1">
        <v>45661</v>
      </c>
      <c r="C547" t="s">
        <v>49</v>
      </c>
      <c r="D547" t="s">
        <v>50</v>
      </c>
      <c r="E547" t="s">
        <v>38</v>
      </c>
      <c r="F547" t="s">
        <v>58</v>
      </c>
      <c r="G547" t="s">
        <v>59</v>
      </c>
      <c r="H547" t="s">
        <v>41</v>
      </c>
      <c r="I547" t="s">
        <v>42</v>
      </c>
      <c r="J547" t="s">
        <v>30</v>
      </c>
      <c r="K547" t="s">
        <v>54</v>
      </c>
      <c r="L547" s="2">
        <v>0.375</v>
      </c>
      <c r="M547" s="2">
        <v>0.75</v>
      </c>
      <c r="N547">
        <v>8</v>
      </c>
      <c r="O547">
        <v>0</v>
      </c>
      <c r="P547" t="s">
        <v>32</v>
      </c>
      <c r="R547">
        <v>5</v>
      </c>
      <c r="S547" t="s">
        <v>92</v>
      </c>
      <c r="T547" t="s">
        <v>46</v>
      </c>
    </row>
    <row r="548" spans="1:22" x14ac:dyDescent="0.3">
      <c r="A548" t="s">
        <v>737</v>
      </c>
      <c r="B548" s="1">
        <v>45669</v>
      </c>
      <c r="C548" t="s">
        <v>49</v>
      </c>
      <c r="D548" t="s">
        <v>50</v>
      </c>
      <c r="E548" t="s">
        <v>103</v>
      </c>
      <c r="F548" t="s">
        <v>207</v>
      </c>
      <c r="G548" t="s">
        <v>208</v>
      </c>
      <c r="H548" t="s">
        <v>64</v>
      </c>
      <c r="I548" t="s">
        <v>65</v>
      </c>
      <c r="J548" t="s">
        <v>30</v>
      </c>
      <c r="K548" t="s">
        <v>54</v>
      </c>
      <c r="L548" s="2">
        <v>0.375</v>
      </c>
      <c r="M548" s="2">
        <v>0.75</v>
      </c>
      <c r="N548">
        <v>8</v>
      </c>
      <c r="O548">
        <v>0</v>
      </c>
      <c r="P548" t="s">
        <v>32</v>
      </c>
      <c r="R548">
        <v>5</v>
      </c>
      <c r="S548" t="s">
        <v>45</v>
      </c>
      <c r="T548" t="s">
        <v>68</v>
      </c>
      <c r="U548" t="s">
        <v>55</v>
      </c>
      <c r="V548" t="s">
        <v>60</v>
      </c>
    </row>
    <row r="549" spans="1:22" x14ac:dyDescent="0.3">
      <c r="A549" t="s">
        <v>738</v>
      </c>
      <c r="B549" s="3">
        <v>45774</v>
      </c>
      <c r="C549" t="s">
        <v>37</v>
      </c>
      <c r="D549" t="s">
        <v>24</v>
      </c>
      <c r="E549" t="s">
        <v>103</v>
      </c>
      <c r="F549" t="s">
        <v>72</v>
      </c>
      <c r="G549" t="s">
        <v>73</v>
      </c>
      <c r="H549" t="s">
        <v>28</v>
      </c>
      <c r="I549" t="s">
        <v>29</v>
      </c>
      <c r="J549" t="s">
        <v>74</v>
      </c>
      <c r="K549" t="s">
        <v>81</v>
      </c>
      <c r="L549" s="2">
        <v>0.91666666666666663</v>
      </c>
      <c r="M549" s="2">
        <v>0.29166666666666669</v>
      </c>
      <c r="N549">
        <v>9.5</v>
      </c>
      <c r="O549">
        <v>1.5</v>
      </c>
      <c r="P549" t="s">
        <v>32</v>
      </c>
      <c r="R549">
        <v>5</v>
      </c>
      <c r="S549" t="s">
        <v>67</v>
      </c>
      <c r="T549" t="s">
        <v>34</v>
      </c>
      <c r="V549" t="s">
        <v>60</v>
      </c>
    </row>
    <row r="550" spans="1:22" x14ac:dyDescent="0.3">
      <c r="A550" t="s">
        <v>739</v>
      </c>
      <c r="B550" s="3">
        <v>45725</v>
      </c>
      <c r="C550" t="s">
        <v>71</v>
      </c>
      <c r="D550" t="s">
        <v>50</v>
      </c>
      <c r="E550" t="s">
        <v>103</v>
      </c>
      <c r="F550" t="s">
        <v>142</v>
      </c>
      <c r="G550" t="s">
        <v>143</v>
      </c>
      <c r="H550" t="s">
        <v>64</v>
      </c>
      <c r="I550" t="s">
        <v>65</v>
      </c>
      <c r="J550" t="s">
        <v>43</v>
      </c>
      <c r="K550" t="s">
        <v>31</v>
      </c>
      <c r="L550" s="2">
        <v>0.375</v>
      </c>
      <c r="M550" s="2">
        <v>0.75</v>
      </c>
      <c r="N550">
        <v>9.5</v>
      </c>
      <c r="O550">
        <v>1.5</v>
      </c>
      <c r="P550" t="s">
        <v>32</v>
      </c>
      <c r="S550" t="s">
        <v>45</v>
      </c>
      <c r="T550" t="s">
        <v>68</v>
      </c>
      <c r="U550" t="s">
        <v>47</v>
      </c>
      <c r="V550" t="s">
        <v>69</v>
      </c>
    </row>
    <row r="551" spans="1:22" x14ac:dyDescent="0.3">
      <c r="A551" t="s">
        <v>740</v>
      </c>
      <c r="B551" s="3">
        <v>45797</v>
      </c>
      <c r="C551" t="s">
        <v>57</v>
      </c>
      <c r="D551" t="s">
        <v>24</v>
      </c>
      <c r="E551" t="s">
        <v>87</v>
      </c>
      <c r="F551" t="s">
        <v>220</v>
      </c>
      <c r="G551" t="s">
        <v>221</v>
      </c>
      <c r="H551" t="s">
        <v>79</v>
      </c>
      <c r="I551" t="s">
        <v>80</v>
      </c>
      <c r="J551" t="s">
        <v>100</v>
      </c>
      <c r="K551" t="s">
        <v>75</v>
      </c>
      <c r="L551" s="2">
        <v>0.375</v>
      </c>
      <c r="M551" s="2">
        <v>0.75</v>
      </c>
      <c r="N551">
        <v>8</v>
      </c>
      <c r="O551">
        <v>0</v>
      </c>
      <c r="P551" t="s">
        <v>32</v>
      </c>
      <c r="R551">
        <v>4</v>
      </c>
      <c r="S551" t="s">
        <v>33</v>
      </c>
      <c r="T551" t="s">
        <v>84</v>
      </c>
      <c r="U551" t="s">
        <v>55</v>
      </c>
      <c r="V551" t="s">
        <v>35</v>
      </c>
    </row>
    <row r="552" spans="1:22" x14ac:dyDescent="0.3">
      <c r="A552" t="s">
        <v>741</v>
      </c>
      <c r="B552" s="3">
        <v>45696</v>
      </c>
      <c r="C552" t="s">
        <v>95</v>
      </c>
      <c r="D552" t="s">
        <v>50</v>
      </c>
      <c r="E552" t="s">
        <v>38</v>
      </c>
      <c r="F552" t="s">
        <v>154</v>
      </c>
      <c r="G552" t="s">
        <v>155</v>
      </c>
      <c r="H552" t="s">
        <v>41</v>
      </c>
      <c r="I552" t="s">
        <v>42</v>
      </c>
      <c r="J552" t="s">
        <v>74</v>
      </c>
      <c r="K552" t="s">
        <v>31</v>
      </c>
      <c r="L552" s="2">
        <v>0.375</v>
      </c>
      <c r="M552" s="2">
        <v>0.75</v>
      </c>
      <c r="N552">
        <v>8</v>
      </c>
      <c r="O552">
        <v>0</v>
      </c>
      <c r="P552" t="s">
        <v>32</v>
      </c>
      <c r="R552">
        <v>4</v>
      </c>
      <c r="S552" t="s">
        <v>67</v>
      </c>
      <c r="T552" t="s">
        <v>46</v>
      </c>
      <c r="U552" t="s">
        <v>85</v>
      </c>
      <c r="V552" t="s">
        <v>35</v>
      </c>
    </row>
    <row r="553" spans="1:22" x14ac:dyDescent="0.3">
      <c r="A553" t="s">
        <v>742</v>
      </c>
      <c r="B553" s="3">
        <v>45719</v>
      </c>
      <c r="C553" t="s">
        <v>71</v>
      </c>
      <c r="D553" t="s">
        <v>50</v>
      </c>
      <c r="E553" t="s">
        <v>109</v>
      </c>
      <c r="F553" t="s">
        <v>220</v>
      </c>
      <c r="G553" t="s">
        <v>221</v>
      </c>
      <c r="H553" t="s">
        <v>79</v>
      </c>
      <c r="I553" t="s">
        <v>80</v>
      </c>
      <c r="J553" t="s">
        <v>100</v>
      </c>
      <c r="K553" t="s">
        <v>44</v>
      </c>
      <c r="L553" s="2">
        <v>0.375</v>
      </c>
      <c r="M553" s="2">
        <v>0.75</v>
      </c>
      <c r="N553">
        <v>8</v>
      </c>
      <c r="O553">
        <v>0</v>
      </c>
      <c r="P553" t="s">
        <v>32</v>
      </c>
      <c r="R553">
        <v>3</v>
      </c>
      <c r="S553" t="s">
        <v>33</v>
      </c>
      <c r="T553" t="s">
        <v>84</v>
      </c>
      <c r="U553" t="s">
        <v>55</v>
      </c>
      <c r="V553" t="s">
        <v>69</v>
      </c>
    </row>
    <row r="554" spans="1:22" x14ac:dyDescent="0.3">
      <c r="A554" t="s">
        <v>743</v>
      </c>
      <c r="B554" s="3">
        <v>45810</v>
      </c>
      <c r="C554" t="s">
        <v>23</v>
      </c>
      <c r="D554" t="s">
        <v>24</v>
      </c>
      <c r="E554" t="s">
        <v>109</v>
      </c>
      <c r="F554" t="s">
        <v>243</v>
      </c>
      <c r="G554" t="s">
        <v>244</v>
      </c>
      <c r="H554" t="s">
        <v>90</v>
      </c>
      <c r="I554" t="s">
        <v>91</v>
      </c>
      <c r="J554" t="s">
        <v>30</v>
      </c>
      <c r="K554" t="s">
        <v>81</v>
      </c>
      <c r="L554" s="2">
        <v>0.91666666666666663</v>
      </c>
      <c r="M554" s="2">
        <v>0.29166666666666669</v>
      </c>
      <c r="N554">
        <v>8.5</v>
      </c>
      <c r="O554">
        <v>0.5</v>
      </c>
      <c r="P554" t="s">
        <v>32</v>
      </c>
      <c r="R554">
        <v>3</v>
      </c>
      <c r="S554" t="s">
        <v>45</v>
      </c>
      <c r="T554" t="s">
        <v>93</v>
      </c>
      <c r="U554" t="s">
        <v>55</v>
      </c>
      <c r="V554" t="s">
        <v>35</v>
      </c>
    </row>
    <row r="555" spans="1:22" x14ac:dyDescent="0.3">
      <c r="A555" t="s">
        <v>744</v>
      </c>
      <c r="B555" s="3">
        <v>45663</v>
      </c>
      <c r="C555" t="s">
        <v>49</v>
      </c>
      <c r="D555" t="s">
        <v>50</v>
      </c>
      <c r="E555" t="s">
        <v>109</v>
      </c>
      <c r="F555" t="s">
        <v>266</v>
      </c>
      <c r="G555" t="s">
        <v>267</v>
      </c>
      <c r="H555" t="s">
        <v>98</v>
      </c>
      <c r="I555" t="s">
        <v>99</v>
      </c>
      <c r="J555" t="s">
        <v>66</v>
      </c>
      <c r="K555" t="s">
        <v>81</v>
      </c>
      <c r="P555" t="s">
        <v>135</v>
      </c>
      <c r="S555" t="s">
        <v>67</v>
      </c>
      <c r="T555" t="s">
        <v>101</v>
      </c>
      <c r="U555" t="s">
        <v>47</v>
      </c>
      <c r="V555" t="s">
        <v>35</v>
      </c>
    </row>
    <row r="556" spans="1:22" x14ac:dyDescent="0.3">
      <c r="A556" t="s">
        <v>745</v>
      </c>
      <c r="B556" s="3">
        <v>45786</v>
      </c>
      <c r="C556" t="s">
        <v>57</v>
      </c>
      <c r="D556" t="s">
        <v>24</v>
      </c>
      <c r="E556" t="s">
        <v>119</v>
      </c>
      <c r="F556" t="s">
        <v>96</v>
      </c>
      <c r="G556" t="s">
        <v>97</v>
      </c>
      <c r="H556" t="s">
        <v>98</v>
      </c>
      <c r="I556" t="s">
        <v>99</v>
      </c>
      <c r="J556" t="s">
        <v>100</v>
      </c>
      <c r="K556" t="s">
        <v>31</v>
      </c>
      <c r="L556" s="2">
        <v>0.375</v>
      </c>
      <c r="M556" s="2">
        <v>0.75</v>
      </c>
      <c r="N556">
        <v>8</v>
      </c>
      <c r="O556">
        <v>0</v>
      </c>
      <c r="P556" t="s">
        <v>32</v>
      </c>
      <c r="R556">
        <v>5</v>
      </c>
      <c r="S556" t="s">
        <v>33</v>
      </c>
      <c r="T556" t="s">
        <v>101</v>
      </c>
      <c r="U556" t="s">
        <v>47</v>
      </c>
      <c r="V556" t="s">
        <v>60</v>
      </c>
    </row>
    <row r="557" spans="1:22" x14ac:dyDescent="0.3">
      <c r="A557" t="s">
        <v>746</v>
      </c>
      <c r="B557" s="3">
        <v>45701</v>
      </c>
      <c r="C557" t="s">
        <v>95</v>
      </c>
      <c r="D557" t="s">
        <v>50</v>
      </c>
      <c r="E557" t="s">
        <v>25</v>
      </c>
      <c r="F557" t="s">
        <v>182</v>
      </c>
      <c r="G557" t="s">
        <v>183</v>
      </c>
      <c r="H557" t="s">
        <v>112</v>
      </c>
      <c r="I557" t="s">
        <v>113</v>
      </c>
      <c r="J557" t="s">
        <v>30</v>
      </c>
      <c r="K557" t="s">
        <v>44</v>
      </c>
      <c r="L557" s="2">
        <v>0.38194444444444442</v>
      </c>
      <c r="M557" s="2">
        <v>0.75</v>
      </c>
      <c r="N557">
        <v>8</v>
      </c>
      <c r="O557">
        <v>0</v>
      </c>
      <c r="P557" t="s">
        <v>32</v>
      </c>
      <c r="S557" t="s">
        <v>33</v>
      </c>
      <c r="T557" t="s">
        <v>114</v>
      </c>
      <c r="U557" t="s">
        <v>55</v>
      </c>
    </row>
    <row r="558" spans="1:22" x14ac:dyDescent="0.3">
      <c r="A558" t="s">
        <v>747</v>
      </c>
      <c r="B558" s="1">
        <v>45773</v>
      </c>
      <c r="C558" t="s">
        <v>37</v>
      </c>
      <c r="D558" t="s">
        <v>24</v>
      </c>
      <c r="E558" t="s">
        <v>38</v>
      </c>
      <c r="F558" t="s">
        <v>195</v>
      </c>
      <c r="G558" t="s">
        <v>196</v>
      </c>
      <c r="H558" t="s">
        <v>98</v>
      </c>
      <c r="I558" t="s">
        <v>99</v>
      </c>
      <c r="J558" t="s">
        <v>43</v>
      </c>
      <c r="K558" t="s">
        <v>54</v>
      </c>
      <c r="M558" s="2">
        <v>0.75</v>
      </c>
      <c r="N558">
        <v>8</v>
      </c>
      <c r="O558">
        <v>0</v>
      </c>
      <c r="P558" t="s">
        <v>32</v>
      </c>
      <c r="S558" t="s">
        <v>45</v>
      </c>
      <c r="T558" t="s">
        <v>101</v>
      </c>
      <c r="U558" t="s">
        <v>85</v>
      </c>
      <c r="V558" t="s">
        <v>35</v>
      </c>
    </row>
    <row r="559" spans="1:22" x14ac:dyDescent="0.3">
      <c r="A559" t="s">
        <v>748</v>
      </c>
      <c r="B559" s="3">
        <v>45771</v>
      </c>
      <c r="C559" t="s">
        <v>37</v>
      </c>
      <c r="D559" t="s">
        <v>24</v>
      </c>
      <c r="E559" t="s">
        <v>25</v>
      </c>
      <c r="F559" t="s">
        <v>166</v>
      </c>
      <c r="G559" t="s">
        <v>167</v>
      </c>
      <c r="H559" t="s">
        <v>41</v>
      </c>
      <c r="I559" t="s">
        <v>42</v>
      </c>
      <c r="J559" t="s">
        <v>100</v>
      </c>
      <c r="K559" t="s">
        <v>75</v>
      </c>
      <c r="L559" s="2">
        <v>0.375</v>
      </c>
      <c r="M559" s="2">
        <v>0.75</v>
      </c>
      <c r="N559">
        <v>8</v>
      </c>
      <c r="O559">
        <v>0</v>
      </c>
      <c r="P559" t="s">
        <v>32</v>
      </c>
      <c r="R559">
        <v>3</v>
      </c>
      <c r="S559" t="s">
        <v>33</v>
      </c>
      <c r="T559" t="s">
        <v>46</v>
      </c>
      <c r="V559" t="s">
        <v>60</v>
      </c>
    </row>
    <row r="560" spans="1:22" x14ac:dyDescent="0.3">
      <c r="A560" t="s">
        <v>749</v>
      </c>
      <c r="B560" s="3">
        <v>45695</v>
      </c>
      <c r="C560" t="s">
        <v>95</v>
      </c>
      <c r="D560" t="s">
        <v>50</v>
      </c>
      <c r="E560" t="s">
        <v>119</v>
      </c>
      <c r="F560" t="s">
        <v>192</v>
      </c>
      <c r="G560" t="s">
        <v>193</v>
      </c>
      <c r="H560" t="s">
        <v>79</v>
      </c>
      <c r="I560" t="s">
        <v>80</v>
      </c>
      <c r="J560" t="s">
        <v>66</v>
      </c>
      <c r="K560" t="s">
        <v>54</v>
      </c>
      <c r="L560" s="2">
        <v>0.375</v>
      </c>
      <c r="M560" s="2">
        <v>0.75</v>
      </c>
      <c r="N560">
        <v>8</v>
      </c>
      <c r="O560">
        <v>0</v>
      </c>
      <c r="P560" t="s">
        <v>32</v>
      </c>
      <c r="R560">
        <v>3</v>
      </c>
      <c r="S560" t="s">
        <v>92</v>
      </c>
      <c r="T560" t="s">
        <v>84</v>
      </c>
      <c r="U560" t="s">
        <v>47</v>
      </c>
      <c r="V560" t="s">
        <v>60</v>
      </c>
    </row>
    <row r="561" spans="1:22" x14ac:dyDescent="0.3">
      <c r="A561" t="s">
        <v>750</v>
      </c>
      <c r="B561" s="3">
        <v>45661</v>
      </c>
      <c r="C561" t="s">
        <v>49</v>
      </c>
      <c r="D561" t="s">
        <v>50</v>
      </c>
      <c r="E561" t="s">
        <v>38</v>
      </c>
      <c r="F561" t="s">
        <v>142</v>
      </c>
      <c r="G561" t="s">
        <v>143</v>
      </c>
      <c r="H561" t="s">
        <v>64</v>
      </c>
      <c r="I561" t="s">
        <v>65</v>
      </c>
      <c r="J561" t="s">
        <v>43</v>
      </c>
      <c r="K561" t="s">
        <v>81</v>
      </c>
      <c r="L561" s="2">
        <v>0.91666666666666663</v>
      </c>
      <c r="M561" s="2">
        <v>0.29166666666666669</v>
      </c>
      <c r="N561">
        <v>10</v>
      </c>
      <c r="O561">
        <v>2</v>
      </c>
      <c r="P561" t="s">
        <v>32</v>
      </c>
      <c r="R561">
        <v>5</v>
      </c>
      <c r="S561" t="s">
        <v>45</v>
      </c>
      <c r="T561" t="s">
        <v>68</v>
      </c>
      <c r="V561" t="s">
        <v>69</v>
      </c>
    </row>
    <row r="562" spans="1:22" x14ac:dyDescent="0.3">
      <c r="A562" t="s">
        <v>751</v>
      </c>
      <c r="B562" s="3">
        <v>45677</v>
      </c>
      <c r="C562" t="s">
        <v>49</v>
      </c>
      <c r="D562" t="s">
        <v>50</v>
      </c>
      <c r="E562" t="s">
        <v>109</v>
      </c>
      <c r="F562" t="s">
        <v>116</v>
      </c>
      <c r="G562" t="s">
        <v>117</v>
      </c>
      <c r="H562" t="s">
        <v>112</v>
      </c>
      <c r="I562" t="s">
        <v>113</v>
      </c>
      <c r="J562" t="s">
        <v>100</v>
      </c>
      <c r="K562" t="s">
        <v>75</v>
      </c>
      <c r="L562" s="2">
        <v>0.3888888888888889</v>
      </c>
      <c r="M562" s="2">
        <v>0.75</v>
      </c>
      <c r="N562">
        <v>8</v>
      </c>
      <c r="O562">
        <v>0</v>
      </c>
      <c r="P562" t="s">
        <v>32</v>
      </c>
      <c r="R562">
        <v>4</v>
      </c>
      <c r="S562" t="s">
        <v>45</v>
      </c>
      <c r="T562" t="s">
        <v>114</v>
      </c>
      <c r="U562" t="s">
        <v>47</v>
      </c>
      <c r="V562" t="s">
        <v>60</v>
      </c>
    </row>
    <row r="563" spans="1:22" x14ac:dyDescent="0.3">
      <c r="A563" t="s">
        <v>752</v>
      </c>
      <c r="B563" s="3">
        <v>45675</v>
      </c>
      <c r="C563" t="s">
        <v>49</v>
      </c>
      <c r="D563" t="s">
        <v>50</v>
      </c>
      <c r="E563" t="s">
        <v>38</v>
      </c>
      <c r="F563" t="s">
        <v>133</v>
      </c>
      <c r="G563" t="s">
        <v>134</v>
      </c>
      <c r="H563" t="s">
        <v>98</v>
      </c>
      <c r="I563" t="s">
        <v>99</v>
      </c>
      <c r="J563" t="s">
        <v>66</v>
      </c>
      <c r="K563" t="s">
        <v>81</v>
      </c>
      <c r="L563" s="2">
        <v>0.91666666666666663</v>
      </c>
      <c r="M563" s="2">
        <v>0.29166666666666669</v>
      </c>
      <c r="N563">
        <v>10</v>
      </c>
      <c r="O563">
        <v>2</v>
      </c>
      <c r="P563" t="s">
        <v>32</v>
      </c>
      <c r="R563">
        <v>4</v>
      </c>
      <c r="S563" t="s">
        <v>92</v>
      </c>
      <c r="T563" t="s">
        <v>101</v>
      </c>
      <c r="U563" t="s">
        <v>55</v>
      </c>
    </row>
    <row r="564" spans="1:22" x14ac:dyDescent="0.3">
      <c r="A564" t="s">
        <v>753</v>
      </c>
      <c r="B564" s="3">
        <v>45716</v>
      </c>
      <c r="C564" t="s">
        <v>95</v>
      </c>
      <c r="D564" t="s">
        <v>50</v>
      </c>
      <c r="E564" t="s">
        <v>119</v>
      </c>
      <c r="F564" t="s">
        <v>182</v>
      </c>
      <c r="G564" t="s">
        <v>183</v>
      </c>
      <c r="H564" t="s">
        <v>112</v>
      </c>
      <c r="I564" t="s">
        <v>113</v>
      </c>
      <c r="J564" t="s">
        <v>30</v>
      </c>
      <c r="K564" t="s">
        <v>31</v>
      </c>
      <c r="L564" s="2">
        <v>0.39930555555555558</v>
      </c>
      <c r="M564" s="2">
        <v>0.75</v>
      </c>
      <c r="N564">
        <v>8</v>
      </c>
      <c r="O564">
        <v>0</v>
      </c>
      <c r="P564" t="s">
        <v>32</v>
      </c>
      <c r="R564">
        <v>3</v>
      </c>
      <c r="S564" t="s">
        <v>45</v>
      </c>
      <c r="T564" t="s">
        <v>114</v>
      </c>
      <c r="U564" t="s">
        <v>85</v>
      </c>
    </row>
    <row r="565" spans="1:22" x14ac:dyDescent="0.3">
      <c r="A565" t="s">
        <v>754</v>
      </c>
      <c r="B565" s="1">
        <v>45710</v>
      </c>
      <c r="C565" t="s">
        <v>95</v>
      </c>
      <c r="D565" t="s">
        <v>50</v>
      </c>
      <c r="E565" t="s">
        <v>38</v>
      </c>
      <c r="F565" t="s">
        <v>148</v>
      </c>
      <c r="G565" t="s">
        <v>149</v>
      </c>
      <c r="H565" t="s">
        <v>112</v>
      </c>
      <c r="I565" t="s">
        <v>113</v>
      </c>
      <c r="J565" t="s">
        <v>43</v>
      </c>
      <c r="K565" t="s">
        <v>44</v>
      </c>
      <c r="L565" s="2">
        <v>0.38194444444444442</v>
      </c>
      <c r="M565" s="2">
        <v>0.75</v>
      </c>
      <c r="N565">
        <v>8</v>
      </c>
      <c r="O565">
        <v>0</v>
      </c>
      <c r="P565" t="s">
        <v>32</v>
      </c>
      <c r="R565">
        <v>3</v>
      </c>
      <c r="S565" t="s">
        <v>45</v>
      </c>
      <c r="T565" t="s">
        <v>114</v>
      </c>
      <c r="U565" t="s">
        <v>55</v>
      </c>
      <c r="V565" t="s">
        <v>60</v>
      </c>
    </row>
    <row r="566" spans="1:22" x14ac:dyDescent="0.3">
      <c r="A566" t="s">
        <v>755</v>
      </c>
      <c r="B566" s="3">
        <v>45721</v>
      </c>
      <c r="C566" t="s">
        <v>71</v>
      </c>
      <c r="D566" t="s">
        <v>50</v>
      </c>
      <c r="E566" t="s">
        <v>51</v>
      </c>
      <c r="F566" t="s">
        <v>151</v>
      </c>
      <c r="G566" t="s">
        <v>152</v>
      </c>
      <c r="H566" t="s">
        <v>98</v>
      </c>
      <c r="I566" t="s">
        <v>99</v>
      </c>
      <c r="J566" t="s">
        <v>30</v>
      </c>
      <c r="K566" t="s">
        <v>81</v>
      </c>
      <c r="L566" s="2">
        <v>0.91666666666666663</v>
      </c>
      <c r="M566" s="2">
        <v>0.29166666666666669</v>
      </c>
      <c r="N566">
        <v>9.5</v>
      </c>
      <c r="O566">
        <v>1.5</v>
      </c>
      <c r="P566" t="s">
        <v>32</v>
      </c>
      <c r="R566">
        <v>3</v>
      </c>
      <c r="S566" t="s">
        <v>92</v>
      </c>
      <c r="T566" t="s">
        <v>101</v>
      </c>
      <c r="U566" t="s">
        <v>85</v>
      </c>
      <c r="V566" t="s">
        <v>35</v>
      </c>
    </row>
    <row r="567" spans="1:22" x14ac:dyDescent="0.3">
      <c r="A567" t="s">
        <v>756</v>
      </c>
      <c r="B567" s="1">
        <v>45753</v>
      </c>
      <c r="C567" t="s">
        <v>37</v>
      </c>
      <c r="D567" t="s">
        <v>24</v>
      </c>
      <c r="E567" t="s">
        <v>103</v>
      </c>
      <c r="F567" t="s">
        <v>215</v>
      </c>
      <c r="G567" t="s">
        <v>216</v>
      </c>
      <c r="H567" t="s">
        <v>79</v>
      </c>
      <c r="I567" t="s">
        <v>80</v>
      </c>
      <c r="J567" t="s">
        <v>30</v>
      </c>
      <c r="K567" t="s">
        <v>81</v>
      </c>
      <c r="L567" s="2">
        <v>0.91666666666666663</v>
      </c>
      <c r="M567" s="2">
        <v>0.29166666666666669</v>
      </c>
      <c r="N567">
        <v>9</v>
      </c>
      <c r="O567">
        <v>1</v>
      </c>
      <c r="P567" t="s">
        <v>32</v>
      </c>
      <c r="R567">
        <v>4</v>
      </c>
      <c r="S567" t="s">
        <v>33</v>
      </c>
      <c r="T567" t="s">
        <v>84</v>
      </c>
      <c r="V567" t="s">
        <v>69</v>
      </c>
    </row>
    <row r="568" spans="1:22" x14ac:dyDescent="0.3">
      <c r="A568" t="s">
        <v>757</v>
      </c>
      <c r="B568" s="3">
        <v>45694</v>
      </c>
      <c r="C568" t="s">
        <v>95</v>
      </c>
      <c r="D568" t="s">
        <v>50</v>
      </c>
      <c r="E568" t="s">
        <v>25</v>
      </c>
      <c r="F568" t="s">
        <v>275</v>
      </c>
      <c r="G568" t="s">
        <v>276</v>
      </c>
      <c r="H568" t="s">
        <v>64</v>
      </c>
      <c r="I568" t="s">
        <v>65</v>
      </c>
      <c r="J568" t="s">
        <v>100</v>
      </c>
      <c r="K568" t="s">
        <v>31</v>
      </c>
      <c r="L568" s="2">
        <v>0.375</v>
      </c>
      <c r="M568" s="2">
        <v>0.75</v>
      </c>
      <c r="N568">
        <v>9</v>
      </c>
      <c r="O568">
        <v>1</v>
      </c>
      <c r="P568" t="s">
        <v>32</v>
      </c>
      <c r="S568" t="s">
        <v>45</v>
      </c>
      <c r="T568" t="s">
        <v>68</v>
      </c>
      <c r="U568" t="s">
        <v>47</v>
      </c>
    </row>
    <row r="569" spans="1:22" x14ac:dyDescent="0.3">
      <c r="A569" t="s">
        <v>758</v>
      </c>
      <c r="B569" s="1">
        <v>45735</v>
      </c>
      <c r="C569" t="s">
        <v>71</v>
      </c>
      <c r="D569" t="s">
        <v>50</v>
      </c>
      <c r="E569" t="s">
        <v>51</v>
      </c>
      <c r="F569" t="s">
        <v>288</v>
      </c>
      <c r="G569" t="s">
        <v>289</v>
      </c>
      <c r="H569" t="s">
        <v>28</v>
      </c>
      <c r="I569" t="s">
        <v>29</v>
      </c>
      <c r="J569" t="s">
        <v>74</v>
      </c>
      <c r="K569" t="s">
        <v>81</v>
      </c>
      <c r="L569" s="2">
        <v>0.91666666666666663</v>
      </c>
      <c r="M569" s="2">
        <v>0.29166666666666669</v>
      </c>
      <c r="N569">
        <v>9</v>
      </c>
      <c r="O569">
        <v>1</v>
      </c>
      <c r="P569" t="s">
        <v>32</v>
      </c>
      <c r="R569">
        <v>4</v>
      </c>
      <c r="S569" t="s">
        <v>45</v>
      </c>
      <c r="T569" t="s">
        <v>34</v>
      </c>
      <c r="U569" t="s">
        <v>47</v>
      </c>
      <c r="V569" t="s">
        <v>69</v>
      </c>
    </row>
    <row r="570" spans="1:22" x14ac:dyDescent="0.3">
      <c r="A570" t="s">
        <v>759</v>
      </c>
      <c r="B570" s="1">
        <v>45777</v>
      </c>
      <c r="C570" t="s">
        <v>37</v>
      </c>
      <c r="D570" t="s">
        <v>24</v>
      </c>
      <c r="E570" t="s">
        <v>51</v>
      </c>
      <c r="F570" t="s">
        <v>110</v>
      </c>
      <c r="G570" t="s">
        <v>111</v>
      </c>
      <c r="H570" t="s">
        <v>112</v>
      </c>
      <c r="I570" t="s">
        <v>113</v>
      </c>
      <c r="J570" t="s">
        <v>43</v>
      </c>
      <c r="K570" t="s">
        <v>31</v>
      </c>
      <c r="L570" s="2">
        <v>0.38194444444444442</v>
      </c>
      <c r="M570" s="2">
        <v>0.75</v>
      </c>
      <c r="N570">
        <v>8</v>
      </c>
      <c r="O570">
        <v>0</v>
      </c>
      <c r="P570" t="s">
        <v>32</v>
      </c>
      <c r="R570">
        <v>4</v>
      </c>
      <c r="S570" t="s">
        <v>67</v>
      </c>
      <c r="T570" t="s">
        <v>114</v>
      </c>
      <c r="V570" t="s">
        <v>35</v>
      </c>
    </row>
    <row r="571" spans="1:22" x14ac:dyDescent="0.3">
      <c r="A571" t="s">
        <v>760</v>
      </c>
      <c r="B571" s="1">
        <v>45790</v>
      </c>
      <c r="C571" t="s">
        <v>57</v>
      </c>
      <c r="D571" t="s">
        <v>24</v>
      </c>
      <c r="E571" t="s">
        <v>87</v>
      </c>
      <c r="F571" t="s">
        <v>266</v>
      </c>
      <c r="G571" t="s">
        <v>267</v>
      </c>
      <c r="H571" t="s">
        <v>98</v>
      </c>
      <c r="I571" t="s">
        <v>99</v>
      </c>
      <c r="J571" t="s">
        <v>66</v>
      </c>
      <c r="K571" t="s">
        <v>31</v>
      </c>
      <c r="L571" s="2">
        <v>0.375</v>
      </c>
      <c r="M571" s="2">
        <v>0.75</v>
      </c>
      <c r="N571">
        <v>8</v>
      </c>
      <c r="O571">
        <v>0</v>
      </c>
      <c r="P571" t="s">
        <v>32</v>
      </c>
      <c r="R571">
        <v>5</v>
      </c>
      <c r="S571" t="s">
        <v>92</v>
      </c>
      <c r="T571" t="s">
        <v>101</v>
      </c>
      <c r="U571" t="s">
        <v>55</v>
      </c>
      <c r="V571" t="s">
        <v>35</v>
      </c>
    </row>
    <row r="572" spans="1:22" x14ac:dyDescent="0.3">
      <c r="A572" t="s">
        <v>761</v>
      </c>
      <c r="B572" s="1">
        <v>45713</v>
      </c>
      <c r="C572" t="s">
        <v>95</v>
      </c>
      <c r="D572" t="s">
        <v>50</v>
      </c>
      <c r="E572" t="s">
        <v>87</v>
      </c>
      <c r="F572" t="s">
        <v>120</v>
      </c>
      <c r="G572" t="s">
        <v>121</v>
      </c>
      <c r="H572" t="s">
        <v>41</v>
      </c>
      <c r="I572" t="s">
        <v>42</v>
      </c>
      <c r="J572" t="s">
        <v>74</v>
      </c>
      <c r="K572" t="s">
        <v>54</v>
      </c>
      <c r="L572" s="2">
        <v>0.375</v>
      </c>
      <c r="M572" s="2">
        <v>0.75</v>
      </c>
      <c r="N572">
        <v>8</v>
      </c>
      <c r="O572">
        <v>0</v>
      </c>
      <c r="P572" t="s">
        <v>32</v>
      </c>
      <c r="R572">
        <v>3</v>
      </c>
      <c r="S572" t="s">
        <v>67</v>
      </c>
      <c r="T572" t="s">
        <v>46</v>
      </c>
    </row>
    <row r="573" spans="1:22" x14ac:dyDescent="0.3">
      <c r="A573" t="s">
        <v>762</v>
      </c>
      <c r="B573" s="1">
        <v>45688</v>
      </c>
      <c r="C573" t="s">
        <v>49</v>
      </c>
      <c r="D573" t="s">
        <v>50</v>
      </c>
      <c r="E573" t="s">
        <v>119</v>
      </c>
      <c r="F573" t="s">
        <v>173</v>
      </c>
      <c r="G573" t="s">
        <v>174</v>
      </c>
      <c r="H573" t="s">
        <v>90</v>
      </c>
      <c r="I573" t="s">
        <v>91</v>
      </c>
      <c r="J573" t="s">
        <v>74</v>
      </c>
      <c r="K573" t="s">
        <v>75</v>
      </c>
      <c r="P573" t="s">
        <v>135</v>
      </c>
      <c r="S573" t="s">
        <v>67</v>
      </c>
      <c r="T573" t="s">
        <v>93</v>
      </c>
      <c r="U573" t="s">
        <v>55</v>
      </c>
      <c r="V573" t="s">
        <v>69</v>
      </c>
    </row>
    <row r="574" spans="1:22" x14ac:dyDescent="0.3">
      <c r="A574" t="s">
        <v>763</v>
      </c>
      <c r="B574" s="3">
        <v>45718</v>
      </c>
      <c r="C574" t="s">
        <v>71</v>
      </c>
      <c r="D574" t="s">
        <v>50</v>
      </c>
      <c r="E574" t="s">
        <v>103</v>
      </c>
      <c r="F574" t="s">
        <v>77</v>
      </c>
      <c r="G574" t="s">
        <v>78</v>
      </c>
      <c r="H574" t="s">
        <v>79</v>
      </c>
      <c r="I574" t="s">
        <v>80</v>
      </c>
      <c r="J574" t="s">
        <v>30</v>
      </c>
      <c r="K574" t="s">
        <v>44</v>
      </c>
      <c r="L574" s="2">
        <v>0.375</v>
      </c>
      <c r="M574" s="2">
        <v>0.75</v>
      </c>
      <c r="N574">
        <v>8</v>
      </c>
      <c r="O574">
        <v>0</v>
      </c>
      <c r="P574" t="s">
        <v>32</v>
      </c>
      <c r="R574">
        <v>5</v>
      </c>
      <c r="S574" t="s">
        <v>67</v>
      </c>
      <c r="T574" t="s">
        <v>84</v>
      </c>
      <c r="U574" t="s">
        <v>85</v>
      </c>
      <c r="V574" t="s">
        <v>69</v>
      </c>
    </row>
    <row r="575" spans="1:22" x14ac:dyDescent="0.3">
      <c r="A575" t="s">
        <v>764</v>
      </c>
      <c r="B575" s="3">
        <v>45749</v>
      </c>
      <c r="C575" t="s">
        <v>37</v>
      </c>
      <c r="D575" t="s">
        <v>24</v>
      </c>
      <c r="E575" t="s">
        <v>51</v>
      </c>
      <c r="F575" t="s">
        <v>309</v>
      </c>
      <c r="G575" t="s">
        <v>310</v>
      </c>
      <c r="H575" t="s">
        <v>28</v>
      </c>
      <c r="I575" t="s">
        <v>29</v>
      </c>
      <c r="J575" t="s">
        <v>43</v>
      </c>
      <c r="K575" t="s">
        <v>31</v>
      </c>
      <c r="L575" s="2">
        <v>0.375</v>
      </c>
      <c r="M575" s="2">
        <v>0.75</v>
      </c>
      <c r="N575">
        <v>8</v>
      </c>
      <c r="O575">
        <v>0</v>
      </c>
      <c r="P575" t="s">
        <v>32</v>
      </c>
      <c r="R575">
        <v>3</v>
      </c>
      <c r="S575" t="s">
        <v>67</v>
      </c>
      <c r="T575" t="s">
        <v>34</v>
      </c>
      <c r="U575" t="s">
        <v>55</v>
      </c>
      <c r="V575" t="s">
        <v>69</v>
      </c>
    </row>
    <row r="576" spans="1:22" x14ac:dyDescent="0.3">
      <c r="A576" t="s">
        <v>765</v>
      </c>
      <c r="B576" s="3">
        <v>45782</v>
      </c>
      <c r="C576" t="s">
        <v>57</v>
      </c>
      <c r="D576" t="s">
        <v>24</v>
      </c>
      <c r="E576" t="s">
        <v>109</v>
      </c>
      <c r="F576" t="s">
        <v>88</v>
      </c>
      <c r="G576" t="s">
        <v>89</v>
      </c>
      <c r="H576" t="s">
        <v>90</v>
      </c>
      <c r="I576" t="s">
        <v>91</v>
      </c>
      <c r="J576" t="s">
        <v>43</v>
      </c>
      <c r="K576" t="s">
        <v>81</v>
      </c>
      <c r="L576" s="2">
        <v>0.91666666666666663</v>
      </c>
      <c r="M576" s="2">
        <v>0.29166666666666669</v>
      </c>
      <c r="N576">
        <v>10</v>
      </c>
      <c r="O576">
        <v>2</v>
      </c>
      <c r="P576" t="s">
        <v>32</v>
      </c>
      <c r="R576">
        <v>4</v>
      </c>
      <c r="S576" t="s">
        <v>92</v>
      </c>
      <c r="T576" t="s">
        <v>93</v>
      </c>
      <c r="U576" t="s">
        <v>55</v>
      </c>
      <c r="V576" t="s">
        <v>35</v>
      </c>
    </row>
    <row r="577" spans="1:22" x14ac:dyDescent="0.3">
      <c r="A577" t="s">
        <v>766</v>
      </c>
      <c r="B577" s="3">
        <v>45771</v>
      </c>
      <c r="C577" t="s">
        <v>37</v>
      </c>
      <c r="D577" t="s">
        <v>24</v>
      </c>
      <c r="E577" t="s">
        <v>25</v>
      </c>
      <c r="F577" t="s">
        <v>240</v>
      </c>
      <c r="G577" t="s">
        <v>241</v>
      </c>
      <c r="H577" t="s">
        <v>41</v>
      </c>
      <c r="I577" t="s">
        <v>42</v>
      </c>
      <c r="J577" t="s">
        <v>66</v>
      </c>
      <c r="K577" t="s">
        <v>54</v>
      </c>
      <c r="L577" s="2">
        <v>0.375</v>
      </c>
      <c r="M577" s="2">
        <v>0.75</v>
      </c>
      <c r="N577">
        <v>8</v>
      </c>
      <c r="O577">
        <v>0</v>
      </c>
      <c r="P577" t="s">
        <v>32</v>
      </c>
      <c r="S577" t="s">
        <v>67</v>
      </c>
      <c r="T577" t="s">
        <v>46</v>
      </c>
      <c r="U577" t="s">
        <v>55</v>
      </c>
    </row>
    <row r="578" spans="1:22" x14ac:dyDescent="0.3">
      <c r="A578" t="s">
        <v>767</v>
      </c>
      <c r="B578" s="3">
        <v>45730</v>
      </c>
      <c r="C578" t="s">
        <v>71</v>
      </c>
      <c r="D578" t="s">
        <v>50</v>
      </c>
      <c r="E578" t="s">
        <v>119</v>
      </c>
      <c r="F578" t="s">
        <v>96</v>
      </c>
      <c r="G578" t="s">
        <v>97</v>
      </c>
      <c r="H578" t="s">
        <v>98</v>
      </c>
      <c r="I578" t="s">
        <v>99</v>
      </c>
      <c r="J578" t="s">
        <v>100</v>
      </c>
      <c r="K578" t="s">
        <v>44</v>
      </c>
      <c r="L578" s="2">
        <v>0.375</v>
      </c>
      <c r="M578" s="2">
        <v>0.75</v>
      </c>
      <c r="N578">
        <v>8</v>
      </c>
      <c r="O578">
        <v>0</v>
      </c>
      <c r="P578" t="s">
        <v>32</v>
      </c>
      <c r="R578">
        <v>3</v>
      </c>
      <c r="S578" t="s">
        <v>67</v>
      </c>
      <c r="T578" t="s">
        <v>101</v>
      </c>
      <c r="V578" t="s">
        <v>69</v>
      </c>
    </row>
    <row r="579" spans="1:22" x14ac:dyDescent="0.3">
      <c r="A579" t="s">
        <v>768</v>
      </c>
      <c r="B579" s="3">
        <v>45781</v>
      </c>
      <c r="C579" t="s">
        <v>57</v>
      </c>
      <c r="D579" t="s">
        <v>24</v>
      </c>
      <c r="E579" t="s">
        <v>103</v>
      </c>
      <c r="F579" t="s">
        <v>354</v>
      </c>
      <c r="G579" t="s">
        <v>355</v>
      </c>
      <c r="H579" t="s">
        <v>28</v>
      </c>
      <c r="I579" t="s">
        <v>29</v>
      </c>
      <c r="J579" t="s">
        <v>100</v>
      </c>
      <c r="K579" t="s">
        <v>54</v>
      </c>
      <c r="L579" s="2">
        <v>0.375</v>
      </c>
      <c r="M579" s="2">
        <v>0.75</v>
      </c>
      <c r="N579">
        <v>8</v>
      </c>
      <c r="O579">
        <v>0</v>
      </c>
      <c r="P579" t="s">
        <v>32</v>
      </c>
      <c r="R579">
        <v>4</v>
      </c>
      <c r="S579" t="s">
        <v>92</v>
      </c>
      <c r="T579" t="s">
        <v>34</v>
      </c>
      <c r="U579" t="s">
        <v>85</v>
      </c>
      <c r="V579" t="s">
        <v>35</v>
      </c>
    </row>
    <row r="580" spans="1:22" x14ac:dyDescent="0.3">
      <c r="A580" t="s">
        <v>769</v>
      </c>
      <c r="B580" s="3">
        <v>45836</v>
      </c>
      <c r="C580" t="s">
        <v>23</v>
      </c>
      <c r="D580" t="s">
        <v>24</v>
      </c>
      <c r="E580" t="s">
        <v>38</v>
      </c>
      <c r="F580" t="s">
        <v>96</v>
      </c>
      <c r="G580" t="s">
        <v>97</v>
      </c>
      <c r="H580" t="s">
        <v>98</v>
      </c>
      <c r="I580" t="s">
        <v>99</v>
      </c>
      <c r="J580" t="s">
        <v>100</v>
      </c>
      <c r="K580" t="s">
        <v>31</v>
      </c>
      <c r="L580" s="2">
        <v>0.375</v>
      </c>
      <c r="M580" s="2">
        <v>0.75</v>
      </c>
      <c r="N580">
        <v>8</v>
      </c>
      <c r="O580">
        <v>0</v>
      </c>
      <c r="P580" t="s">
        <v>32</v>
      </c>
      <c r="R580">
        <v>5</v>
      </c>
      <c r="S580" t="s">
        <v>92</v>
      </c>
      <c r="T580" t="s">
        <v>101</v>
      </c>
      <c r="U580" t="s">
        <v>47</v>
      </c>
    </row>
    <row r="581" spans="1:22" x14ac:dyDescent="0.3">
      <c r="A581" t="s">
        <v>770</v>
      </c>
      <c r="B581" s="3">
        <v>45694</v>
      </c>
      <c r="C581" t="s">
        <v>95</v>
      </c>
      <c r="D581" t="s">
        <v>50</v>
      </c>
      <c r="E581" t="s">
        <v>25</v>
      </c>
      <c r="F581" t="s">
        <v>220</v>
      </c>
      <c r="G581" t="s">
        <v>221</v>
      </c>
      <c r="H581" t="s">
        <v>79</v>
      </c>
      <c r="I581" t="s">
        <v>80</v>
      </c>
      <c r="J581" t="s">
        <v>100</v>
      </c>
      <c r="K581" t="s">
        <v>54</v>
      </c>
      <c r="L581" s="2">
        <v>0.375</v>
      </c>
      <c r="M581" s="2">
        <v>0.75</v>
      </c>
      <c r="N581">
        <v>8</v>
      </c>
      <c r="O581">
        <v>0</v>
      </c>
      <c r="P581" t="s">
        <v>32</v>
      </c>
      <c r="R581">
        <v>5</v>
      </c>
      <c r="S581" t="s">
        <v>67</v>
      </c>
      <c r="T581" t="s">
        <v>84</v>
      </c>
      <c r="U581" t="s">
        <v>55</v>
      </c>
      <c r="V581" t="s">
        <v>69</v>
      </c>
    </row>
    <row r="582" spans="1:22" x14ac:dyDescent="0.3">
      <c r="A582" t="s">
        <v>771</v>
      </c>
      <c r="B582" s="3">
        <v>45687</v>
      </c>
      <c r="C582" t="s">
        <v>49</v>
      </c>
      <c r="D582" t="s">
        <v>50</v>
      </c>
      <c r="E582" t="s">
        <v>25</v>
      </c>
      <c r="F582" t="s">
        <v>159</v>
      </c>
      <c r="G582" t="s">
        <v>160</v>
      </c>
      <c r="H582" t="s">
        <v>64</v>
      </c>
      <c r="I582" t="s">
        <v>65</v>
      </c>
      <c r="J582" t="s">
        <v>100</v>
      </c>
      <c r="K582" t="s">
        <v>54</v>
      </c>
      <c r="L582" s="2">
        <v>0.375</v>
      </c>
      <c r="M582" s="2">
        <v>0.75</v>
      </c>
      <c r="N582">
        <v>8.5</v>
      </c>
      <c r="O582">
        <v>0.5</v>
      </c>
      <c r="P582" t="s">
        <v>32</v>
      </c>
      <c r="R582">
        <v>4</v>
      </c>
      <c r="S582" t="s">
        <v>45</v>
      </c>
      <c r="T582" t="s">
        <v>68</v>
      </c>
      <c r="U582" t="s">
        <v>55</v>
      </c>
    </row>
    <row r="583" spans="1:22" x14ac:dyDescent="0.3">
      <c r="A583" t="s">
        <v>772</v>
      </c>
      <c r="B583" s="1">
        <v>45667</v>
      </c>
      <c r="C583" t="s">
        <v>49</v>
      </c>
      <c r="D583" t="s">
        <v>50</v>
      </c>
      <c r="E583" t="s">
        <v>119</v>
      </c>
      <c r="F583" t="s">
        <v>116</v>
      </c>
      <c r="G583" t="s">
        <v>117</v>
      </c>
      <c r="H583" t="s">
        <v>112</v>
      </c>
      <c r="I583" t="s">
        <v>113</v>
      </c>
      <c r="J583" t="s">
        <v>100</v>
      </c>
      <c r="K583" t="s">
        <v>54</v>
      </c>
      <c r="L583" s="2">
        <v>0.375</v>
      </c>
      <c r="M583" s="2">
        <v>0.75</v>
      </c>
      <c r="N583">
        <v>8</v>
      </c>
      <c r="O583">
        <v>0</v>
      </c>
      <c r="P583" t="s">
        <v>32</v>
      </c>
      <c r="R583">
        <v>4</v>
      </c>
      <c r="S583" t="s">
        <v>33</v>
      </c>
      <c r="T583" t="s">
        <v>114</v>
      </c>
      <c r="V583" t="s">
        <v>69</v>
      </c>
    </row>
    <row r="584" spans="1:22" x14ac:dyDescent="0.3">
      <c r="A584" t="s">
        <v>773</v>
      </c>
      <c r="B584" s="1">
        <v>45796</v>
      </c>
      <c r="C584" t="s">
        <v>57</v>
      </c>
      <c r="D584" t="s">
        <v>24</v>
      </c>
      <c r="E584" t="s">
        <v>109</v>
      </c>
      <c r="F584" t="s">
        <v>207</v>
      </c>
      <c r="G584" t="s">
        <v>208</v>
      </c>
      <c r="H584" t="s">
        <v>64</v>
      </c>
      <c r="I584" t="s">
        <v>65</v>
      </c>
      <c r="J584" t="s">
        <v>30</v>
      </c>
      <c r="K584" t="s">
        <v>81</v>
      </c>
      <c r="M584" s="2">
        <v>0.29166666666666669</v>
      </c>
      <c r="N584">
        <v>9.5</v>
      </c>
      <c r="O584">
        <v>1.5</v>
      </c>
      <c r="P584" t="s">
        <v>32</v>
      </c>
      <c r="R584">
        <v>4</v>
      </c>
      <c r="S584" t="s">
        <v>33</v>
      </c>
      <c r="T584" t="s">
        <v>68</v>
      </c>
      <c r="V584" t="s">
        <v>69</v>
      </c>
    </row>
    <row r="585" spans="1:22" x14ac:dyDescent="0.3">
      <c r="A585" t="s">
        <v>774</v>
      </c>
      <c r="B585" s="1">
        <v>45820</v>
      </c>
      <c r="C585" t="s">
        <v>23</v>
      </c>
      <c r="D585" t="s">
        <v>24</v>
      </c>
      <c r="E585" t="s">
        <v>25</v>
      </c>
      <c r="F585" t="s">
        <v>182</v>
      </c>
      <c r="G585" t="s">
        <v>183</v>
      </c>
      <c r="H585" t="s">
        <v>112</v>
      </c>
      <c r="I585" t="s">
        <v>113</v>
      </c>
      <c r="J585" t="s">
        <v>30</v>
      </c>
      <c r="K585" t="s">
        <v>81</v>
      </c>
      <c r="L585" s="2">
        <v>0.39930555555555558</v>
      </c>
      <c r="M585" s="2">
        <v>0.29166666666666669</v>
      </c>
      <c r="N585">
        <v>9</v>
      </c>
      <c r="O585">
        <v>1</v>
      </c>
      <c r="P585" t="s">
        <v>32</v>
      </c>
      <c r="R585">
        <v>3</v>
      </c>
      <c r="S585" t="s">
        <v>45</v>
      </c>
      <c r="T585" t="s">
        <v>114</v>
      </c>
      <c r="V585" t="s">
        <v>60</v>
      </c>
    </row>
    <row r="586" spans="1:22" x14ac:dyDescent="0.3">
      <c r="A586" t="s">
        <v>775</v>
      </c>
      <c r="B586" s="3">
        <v>45792</v>
      </c>
      <c r="C586" t="s">
        <v>57</v>
      </c>
      <c r="D586" t="s">
        <v>24</v>
      </c>
      <c r="E586" t="s">
        <v>25</v>
      </c>
      <c r="F586" t="s">
        <v>288</v>
      </c>
      <c r="G586" t="s">
        <v>289</v>
      </c>
      <c r="H586" t="s">
        <v>28</v>
      </c>
      <c r="I586" t="s">
        <v>29</v>
      </c>
      <c r="J586" t="s">
        <v>74</v>
      </c>
      <c r="K586" t="s">
        <v>31</v>
      </c>
      <c r="L586" s="2">
        <v>0.375</v>
      </c>
      <c r="M586" s="2">
        <v>0.75</v>
      </c>
      <c r="N586">
        <v>8</v>
      </c>
      <c r="O586">
        <v>0</v>
      </c>
      <c r="P586" t="s">
        <v>32</v>
      </c>
      <c r="R586">
        <v>4</v>
      </c>
      <c r="S586" t="s">
        <v>45</v>
      </c>
      <c r="T586" t="s">
        <v>34</v>
      </c>
      <c r="U586" t="s">
        <v>85</v>
      </c>
      <c r="V586" t="s">
        <v>69</v>
      </c>
    </row>
    <row r="587" spans="1:22" x14ac:dyDescent="0.3">
      <c r="A587" t="s">
        <v>776</v>
      </c>
      <c r="B587" s="1">
        <v>45727</v>
      </c>
      <c r="C587" t="s">
        <v>71</v>
      </c>
      <c r="D587" t="s">
        <v>50</v>
      </c>
      <c r="E587" t="s">
        <v>87</v>
      </c>
      <c r="F587" t="s">
        <v>110</v>
      </c>
      <c r="G587" t="s">
        <v>111</v>
      </c>
      <c r="H587" t="s">
        <v>112</v>
      </c>
      <c r="I587" t="s">
        <v>113</v>
      </c>
      <c r="J587" t="s">
        <v>43</v>
      </c>
      <c r="K587" t="s">
        <v>75</v>
      </c>
      <c r="L587" s="2">
        <v>0.38194444444444442</v>
      </c>
      <c r="M587" s="2">
        <v>0.75</v>
      </c>
      <c r="N587">
        <v>8</v>
      </c>
      <c r="O587">
        <v>0</v>
      </c>
      <c r="P587" t="s">
        <v>32</v>
      </c>
      <c r="R587">
        <v>3</v>
      </c>
      <c r="S587" t="s">
        <v>92</v>
      </c>
      <c r="T587" t="s">
        <v>114</v>
      </c>
      <c r="U587" t="s">
        <v>55</v>
      </c>
      <c r="V587" t="s">
        <v>60</v>
      </c>
    </row>
    <row r="588" spans="1:22" x14ac:dyDescent="0.3">
      <c r="A588" t="s">
        <v>777</v>
      </c>
      <c r="B588" s="3">
        <v>45686</v>
      </c>
      <c r="C588" t="s">
        <v>49</v>
      </c>
      <c r="D588" t="s">
        <v>50</v>
      </c>
      <c r="E588" t="s">
        <v>51</v>
      </c>
      <c r="F588" t="s">
        <v>104</v>
      </c>
      <c r="G588" t="s">
        <v>105</v>
      </c>
      <c r="H588" t="s">
        <v>28</v>
      </c>
      <c r="I588" t="s">
        <v>29</v>
      </c>
      <c r="J588" t="s">
        <v>30</v>
      </c>
      <c r="K588" t="s">
        <v>31</v>
      </c>
      <c r="L588" s="2">
        <v>0.375</v>
      </c>
      <c r="M588" s="2">
        <v>0.75</v>
      </c>
      <c r="N588">
        <v>8</v>
      </c>
      <c r="O588">
        <v>0</v>
      </c>
      <c r="P588" t="s">
        <v>32</v>
      </c>
      <c r="R588">
        <v>4</v>
      </c>
      <c r="S588" t="s">
        <v>92</v>
      </c>
      <c r="T588" t="s">
        <v>34</v>
      </c>
      <c r="U588" t="s">
        <v>47</v>
      </c>
      <c r="V588" t="s">
        <v>60</v>
      </c>
    </row>
    <row r="589" spans="1:22" x14ac:dyDescent="0.3">
      <c r="A589" t="s">
        <v>778</v>
      </c>
      <c r="B589" s="3">
        <v>45739</v>
      </c>
      <c r="C589" t="s">
        <v>71</v>
      </c>
      <c r="D589" t="s">
        <v>50</v>
      </c>
      <c r="E589" t="s">
        <v>103</v>
      </c>
      <c r="F589" t="s">
        <v>305</v>
      </c>
      <c r="G589" t="s">
        <v>306</v>
      </c>
      <c r="H589" t="s">
        <v>79</v>
      </c>
      <c r="I589" t="s">
        <v>80</v>
      </c>
      <c r="J589" t="s">
        <v>74</v>
      </c>
      <c r="K589" t="s">
        <v>31</v>
      </c>
      <c r="P589" t="s">
        <v>82</v>
      </c>
      <c r="Q589" t="s">
        <v>225</v>
      </c>
      <c r="S589" t="s">
        <v>33</v>
      </c>
      <c r="T589" t="s">
        <v>84</v>
      </c>
      <c r="U589" t="s">
        <v>55</v>
      </c>
      <c r="V589" t="s">
        <v>35</v>
      </c>
    </row>
    <row r="590" spans="1:22" x14ac:dyDescent="0.3">
      <c r="A590" t="s">
        <v>779</v>
      </c>
      <c r="B590" s="3">
        <v>45682</v>
      </c>
      <c r="C590" t="s">
        <v>49</v>
      </c>
      <c r="D590" t="s">
        <v>50</v>
      </c>
      <c r="E590" t="s">
        <v>38</v>
      </c>
      <c r="F590" t="s">
        <v>88</v>
      </c>
      <c r="G590" t="s">
        <v>89</v>
      </c>
      <c r="H590" t="s">
        <v>90</v>
      </c>
      <c r="I590" t="s">
        <v>91</v>
      </c>
      <c r="J590" t="s">
        <v>43</v>
      </c>
      <c r="K590" t="s">
        <v>81</v>
      </c>
      <c r="L590" s="2">
        <v>0.91666666666666663</v>
      </c>
      <c r="N590">
        <v>9.5</v>
      </c>
      <c r="O590">
        <v>1.5</v>
      </c>
      <c r="P590" t="s">
        <v>32</v>
      </c>
      <c r="R590">
        <v>4</v>
      </c>
      <c r="S590" t="s">
        <v>45</v>
      </c>
      <c r="T590" t="s">
        <v>93</v>
      </c>
      <c r="U590" t="s">
        <v>55</v>
      </c>
      <c r="V590" t="s">
        <v>69</v>
      </c>
    </row>
    <row r="591" spans="1:22" x14ac:dyDescent="0.3">
      <c r="A591" t="s">
        <v>780</v>
      </c>
      <c r="B591" s="3">
        <v>45815</v>
      </c>
      <c r="C591" t="s">
        <v>23</v>
      </c>
      <c r="D591" t="s">
        <v>24</v>
      </c>
      <c r="E591" t="s">
        <v>38</v>
      </c>
      <c r="F591" t="s">
        <v>504</v>
      </c>
      <c r="G591" t="s">
        <v>505</v>
      </c>
      <c r="H591" t="s">
        <v>98</v>
      </c>
      <c r="I591" t="s">
        <v>99</v>
      </c>
      <c r="J591" t="s">
        <v>100</v>
      </c>
      <c r="K591" t="s">
        <v>31</v>
      </c>
      <c r="L591" s="2">
        <v>0.375</v>
      </c>
      <c r="M591" s="2">
        <v>0.75</v>
      </c>
      <c r="N591">
        <v>8</v>
      </c>
      <c r="O591">
        <v>0</v>
      </c>
      <c r="P591" t="s">
        <v>32</v>
      </c>
      <c r="R591">
        <v>4</v>
      </c>
      <c r="S591" t="s">
        <v>45</v>
      </c>
      <c r="T591" t="s">
        <v>101</v>
      </c>
      <c r="U591" t="s">
        <v>55</v>
      </c>
      <c r="V591" t="s">
        <v>69</v>
      </c>
    </row>
    <row r="592" spans="1:22" x14ac:dyDescent="0.3">
      <c r="A592" t="s">
        <v>781</v>
      </c>
      <c r="B592" s="1">
        <v>45771</v>
      </c>
      <c r="C592" t="s">
        <v>37</v>
      </c>
      <c r="D592" t="s">
        <v>24</v>
      </c>
      <c r="E592" t="s">
        <v>25</v>
      </c>
      <c r="F592" t="s">
        <v>309</v>
      </c>
      <c r="G592" t="s">
        <v>310</v>
      </c>
      <c r="H592" t="s">
        <v>28</v>
      </c>
      <c r="I592" t="s">
        <v>29</v>
      </c>
      <c r="J592" t="s">
        <v>43</v>
      </c>
      <c r="K592" t="s">
        <v>31</v>
      </c>
      <c r="L592" s="2">
        <v>0.375</v>
      </c>
      <c r="M592" s="2">
        <v>0.75</v>
      </c>
      <c r="N592">
        <v>8</v>
      </c>
      <c r="O592">
        <v>0</v>
      </c>
      <c r="P592" t="s">
        <v>32</v>
      </c>
      <c r="R592">
        <v>4</v>
      </c>
      <c r="S592" t="s">
        <v>67</v>
      </c>
      <c r="T592" t="s">
        <v>34</v>
      </c>
    </row>
    <row r="593" spans="1:22" x14ac:dyDescent="0.3">
      <c r="A593" t="s">
        <v>782</v>
      </c>
      <c r="B593" s="3">
        <v>45684</v>
      </c>
      <c r="C593" t="s">
        <v>49</v>
      </c>
      <c r="D593" t="s">
        <v>50</v>
      </c>
      <c r="E593" t="s">
        <v>109</v>
      </c>
      <c r="F593" t="s">
        <v>124</v>
      </c>
      <c r="G593" t="s">
        <v>125</v>
      </c>
      <c r="H593" t="s">
        <v>28</v>
      </c>
      <c r="I593" t="s">
        <v>29</v>
      </c>
      <c r="J593" t="s">
        <v>66</v>
      </c>
      <c r="K593" t="s">
        <v>44</v>
      </c>
      <c r="P593" t="s">
        <v>82</v>
      </c>
      <c r="Q593" t="s">
        <v>225</v>
      </c>
      <c r="S593" t="s">
        <v>33</v>
      </c>
      <c r="T593" t="s">
        <v>34</v>
      </c>
      <c r="V593" t="s">
        <v>35</v>
      </c>
    </row>
    <row r="594" spans="1:22" x14ac:dyDescent="0.3">
      <c r="A594" t="s">
        <v>783</v>
      </c>
      <c r="B594" s="3">
        <v>45826</v>
      </c>
      <c r="C594" t="s">
        <v>23</v>
      </c>
      <c r="D594" t="s">
        <v>24</v>
      </c>
      <c r="E594" t="s">
        <v>51</v>
      </c>
      <c r="F594" t="s">
        <v>275</v>
      </c>
      <c r="G594" t="s">
        <v>276</v>
      </c>
      <c r="H594" t="s">
        <v>64</v>
      </c>
      <c r="I594" t="s">
        <v>65</v>
      </c>
      <c r="J594" t="s">
        <v>100</v>
      </c>
      <c r="K594" t="s">
        <v>44</v>
      </c>
      <c r="L594" s="2">
        <v>0.375</v>
      </c>
      <c r="M594" s="2">
        <v>0.75</v>
      </c>
      <c r="N594">
        <v>9</v>
      </c>
      <c r="O594">
        <v>1</v>
      </c>
      <c r="P594" t="s">
        <v>32</v>
      </c>
      <c r="R594">
        <v>5</v>
      </c>
      <c r="S594" t="s">
        <v>92</v>
      </c>
      <c r="T594" t="s">
        <v>68</v>
      </c>
      <c r="U594" t="s">
        <v>55</v>
      </c>
    </row>
    <row r="595" spans="1:22" x14ac:dyDescent="0.3">
      <c r="A595" t="s">
        <v>784</v>
      </c>
      <c r="B595" s="3">
        <v>45686</v>
      </c>
      <c r="C595" t="s">
        <v>49</v>
      </c>
      <c r="D595" t="s">
        <v>50</v>
      </c>
      <c r="E595" t="s">
        <v>51</v>
      </c>
      <c r="F595" t="s">
        <v>215</v>
      </c>
      <c r="G595" t="s">
        <v>216</v>
      </c>
      <c r="H595" t="s">
        <v>79</v>
      </c>
      <c r="I595" t="s">
        <v>80</v>
      </c>
      <c r="J595" t="s">
        <v>30</v>
      </c>
      <c r="K595" t="s">
        <v>75</v>
      </c>
      <c r="P595" t="s">
        <v>135</v>
      </c>
      <c r="S595" t="s">
        <v>92</v>
      </c>
      <c r="T595" t="s">
        <v>84</v>
      </c>
      <c r="V595" t="s">
        <v>60</v>
      </c>
    </row>
    <row r="596" spans="1:22" x14ac:dyDescent="0.3">
      <c r="A596" t="s">
        <v>785</v>
      </c>
      <c r="B596" s="3">
        <v>45734</v>
      </c>
      <c r="C596" t="s">
        <v>71</v>
      </c>
      <c r="D596" t="s">
        <v>50</v>
      </c>
      <c r="E596" t="s">
        <v>87</v>
      </c>
      <c r="F596" t="s">
        <v>240</v>
      </c>
      <c r="G596" t="s">
        <v>241</v>
      </c>
      <c r="H596" t="s">
        <v>41</v>
      </c>
      <c r="I596" t="s">
        <v>42</v>
      </c>
      <c r="J596" t="s">
        <v>66</v>
      </c>
      <c r="K596" t="s">
        <v>75</v>
      </c>
      <c r="L596" s="2">
        <v>0.375</v>
      </c>
      <c r="M596" s="2">
        <v>0.75</v>
      </c>
      <c r="N596">
        <v>8</v>
      </c>
      <c r="O596">
        <v>0</v>
      </c>
      <c r="P596" t="s">
        <v>32</v>
      </c>
      <c r="R596">
        <v>5</v>
      </c>
      <c r="S596" t="s">
        <v>67</v>
      </c>
      <c r="T596" t="s">
        <v>46</v>
      </c>
      <c r="U596" t="s">
        <v>55</v>
      </c>
    </row>
    <row r="597" spans="1:22" x14ac:dyDescent="0.3">
      <c r="A597" t="s">
        <v>786</v>
      </c>
      <c r="B597" s="1">
        <v>45826</v>
      </c>
      <c r="C597" t="s">
        <v>23</v>
      </c>
      <c r="D597" t="s">
        <v>24</v>
      </c>
      <c r="E597" t="s">
        <v>51</v>
      </c>
      <c r="F597" t="s">
        <v>72</v>
      </c>
      <c r="G597" t="s">
        <v>73</v>
      </c>
      <c r="H597" t="s">
        <v>28</v>
      </c>
      <c r="I597" t="s">
        <v>29</v>
      </c>
      <c r="J597" t="s">
        <v>74</v>
      </c>
      <c r="K597" t="s">
        <v>31</v>
      </c>
      <c r="L597" s="2">
        <v>0.375</v>
      </c>
      <c r="M597" s="2">
        <v>0.75</v>
      </c>
      <c r="N597">
        <v>8</v>
      </c>
      <c r="O597">
        <v>0</v>
      </c>
      <c r="P597" t="s">
        <v>32</v>
      </c>
      <c r="S597" t="s">
        <v>33</v>
      </c>
      <c r="T597" t="s">
        <v>34</v>
      </c>
      <c r="U597" t="s">
        <v>47</v>
      </c>
      <c r="V597" t="s">
        <v>35</v>
      </c>
    </row>
    <row r="598" spans="1:22" x14ac:dyDescent="0.3">
      <c r="A598" t="s">
        <v>787</v>
      </c>
      <c r="B598" s="1">
        <v>45838</v>
      </c>
      <c r="C598" t="s">
        <v>23</v>
      </c>
      <c r="D598" t="s">
        <v>24</v>
      </c>
      <c r="E598" t="s">
        <v>109</v>
      </c>
      <c r="F598" t="s">
        <v>258</v>
      </c>
      <c r="G598" t="s">
        <v>259</v>
      </c>
      <c r="H598" t="s">
        <v>112</v>
      </c>
      <c r="I598" t="s">
        <v>113</v>
      </c>
      <c r="J598" t="s">
        <v>74</v>
      </c>
      <c r="K598" t="s">
        <v>31</v>
      </c>
      <c r="L598" s="2">
        <v>0.38194444444444442</v>
      </c>
      <c r="M598" s="2">
        <v>0.75</v>
      </c>
      <c r="N598">
        <v>8</v>
      </c>
      <c r="O598">
        <v>0</v>
      </c>
      <c r="P598" t="s">
        <v>32</v>
      </c>
      <c r="S598" t="s">
        <v>92</v>
      </c>
      <c r="T598" t="s">
        <v>114</v>
      </c>
      <c r="U598" t="s">
        <v>55</v>
      </c>
      <c r="V598" t="s">
        <v>60</v>
      </c>
    </row>
    <row r="599" spans="1:22" x14ac:dyDescent="0.3">
      <c r="A599" t="s">
        <v>788</v>
      </c>
      <c r="B599" s="3">
        <v>45739</v>
      </c>
      <c r="C599" t="s">
        <v>71</v>
      </c>
      <c r="D599" t="s">
        <v>50</v>
      </c>
      <c r="E599" t="s">
        <v>103</v>
      </c>
      <c r="F599" t="s">
        <v>240</v>
      </c>
      <c r="G599" t="s">
        <v>241</v>
      </c>
      <c r="H599" t="s">
        <v>41</v>
      </c>
      <c r="I599" t="s">
        <v>42</v>
      </c>
      <c r="J599" t="s">
        <v>66</v>
      </c>
      <c r="K599" t="s">
        <v>31</v>
      </c>
      <c r="L599" s="2">
        <v>0.375</v>
      </c>
      <c r="M599" s="2">
        <v>0.75</v>
      </c>
      <c r="N599">
        <v>8</v>
      </c>
      <c r="O599">
        <v>0</v>
      </c>
      <c r="P599" t="s">
        <v>32</v>
      </c>
      <c r="R599">
        <v>3</v>
      </c>
      <c r="S599" t="s">
        <v>92</v>
      </c>
      <c r="T599" t="s">
        <v>46</v>
      </c>
      <c r="V599" t="s">
        <v>69</v>
      </c>
    </row>
    <row r="600" spans="1:22" x14ac:dyDescent="0.3">
      <c r="A600" t="s">
        <v>789</v>
      </c>
      <c r="B600" s="3">
        <v>45769</v>
      </c>
      <c r="C600" t="s">
        <v>37</v>
      </c>
      <c r="D600" t="s">
        <v>24</v>
      </c>
      <c r="E600" t="s">
        <v>87</v>
      </c>
      <c r="F600" t="s">
        <v>145</v>
      </c>
      <c r="G600" t="s">
        <v>146</v>
      </c>
      <c r="H600" t="s">
        <v>90</v>
      </c>
      <c r="I600" t="s">
        <v>91</v>
      </c>
      <c r="J600" t="s">
        <v>100</v>
      </c>
      <c r="K600" t="s">
        <v>44</v>
      </c>
      <c r="L600" s="2">
        <v>0.375</v>
      </c>
      <c r="M600" s="2">
        <v>0.75</v>
      </c>
      <c r="N600">
        <v>8</v>
      </c>
      <c r="O600">
        <v>0</v>
      </c>
      <c r="P600" t="s">
        <v>32</v>
      </c>
      <c r="R600">
        <v>3</v>
      </c>
      <c r="S600" t="s">
        <v>45</v>
      </c>
      <c r="T600" t="s">
        <v>93</v>
      </c>
      <c r="V600" t="s">
        <v>60</v>
      </c>
    </row>
    <row r="601" spans="1:22" x14ac:dyDescent="0.3">
      <c r="A601" t="s">
        <v>790</v>
      </c>
      <c r="B601" s="3">
        <v>45828</v>
      </c>
      <c r="C601" t="s">
        <v>23</v>
      </c>
      <c r="D601" t="s">
        <v>24</v>
      </c>
      <c r="E601" t="s">
        <v>119</v>
      </c>
      <c r="F601" t="s">
        <v>207</v>
      </c>
      <c r="G601" t="s">
        <v>208</v>
      </c>
      <c r="H601" t="s">
        <v>64</v>
      </c>
      <c r="I601" t="s">
        <v>65</v>
      </c>
      <c r="J601" t="s">
        <v>30</v>
      </c>
      <c r="K601" t="s">
        <v>31</v>
      </c>
      <c r="L601" s="2">
        <v>0.375</v>
      </c>
      <c r="M601" s="2">
        <v>0.75</v>
      </c>
      <c r="N601">
        <v>8.5</v>
      </c>
      <c r="O601">
        <v>0.5</v>
      </c>
      <c r="P601" t="s">
        <v>32</v>
      </c>
      <c r="R601">
        <v>4</v>
      </c>
      <c r="S601" t="s">
        <v>67</v>
      </c>
      <c r="T601" t="s">
        <v>68</v>
      </c>
      <c r="U601" t="s">
        <v>47</v>
      </c>
    </row>
    <row r="602" spans="1:22" x14ac:dyDescent="0.3">
      <c r="A602" t="s">
        <v>791</v>
      </c>
      <c r="B602" s="3">
        <v>45770</v>
      </c>
      <c r="C602" t="s">
        <v>37</v>
      </c>
      <c r="D602" t="s">
        <v>24</v>
      </c>
      <c r="E602" t="s">
        <v>51</v>
      </c>
      <c r="F602" t="s">
        <v>228</v>
      </c>
      <c r="G602" t="s">
        <v>229</v>
      </c>
      <c r="H602" t="s">
        <v>79</v>
      </c>
      <c r="I602" t="s">
        <v>80</v>
      </c>
      <c r="J602" t="s">
        <v>43</v>
      </c>
      <c r="K602" t="s">
        <v>81</v>
      </c>
      <c r="L602" s="2">
        <v>0.91666666666666663</v>
      </c>
      <c r="M602" s="2">
        <v>0.29166666666666669</v>
      </c>
      <c r="N602">
        <v>9.5</v>
      </c>
      <c r="O602">
        <v>1.5</v>
      </c>
      <c r="P602" t="s">
        <v>32</v>
      </c>
      <c r="R602">
        <v>4</v>
      </c>
      <c r="S602" t="s">
        <v>67</v>
      </c>
      <c r="T602" t="s">
        <v>84</v>
      </c>
      <c r="U602" t="s">
        <v>47</v>
      </c>
      <c r="V602" t="s">
        <v>35</v>
      </c>
    </row>
    <row r="603" spans="1:22" x14ac:dyDescent="0.3">
      <c r="A603" t="s">
        <v>792</v>
      </c>
      <c r="B603" s="1">
        <v>45733</v>
      </c>
      <c r="C603" t="s">
        <v>71</v>
      </c>
      <c r="D603" t="s">
        <v>50</v>
      </c>
      <c r="E603" t="s">
        <v>109</v>
      </c>
      <c r="F603" t="s">
        <v>281</v>
      </c>
      <c r="G603" t="s">
        <v>282</v>
      </c>
      <c r="H603" t="s">
        <v>90</v>
      </c>
      <c r="I603" t="s">
        <v>91</v>
      </c>
      <c r="J603" t="s">
        <v>30</v>
      </c>
      <c r="K603" t="s">
        <v>44</v>
      </c>
      <c r="L603" s="2">
        <v>0.375</v>
      </c>
      <c r="M603" s="2">
        <v>0.75</v>
      </c>
      <c r="N603">
        <v>8</v>
      </c>
      <c r="O603">
        <v>0</v>
      </c>
      <c r="P603" t="s">
        <v>32</v>
      </c>
      <c r="R603">
        <v>4</v>
      </c>
      <c r="S603" t="s">
        <v>33</v>
      </c>
      <c r="T603" t="s">
        <v>93</v>
      </c>
      <c r="V603" t="s">
        <v>35</v>
      </c>
    </row>
    <row r="604" spans="1:22" x14ac:dyDescent="0.3">
      <c r="A604" t="s">
        <v>793</v>
      </c>
      <c r="B604" s="1">
        <v>45776</v>
      </c>
      <c r="C604" t="s">
        <v>37</v>
      </c>
      <c r="D604" t="s">
        <v>24</v>
      </c>
      <c r="E604" t="s">
        <v>87</v>
      </c>
      <c r="F604" t="s">
        <v>192</v>
      </c>
      <c r="G604" t="s">
        <v>193</v>
      </c>
      <c r="H604" t="s">
        <v>79</v>
      </c>
      <c r="I604" t="s">
        <v>80</v>
      </c>
      <c r="J604" t="s">
        <v>66</v>
      </c>
      <c r="K604" t="s">
        <v>75</v>
      </c>
      <c r="L604" s="2">
        <v>0.375</v>
      </c>
      <c r="M604" s="2">
        <v>0.75</v>
      </c>
      <c r="N604">
        <v>8</v>
      </c>
      <c r="O604">
        <v>0</v>
      </c>
      <c r="P604" t="s">
        <v>32</v>
      </c>
      <c r="S604" t="s">
        <v>92</v>
      </c>
      <c r="T604" t="s">
        <v>84</v>
      </c>
      <c r="V604" t="s">
        <v>35</v>
      </c>
    </row>
    <row r="605" spans="1:22" x14ac:dyDescent="0.3">
      <c r="A605" t="s">
        <v>794</v>
      </c>
      <c r="B605" s="1">
        <v>45726</v>
      </c>
      <c r="C605" t="s">
        <v>71</v>
      </c>
      <c r="D605" t="s">
        <v>50</v>
      </c>
      <c r="E605" t="s">
        <v>109</v>
      </c>
      <c r="F605" t="s">
        <v>127</v>
      </c>
      <c r="G605" t="s">
        <v>128</v>
      </c>
      <c r="H605" t="s">
        <v>90</v>
      </c>
      <c r="I605" t="s">
        <v>91</v>
      </c>
      <c r="J605" t="s">
        <v>66</v>
      </c>
      <c r="K605" t="s">
        <v>75</v>
      </c>
      <c r="L605" s="2">
        <v>0.375</v>
      </c>
      <c r="M605" s="2">
        <v>0.75</v>
      </c>
      <c r="N605">
        <v>8</v>
      </c>
      <c r="O605">
        <v>0</v>
      </c>
      <c r="P605" t="s">
        <v>32</v>
      </c>
      <c r="S605" t="s">
        <v>92</v>
      </c>
      <c r="T605" t="s">
        <v>93</v>
      </c>
      <c r="U605" t="s">
        <v>55</v>
      </c>
      <c r="V605" t="s">
        <v>60</v>
      </c>
    </row>
    <row r="606" spans="1:22" x14ac:dyDescent="0.3">
      <c r="A606" t="s">
        <v>795</v>
      </c>
      <c r="B606" s="1">
        <v>45775</v>
      </c>
      <c r="C606" t="s">
        <v>37</v>
      </c>
      <c r="D606" t="s">
        <v>24</v>
      </c>
      <c r="E606" t="s">
        <v>109</v>
      </c>
      <c r="F606" t="s">
        <v>72</v>
      </c>
      <c r="G606" t="s">
        <v>73</v>
      </c>
      <c r="H606" t="s">
        <v>28</v>
      </c>
      <c r="I606" t="s">
        <v>29</v>
      </c>
      <c r="J606" t="s">
        <v>74</v>
      </c>
      <c r="K606" t="s">
        <v>44</v>
      </c>
      <c r="L606" s="2">
        <v>0.375</v>
      </c>
      <c r="M606" s="2">
        <v>0.75</v>
      </c>
      <c r="N606">
        <v>8</v>
      </c>
      <c r="O606">
        <v>0</v>
      </c>
      <c r="P606" t="s">
        <v>32</v>
      </c>
      <c r="R606">
        <v>4</v>
      </c>
      <c r="S606" t="s">
        <v>67</v>
      </c>
      <c r="T606" t="s">
        <v>34</v>
      </c>
      <c r="U606" t="s">
        <v>55</v>
      </c>
      <c r="V606" t="s">
        <v>60</v>
      </c>
    </row>
    <row r="607" spans="1:22" x14ac:dyDescent="0.3">
      <c r="A607" t="s">
        <v>796</v>
      </c>
      <c r="B607" s="3">
        <v>45805</v>
      </c>
      <c r="C607" t="s">
        <v>57</v>
      </c>
      <c r="D607" t="s">
        <v>24</v>
      </c>
      <c r="E607" t="s">
        <v>51</v>
      </c>
      <c r="F607" t="s">
        <v>228</v>
      </c>
      <c r="G607" t="s">
        <v>229</v>
      </c>
      <c r="H607" t="s">
        <v>79</v>
      </c>
      <c r="I607" t="s">
        <v>80</v>
      </c>
      <c r="J607" t="s">
        <v>43</v>
      </c>
      <c r="K607" t="s">
        <v>81</v>
      </c>
      <c r="L607" s="2">
        <v>0.91666666666666663</v>
      </c>
      <c r="M607" s="2">
        <v>0.29166666666666669</v>
      </c>
      <c r="N607">
        <v>10</v>
      </c>
      <c r="O607">
        <v>2</v>
      </c>
      <c r="P607" t="s">
        <v>32</v>
      </c>
      <c r="R607">
        <v>4</v>
      </c>
      <c r="S607" t="s">
        <v>92</v>
      </c>
      <c r="T607" t="s">
        <v>84</v>
      </c>
      <c r="U607" t="s">
        <v>85</v>
      </c>
      <c r="V607" t="s">
        <v>35</v>
      </c>
    </row>
    <row r="608" spans="1:22" x14ac:dyDescent="0.3">
      <c r="A608" t="s">
        <v>797</v>
      </c>
      <c r="B608" s="3">
        <v>45707</v>
      </c>
      <c r="C608" t="s">
        <v>95</v>
      </c>
      <c r="D608" t="s">
        <v>50</v>
      </c>
      <c r="E608" t="s">
        <v>51</v>
      </c>
      <c r="F608" t="s">
        <v>58</v>
      </c>
      <c r="G608" t="s">
        <v>59</v>
      </c>
      <c r="H608" t="s">
        <v>41</v>
      </c>
      <c r="I608" t="s">
        <v>42</v>
      </c>
      <c r="J608" t="s">
        <v>30</v>
      </c>
      <c r="K608" t="s">
        <v>81</v>
      </c>
      <c r="L608" s="2">
        <v>0.91666666666666663</v>
      </c>
      <c r="M608" s="2">
        <v>0.29166666666666669</v>
      </c>
      <c r="N608">
        <v>9</v>
      </c>
      <c r="O608">
        <v>1</v>
      </c>
      <c r="P608" t="s">
        <v>32</v>
      </c>
      <c r="R608">
        <v>4</v>
      </c>
      <c r="S608" t="s">
        <v>45</v>
      </c>
      <c r="T608" t="s">
        <v>46</v>
      </c>
      <c r="U608" t="s">
        <v>85</v>
      </c>
      <c r="V608" t="s">
        <v>69</v>
      </c>
    </row>
    <row r="609" spans="1:22" x14ac:dyDescent="0.3">
      <c r="A609" t="s">
        <v>798</v>
      </c>
      <c r="B609" s="1">
        <v>45770</v>
      </c>
      <c r="C609" t="s">
        <v>37</v>
      </c>
      <c r="D609" t="s">
        <v>24</v>
      </c>
      <c r="E609" t="s">
        <v>51</v>
      </c>
      <c r="F609" t="s">
        <v>39</v>
      </c>
      <c r="G609" t="s">
        <v>40</v>
      </c>
      <c r="H609" t="s">
        <v>41</v>
      </c>
      <c r="I609" t="s">
        <v>42</v>
      </c>
      <c r="J609" t="s">
        <v>43</v>
      </c>
      <c r="K609" t="s">
        <v>44</v>
      </c>
      <c r="L609" s="2">
        <v>0.375</v>
      </c>
      <c r="M609" s="2">
        <v>0.75</v>
      </c>
      <c r="N609">
        <v>8</v>
      </c>
      <c r="O609">
        <v>0</v>
      </c>
      <c r="P609" t="s">
        <v>32</v>
      </c>
      <c r="R609">
        <v>3</v>
      </c>
      <c r="S609" t="s">
        <v>92</v>
      </c>
      <c r="T609" t="s">
        <v>46</v>
      </c>
      <c r="V609" t="s">
        <v>60</v>
      </c>
    </row>
    <row r="610" spans="1:22" x14ac:dyDescent="0.3">
      <c r="A610" t="s">
        <v>799</v>
      </c>
      <c r="B610" s="3">
        <v>45788</v>
      </c>
      <c r="C610" t="s">
        <v>57</v>
      </c>
      <c r="D610" t="s">
        <v>24</v>
      </c>
      <c r="E610" t="s">
        <v>103</v>
      </c>
      <c r="F610" t="s">
        <v>62</v>
      </c>
      <c r="G610" t="s">
        <v>63</v>
      </c>
      <c r="H610" t="s">
        <v>64</v>
      </c>
      <c r="I610" t="s">
        <v>65</v>
      </c>
      <c r="J610" t="s">
        <v>66</v>
      </c>
      <c r="K610" t="s">
        <v>54</v>
      </c>
      <c r="P610" t="s">
        <v>135</v>
      </c>
      <c r="S610" t="s">
        <v>33</v>
      </c>
      <c r="T610" t="s">
        <v>68</v>
      </c>
      <c r="V610" t="s">
        <v>35</v>
      </c>
    </row>
    <row r="611" spans="1:22" x14ac:dyDescent="0.3">
      <c r="A611" t="s">
        <v>800</v>
      </c>
      <c r="B611" s="3">
        <v>45755</v>
      </c>
      <c r="C611" t="s">
        <v>37</v>
      </c>
      <c r="D611" t="s">
        <v>24</v>
      </c>
      <c r="E611" t="s">
        <v>87</v>
      </c>
      <c r="F611" t="s">
        <v>258</v>
      </c>
      <c r="G611" t="s">
        <v>259</v>
      </c>
      <c r="H611" t="s">
        <v>112</v>
      </c>
      <c r="I611" t="s">
        <v>113</v>
      </c>
      <c r="J611" t="s">
        <v>74</v>
      </c>
      <c r="K611" t="s">
        <v>75</v>
      </c>
      <c r="L611" s="2">
        <v>0.38194444444444442</v>
      </c>
      <c r="M611" s="2">
        <v>0.75</v>
      </c>
      <c r="N611">
        <v>8</v>
      </c>
      <c r="O611">
        <v>0</v>
      </c>
      <c r="P611" t="s">
        <v>32</v>
      </c>
      <c r="R611">
        <v>4</v>
      </c>
      <c r="S611" t="s">
        <v>92</v>
      </c>
      <c r="T611" t="s">
        <v>114</v>
      </c>
      <c r="U611" t="s">
        <v>47</v>
      </c>
      <c r="V611" t="s">
        <v>35</v>
      </c>
    </row>
    <row r="612" spans="1:22" x14ac:dyDescent="0.3">
      <c r="A612" t="s">
        <v>801</v>
      </c>
      <c r="B612" s="3">
        <v>45755</v>
      </c>
      <c r="C612" t="s">
        <v>37</v>
      </c>
      <c r="D612" t="s">
        <v>24</v>
      </c>
      <c r="E612" t="s">
        <v>87</v>
      </c>
      <c r="F612" t="s">
        <v>77</v>
      </c>
      <c r="G612" t="s">
        <v>78</v>
      </c>
      <c r="H612" t="s">
        <v>79</v>
      </c>
      <c r="I612" t="s">
        <v>80</v>
      </c>
      <c r="J612" t="s">
        <v>30</v>
      </c>
      <c r="K612" t="s">
        <v>44</v>
      </c>
      <c r="L612" s="2">
        <v>0.375</v>
      </c>
      <c r="M612" s="2">
        <v>0.75</v>
      </c>
      <c r="N612">
        <v>8</v>
      </c>
      <c r="O612">
        <v>0</v>
      </c>
      <c r="P612" t="s">
        <v>32</v>
      </c>
      <c r="R612">
        <v>4</v>
      </c>
      <c r="S612" t="s">
        <v>67</v>
      </c>
      <c r="T612" t="s">
        <v>84</v>
      </c>
      <c r="U612" t="s">
        <v>55</v>
      </c>
      <c r="V612" t="s">
        <v>60</v>
      </c>
    </row>
    <row r="613" spans="1:22" x14ac:dyDescent="0.3">
      <c r="A613" t="s">
        <v>802</v>
      </c>
      <c r="B613" s="3">
        <v>45747</v>
      </c>
      <c r="C613" t="s">
        <v>71</v>
      </c>
      <c r="D613" t="s">
        <v>50</v>
      </c>
      <c r="E613" t="s">
        <v>109</v>
      </c>
      <c r="F613" t="s">
        <v>124</v>
      </c>
      <c r="G613" t="s">
        <v>125</v>
      </c>
      <c r="H613" t="s">
        <v>28</v>
      </c>
      <c r="I613" t="s">
        <v>29</v>
      </c>
      <c r="J613" t="s">
        <v>66</v>
      </c>
      <c r="K613" t="s">
        <v>81</v>
      </c>
      <c r="P613" t="s">
        <v>135</v>
      </c>
      <c r="S613" t="s">
        <v>92</v>
      </c>
      <c r="T613" t="s">
        <v>34</v>
      </c>
      <c r="U613" t="s">
        <v>85</v>
      </c>
    </row>
    <row r="614" spans="1:22" x14ac:dyDescent="0.3">
      <c r="A614" t="s">
        <v>803</v>
      </c>
      <c r="B614" s="3">
        <v>45661</v>
      </c>
      <c r="C614" t="s">
        <v>49</v>
      </c>
      <c r="D614" t="s">
        <v>50</v>
      </c>
      <c r="E614" t="s">
        <v>38</v>
      </c>
      <c r="F614" t="s">
        <v>220</v>
      </c>
      <c r="G614" t="s">
        <v>221</v>
      </c>
      <c r="H614" t="s">
        <v>79</v>
      </c>
      <c r="I614" t="s">
        <v>80</v>
      </c>
      <c r="J614" t="s">
        <v>100</v>
      </c>
      <c r="K614" t="s">
        <v>54</v>
      </c>
      <c r="L614" s="2">
        <v>0.375</v>
      </c>
      <c r="M614" s="2">
        <v>0.75</v>
      </c>
      <c r="N614">
        <v>8</v>
      </c>
      <c r="O614">
        <v>0</v>
      </c>
      <c r="P614" t="s">
        <v>32</v>
      </c>
      <c r="S614" t="s">
        <v>33</v>
      </c>
      <c r="T614" t="s">
        <v>84</v>
      </c>
      <c r="V614" t="s">
        <v>35</v>
      </c>
    </row>
    <row r="615" spans="1:22" x14ac:dyDescent="0.3">
      <c r="A615" t="s">
        <v>804</v>
      </c>
      <c r="B615" s="1">
        <v>45717</v>
      </c>
      <c r="C615" t="s">
        <v>71</v>
      </c>
      <c r="D615" t="s">
        <v>50</v>
      </c>
      <c r="E615" t="s">
        <v>38</v>
      </c>
      <c r="F615" t="s">
        <v>159</v>
      </c>
      <c r="G615" t="s">
        <v>160</v>
      </c>
      <c r="H615" t="s">
        <v>64</v>
      </c>
      <c r="I615" t="s">
        <v>65</v>
      </c>
      <c r="J615" t="s">
        <v>100</v>
      </c>
      <c r="K615" t="s">
        <v>81</v>
      </c>
      <c r="L615" s="2">
        <v>0.91666666666666663</v>
      </c>
      <c r="N615">
        <v>10</v>
      </c>
      <c r="O615">
        <v>2</v>
      </c>
      <c r="P615" t="s">
        <v>32</v>
      </c>
      <c r="R615">
        <v>5</v>
      </c>
      <c r="S615" t="s">
        <v>45</v>
      </c>
      <c r="T615" t="s">
        <v>68</v>
      </c>
      <c r="U615" t="s">
        <v>47</v>
      </c>
    </row>
    <row r="616" spans="1:22" x14ac:dyDescent="0.3">
      <c r="A616" t="s">
        <v>805</v>
      </c>
      <c r="B616" s="3">
        <v>45743</v>
      </c>
      <c r="C616" t="s">
        <v>71</v>
      </c>
      <c r="D616" t="s">
        <v>50</v>
      </c>
      <c r="E616" t="s">
        <v>25</v>
      </c>
      <c r="F616" t="s">
        <v>104</v>
      </c>
      <c r="G616" t="s">
        <v>105</v>
      </c>
      <c r="H616" t="s">
        <v>28</v>
      </c>
      <c r="I616" t="s">
        <v>29</v>
      </c>
      <c r="J616" t="s">
        <v>30</v>
      </c>
      <c r="K616" t="s">
        <v>75</v>
      </c>
      <c r="L616" s="2">
        <v>0.375</v>
      </c>
      <c r="M616" s="2">
        <v>0.75</v>
      </c>
      <c r="N616">
        <v>8</v>
      </c>
      <c r="O616">
        <v>0</v>
      </c>
      <c r="P616" t="s">
        <v>32</v>
      </c>
      <c r="R616">
        <v>4</v>
      </c>
      <c r="S616" t="s">
        <v>92</v>
      </c>
      <c r="T616" t="s">
        <v>34</v>
      </c>
      <c r="U616" t="s">
        <v>55</v>
      </c>
    </row>
    <row r="617" spans="1:22" x14ac:dyDescent="0.3">
      <c r="A617" t="s">
        <v>806</v>
      </c>
      <c r="B617" s="1">
        <v>45716</v>
      </c>
      <c r="C617" t="s">
        <v>95</v>
      </c>
      <c r="D617" t="s">
        <v>50</v>
      </c>
      <c r="E617" t="s">
        <v>119</v>
      </c>
      <c r="F617" t="s">
        <v>77</v>
      </c>
      <c r="G617" t="s">
        <v>78</v>
      </c>
      <c r="H617" t="s">
        <v>79</v>
      </c>
      <c r="I617" t="s">
        <v>80</v>
      </c>
      <c r="J617" t="s">
        <v>30</v>
      </c>
      <c r="K617" t="s">
        <v>44</v>
      </c>
      <c r="L617" s="2">
        <v>0.375</v>
      </c>
      <c r="M617" s="2">
        <v>0.75</v>
      </c>
      <c r="N617">
        <v>8</v>
      </c>
      <c r="O617">
        <v>0</v>
      </c>
      <c r="P617" t="s">
        <v>32</v>
      </c>
      <c r="R617">
        <v>4</v>
      </c>
      <c r="S617" t="s">
        <v>45</v>
      </c>
      <c r="T617" t="s">
        <v>84</v>
      </c>
      <c r="V617" t="s">
        <v>69</v>
      </c>
    </row>
    <row r="618" spans="1:22" x14ac:dyDescent="0.3">
      <c r="A618" t="s">
        <v>807</v>
      </c>
      <c r="B618" s="1">
        <v>45660</v>
      </c>
      <c r="C618" t="s">
        <v>49</v>
      </c>
      <c r="D618" t="s">
        <v>50</v>
      </c>
      <c r="E618" t="s">
        <v>119</v>
      </c>
      <c r="F618" t="s">
        <v>148</v>
      </c>
      <c r="G618" t="s">
        <v>149</v>
      </c>
      <c r="H618" t="s">
        <v>112</v>
      </c>
      <c r="I618" t="s">
        <v>113</v>
      </c>
      <c r="J618" t="s">
        <v>43</v>
      </c>
      <c r="K618" t="s">
        <v>81</v>
      </c>
      <c r="L618" s="2">
        <v>0.38194444444444442</v>
      </c>
      <c r="M618" s="2">
        <v>0.29166666666666669</v>
      </c>
      <c r="N618">
        <v>9.5</v>
      </c>
      <c r="O618">
        <v>1.5</v>
      </c>
      <c r="P618" t="s">
        <v>32</v>
      </c>
      <c r="R618">
        <v>4</v>
      </c>
      <c r="S618" t="s">
        <v>45</v>
      </c>
      <c r="T618" t="s">
        <v>114</v>
      </c>
      <c r="U618" t="s">
        <v>47</v>
      </c>
      <c r="V618" t="s">
        <v>35</v>
      </c>
    </row>
    <row r="619" spans="1:22" x14ac:dyDescent="0.3">
      <c r="A619" t="s">
        <v>808</v>
      </c>
      <c r="B619" s="3">
        <v>45801</v>
      </c>
      <c r="C619" t="s">
        <v>57</v>
      </c>
      <c r="D619" t="s">
        <v>24</v>
      </c>
      <c r="E619" t="s">
        <v>38</v>
      </c>
      <c r="F619" t="s">
        <v>231</v>
      </c>
      <c r="G619" t="s">
        <v>232</v>
      </c>
      <c r="H619" t="s">
        <v>98</v>
      </c>
      <c r="I619" t="s">
        <v>99</v>
      </c>
      <c r="J619" t="s">
        <v>74</v>
      </c>
      <c r="K619" t="s">
        <v>75</v>
      </c>
      <c r="L619" s="2">
        <v>0.375</v>
      </c>
      <c r="M619" s="2">
        <v>0.75</v>
      </c>
      <c r="N619">
        <v>8</v>
      </c>
      <c r="O619">
        <v>0</v>
      </c>
      <c r="P619" t="s">
        <v>32</v>
      </c>
      <c r="R619">
        <v>4</v>
      </c>
      <c r="S619" t="s">
        <v>67</v>
      </c>
      <c r="T619" t="s">
        <v>101</v>
      </c>
      <c r="U619" t="s">
        <v>85</v>
      </c>
      <c r="V619" t="s">
        <v>69</v>
      </c>
    </row>
    <row r="620" spans="1:22" x14ac:dyDescent="0.3">
      <c r="A620" t="s">
        <v>809</v>
      </c>
      <c r="B620" s="3">
        <v>45768</v>
      </c>
      <c r="C620" t="s">
        <v>37</v>
      </c>
      <c r="D620" t="s">
        <v>24</v>
      </c>
      <c r="E620" t="s">
        <v>109</v>
      </c>
      <c r="F620" t="s">
        <v>96</v>
      </c>
      <c r="G620" t="s">
        <v>97</v>
      </c>
      <c r="H620" t="s">
        <v>98</v>
      </c>
      <c r="I620" t="s">
        <v>99</v>
      </c>
      <c r="J620" t="s">
        <v>100</v>
      </c>
      <c r="K620" t="s">
        <v>44</v>
      </c>
      <c r="L620" s="2">
        <v>0.375</v>
      </c>
      <c r="M620" s="2">
        <v>0.75</v>
      </c>
      <c r="N620">
        <v>8</v>
      </c>
      <c r="O620">
        <v>0</v>
      </c>
      <c r="P620" t="s">
        <v>32</v>
      </c>
      <c r="R620">
        <v>4</v>
      </c>
      <c r="S620" t="s">
        <v>67</v>
      </c>
      <c r="T620" t="s">
        <v>101</v>
      </c>
      <c r="U620" t="s">
        <v>47</v>
      </c>
      <c r="V620" t="s">
        <v>69</v>
      </c>
    </row>
    <row r="621" spans="1:22" x14ac:dyDescent="0.3">
      <c r="A621" t="s">
        <v>810</v>
      </c>
      <c r="B621" s="1">
        <v>45751</v>
      </c>
      <c r="C621" t="s">
        <v>37</v>
      </c>
      <c r="D621" t="s">
        <v>24</v>
      </c>
      <c r="E621" t="s">
        <v>119</v>
      </c>
      <c r="F621" t="s">
        <v>243</v>
      </c>
      <c r="G621" t="s">
        <v>244</v>
      </c>
      <c r="H621" t="s">
        <v>90</v>
      </c>
      <c r="I621" t="s">
        <v>91</v>
      </c>
      <c r="J621" t="s">
        <v>30</v>
      </c>
      <c r="K621" t="s">
        <v>31</v>
      </c>
      <c r="L621" s="2">
        <v>0.375</v>
      </c>
      <c r="M621" s="2">
        <v>0.75</v>
      </c>
      <c r="N621">
        <v>8</v>
      </c>
      <c r="O621">
        <v>0</v>
      </c>
      <c r="P621" t="s">
        <v>32</v>
      </c>
      <c r="R621">
        <v>4</v>
      </c>
      <c r="S621" t="s">
        <v>92</v>
      </c>
      <c r="T621" t="s">
        <v>93</v>
      </c>
      <c r="V621" t="s">
        <v>35</v>
      </c>
    </row>
    <row r="622" spans="1:22" x14ac:dyDescent="0.3">
      <c r="A622" t="s">
        <v>811</v>
      </c>
      <c r="B622" s="3">
        <v>45722</v>
      </c>
      <c r="C622" t="s">
        <v>71</v>
      </c>
      <c r="D622" t="s">
        <v>50</v>
      </c>
      <c r="E622" t="s">
        <v>25</v>
      </c>
      <c r="F622" t="s">
        <v>154</v>
      </c>
      <c r="G622" t="s">
        <v>155</v>
      </c>
      <c r="H622" t="s">
        <v>41</v>
      </c>
      <c r="I622" t="s">
        <v>42</v>
      </c>
      <c r="J622" t="s">
        <v>74</v>
      </c>
      <c r="K622" t="s">
        <v>81</v>
      </c>
      <c r="L622" s="2">
        <v>0.91666666666666663</v>
      </c>
      <c r="M622" s="2">
        <v>0.29166666666666669</v>
      </c>
      <c r="N622">
        <v>10</v>
      </c>
      <c r="O622">
        <v>2</v>
      </c>
      <c r="P622" t="s">
        <v>32</v>
      </c>
      <c r="R622">
        <v>3</v>
      </c>
      <c r="S622" t="s">
        <v>92</v>
      </c>
      <c r="T622" t="s">
        <v>46</v>
      </c>
      <c r="U622" t="s">
        <v>55</v>
      </c>
      <c r="V622" t="s">
        <v>60</v>
      </c>
    </row>
    <row r="623" spans="1:22" x14ac:dyDescent="0.3">
      <c r="A623" t="s">
        <v>812</v>
      </c>
      <c r="B623" s="3">
        <v>45769</v>
      </c>
      <c r="C623" t="s">
        <v>37</v>
      </c>
      <c r="D623" t="s">
        <v>24</v>
      </c>
      <c r="E623" t="s">
        <v>87</v>
      </c>
      <c r="F623" t="s">
        <v>154</v>
      </c>
      <c r="G623" t="s">
        <v>155</v>
      </c>
      <c r="H623" t="s">
        <v>41</v>
      </c>
      <c r="I623" t="s">
        <v>42</v>
      </c>
      <c r="J623" t="s">
        <v>74</v>
      </c>
      <c r="K623" t="s">
        <v>54</v>
      </c>
      <c r="L623" s="2">
        <v>0.375</v>
      </c>
      <c r="M623" s="2">
        <v>0.75</v>
      </c>
      <c r="N623">
        <v>8</v>
      </c>
      <c r="O623">
        <v>0</v>
      </c>
      <c r="P623" t="s">
        <v>32</v>
      </c>
      <c r="R623">
        <v>3</v>
      </c>
      <c r="S623" t="s">
        <v>67</v>
      </c>
      <c r="T623" t="s">
        <v>46</v>
      </c>
      <c r="U623" t="s">
        <v>85</v>
      </c>
      <c r="V623" t="s">
        <v>69</v>
      </c>
    </row>
    <row r="624" spans="1:22" x14ac:dyDescent="0.3">
      <c r="A624" t="s">
        <v>813</v>
      </c>
      <c r="B624" s="1">
        <v>45752</v>
      </c>
      <c r="C624" t="s">
        <v>37</v>
      </c>
      <c r="D624" t="s">
        <v>24</v>
      </c>
      <c r="E624" t="s">
        <v>38</v>
      </c>
      <c r="F624" t="s">
        <v>116</v>
      </c>
      <c r="G624" t="s">
        <v>117</v>
      </c>
      <c r="H624" t="s">
        <v>112</v>
      </c>
      <c r="I624" t="s">
        <v>113</v>
      </c>
      <c r="J624" t="s">
        <v>100</v>
      </c>
      <c r="K624" t="s">
        <v>81</v>
      </c>
      <c r="M624" s="2">
        <v>0.29166666666666669</v>
      </c>
      <c r="N624">
        <v>9</v>
      </c>
      <c r="O624">
        <v>1</v>
      </c>
      <c r="P624" t="s">
        <v>32</v>
      </c>
      <c r="R624">
        <v>3</v>
      </c>
      <c r="S624" t="s">
        <v>45</v>
      </c>
      <c r="T624" t="s">
        <v>114</v>
      </c>
      <c r="U624" t="s">
        <v>55</v>
      </c>
      <c r="V624" t="s">
        <v>69</v>
      </c>
    </row>
    <row r="625" spans="1:22" x14ac:dyDescent="0.3">
      <c r="A625" t="s">
        <v>814</v>
      </c>
      <c r="B625" s="1">
        <v>45799</v>
      </c>
      <c r="C625" t="s">
        <v>57</v>
      </c>
      <c r="D625" t="s">
        <v>24</v>
      </c>
      <c r="E625" t="s">
        <v>25</v>
      </c>
      <c r="F625" t="s">
        <v>26</v>
      </c>
      <c r="G625" t="s">
        <v>27</v>
      </c>
      <c r="H625" t="s">
        <v>28</v>
      </c>
      <c r="I625" t="s">
        <v>29</v>
      </c>
      <c r="J625" t="s">
        <v>30</v>
      </c>
      <c r="K625" t="s">
        <v>31</v>
      </c>
      <c r="L625" s="2">
        <v>0.375</v>
      </c>
      <c r="M625" s="2">
        <v>0.75</v>
      </c>
      <c r="N625">
        <v>8</v>
      </c>
      <c r="O625">
        <v>0</v>
      </c>
      <c r="P625" t="s">
        <v>32</v>
      </c>
      <c r="R625">
        <v>4</v>
      </c>
      <c r="S625" t="s">
        <v>45</v>
      </c>
      <c r="T625" t="s">
        <v>34</v>
      </c>
      <c r="U625" t="s">
        <v>85</v>
      </c>
      <c r="V625" t="s">
        <v>35</v>
      </c>
    </row>
    <row r="626" spans="1:22" x14ac:dyDescent="0.3">
      <c r="A626" t="s">
        <v>815</v>
      </c>
      <c r="B626" s="3">
        <v>45816</v>
      </c>
      <c r="C626" t="s">
        <v>23</v>
      </c>
      <c r="D626" t="s">
        <v>24</v>
      </c>
      <c r="E626" t="s">
        <v>103</v>
      </c>
      <c r="F626" t="s">
        <v>145</v>
      </c>
      <c r="G626" t="s">
        <v>146</v>
      </c>
      <c r="H626" t="s">
        <v>90</v>
      </c>
      <c r="I626" t="s">
        <v>91</v>
      </c>
      <c r="J626" t="s">
        <v>100</v>
      </c>
      <c r="K626" t="s">
        <v>31</v>
      </c>
      <c r="L626" s="2">
        <v>0.375</v>
      </c>
      <c r="M626" s="2">
        <v>0.75</v>
      </c>
      <c r="N626">
        <v>8</v>
      </c>
      <c r="O626">
        <v>0</v>
      </c>
      <c r="P626" t="s">
        <v>32</v>
      </c>
      <c r="R626">
        <v>3</v>
      </c>
      <c r="S626" t="s">
        <v>92</v>
      </c>
      <c r="T626" t="s">
        <v>93</v>
      </c>
      <c r="U626" t="s">
        <v>47</v>
      </c>
    </row>
    <row r="627" spans="1:22" x14ac:dyDescent="0.3">
      <c r="A627" t="s">
        <v>816</v>
      </c>
      <c r="B627" s="1">
        <v>45727</v>
      </c>
      <c r="C627" t="s">
        <v>71</v>
      </c>
      <c r="D627" t="s">
        <v>50</v>
      </c>
      <c r="E627" t="s">
        <v>87</v>
      </c>
      <c r="F627" t="s">
        <v>72</v>
      </c>
      <c r="G627" t="s">
        <v>73</v>
      </c>
      <c r="H627" t="s">
        <v>28</v>
      </c>
      <c r="I627" t="s">
        <v>29</v>
      </c>
      <c r="J627" t="s">
        <v>74</v>
      </c>
      <c r="K627" t="s">
        <v>44</v>
      </c>
      <c r="L627" s="2">
        <v>0.375</v>
      </c>
      <c r="M627" s="2">
        <v>0.75</v>
      </c>
      <c r="N627">
        <v>8</v>
      </c>
      <c r="O627">
        <v>0</v>
      </c>
      <c r="P627" t="s">
        <v>32</v>
      </c>
      <c r="R627">
        <v>3</v>
      </c>
      <c r="S627" t="s">
        <v>67</v>
      </c>
      <c r="T627" t="s">
        <v>34</v>
      </c>
      <c r="V627" t="s">
        <v>35</v>
      </c>
    </row>
    <row r="628" spans="1:22" x14ac:dyDescent="0.3">
      <c r="A628" t="s">
        <v>817</v>
      </c>
      <c r="B628" s="3">
        <v>45831</v>
      </c>
      <c r="C628" t="s">
        <v>23</v>
      </c>
      <c r="D628" t="s">
        <v>24</v>
      </c>
      <c r="E628" t="s">
        <v>109</v>
      </c>
      <c r="F628" t="s">
        <v>127</v>
      </c>
      <c r="G628" t="s">
        <v>128</v>
      </c>
      <c r="H628" t="s">
        <v>90</v>
      </c>
      <c r="I628" t="s">
        <v>91</v>
      </c>
      <c r="J628" t="s">
        <v>66</v>
      </c>
      <c r="K628" t="s">
        <v>31</v>
      </c>
      <c r="P628" t="s">
        <v>135</v>
      </c>
      <c r="S628" t="s">
        <v>33</v>
      </c>
      <c r="T628" t="s">
        <v>93</v>
      </c>
      <c r="U628" t="s">
        <v>55</v>
      </c>
      <c r="V628" t="s">
        <v>69</v>
      </c>
    </row>
    <row r="629" spans="1:22" x14ac:dyDescent="0.3">
      <c r="A629" t="s">
        <v>818</v>
      </c>
      <c r="B629" s="3">
        <v>45664</v>
      </c>
      <c r="C629" t="s">
        <v>49</v>
      </c>
      <c r="D629" t="s">
        <v>50</v>
      </c>
      <c r="E629" t="s">
        <v>87</v>
      </c>
      <c r="F629" t="s">
        <v>231</v>
      </c>
      <c r="G629" t="s">
        <v>232</v>
      </c>
      <c r="H629" t="s">
        <v>98</v>
      </c>
      <c r="I629" t="s">
        <v>99</v>
      </c>
      <c r="J629" t="s">
        <v>74</v>
      </c>
      <c r="K629" t="s">
        <v>81</v>
      </c>
      <c r="L629" s="2">
        <v>0.91666666666666663</v>
      </c>
      <c r="M629" s="2">
        <v>0.29166666666666669</v>
      </c>
      <c r="N629">
        <v>10</v>
      </c>
      <c r="O629">
        <v>2</v>
      </c>
      <c r="P629" t="s">
        <v>32</v>
      </c>
      <c r="R629">
        <v>4</v>
      </c>
      <c r="S629" t="s">
        <v>33</v>
      </c>
      <c r="T629" t="s">
        <v>101</v>
      </c>
      <c r="U629" t="s">
        <v>85</v>
      </c>
      <c r="V629" t="s">
        <v>60</v>
      </c>
    </row>
    <row r="630" spans="1:22" x14ac:dyDescent="0.3">
      <c r="A630" t="s">
        <v>819</v>
      </c>
      <c r="B630" s="1">
        <v>45796</v>
      </c>
      <c r="C630" t="s">
        <v>57</v>
      </c>
      <c r="D630" t="s">
        <v>24</v>
      </c>
      <c r="E630" t="s">
        <v>109</v>
      </c>
      <c r="F630" t="s">
        <v>159</v>
      </c>
      <c r="G630" t="s">
        <v>160</v>
      </c>
      <c r="H630" t="s">
        <v>64</v>
      </c>
      <c r="I630" t="s">
        <v>65</v>
      </c>
      <c r="J630" t="s">
        <v>100</v>
      </c>
      <c r="K630" t="s">
        <v>75</v>
      </c>
      <c r="L630" s="2">
        <v>0.375</v>
      </c>
      <c r="M630" s="2">
        <v>0.75</v>
      </c>
      <c r="N630">
        <v>8</v>
      </c>
      <c r="O630">
        <v>0</v>
      </c>
      <c r="P630" t="s">
        <v>32</v>
      </c>
      <c r="R630">
        <v>3</v>
      </c>
      <c r="S630" t="s">
        <v>67</v>
      </c>
      <c r="T630" t="s">
        <v>68</v>
      </c>
      <c r="U630" t="s">
        <v>55</v>
      </c>
    </row>
    <row r="631" spans="1:22" x14ac:dyDescent="0.3">
      <c r="A631" t="s">
        <v>820</v>
      </c>
      <c r="B631" s="3">
        <v>45815</v>
      </c>
      <c r="C631" t="s">
        <v>23</v>
      </c>
      <c r="D631" t="s">
        <v>24</v>
      </c>
      <c r="E631" t="s">
        <v>38</v>
      </c>
      <c r="F631" t="s">
        <v>116</v>
      </c>
      <c r="G631" t="s">
        <v>117</v>
      </c>
      <c r="H631" t="s">
        <v>112</v>
      </c>
      <c r="I631" t="s">
        <v>113</v>
      </c>
      <c r="J631" t="s">
        <v>100</v>
      </c>
      <c r="K631" t="s">
        <v>54</v>
      </c>
      <c r="L631" s="2">
        <v>0.375</v>
      </c>
      <c r="M631" s="2">
        <v>0.75</v>
      </c>
      <c r="N631">
        <v>8</v>
      </c>
      <c r="O631">
        <v>0</v>
      </c>
      <c r="P631" t="s">
        <v>32</v>
      </c>
      <c r="R631">
        <v>4</v>
      </c>
      <c r="S631" t="s">
        <v>92</v>
      </c>
      <c r="T631" t="s">
        <v>114</v>
      </c>
      <c r="U631" t="s">
        <v>47</v>
      </c>
      <c r="V631" t="s">
        <v>60</v>
      </c>
    </row>
    <row r="632" spans="1:22" x14ac:dyDescent="0.3">
      <c r="A632" t="s">
        <v>821</v>
      </c>
      <c r="B632" s="3">
        <v>45700</v>
      </c>
      <c r="C632" t="s">
        <v>95</v>
      </c>
      <c r="D632" t="s">
        <v>50</v>
      </c>
      <c r="E632" t="s">
        <v>51</v>
      </c>
      <c r="F632" t="s">
        <v>305</v>
      </c>
      <c r="G632" t="s">
        <v>306</v>
      </c>
      <c r="H632" t="s">
        <v>79</v>
      </c>
      <c r="I632" t="s">
        <v>80</v>
      </c>
      <c r="J632" t="s">
        <v>74</v>
      </c>
      <c r="K632" t="s">
        <v>44</v>
      </c>
      <c r="L632" s="2">
        <v>0.375</v>
      </c>
      <c r="M632" s="2">
        <v>0.75</v>
      </c>
      <c r="N632">
        <v>8</v>
      </c>
      <c r="O632">
        <v>0</v>
      </c>
      <c r="P632" t="s">
        <v>32</v>
      </c>
      <c r="R632">
        <v>3</v>
      </c>
      <c r="S632" t="s">
        <v>92</v>
      </c>
      <c r="T632" t="s">
        <v>84</v>
      </c>
      <c r="U632" t="s">
        <v>85</v>
      </c>
    </row>
    <row r="633" spans="1:22" x14ac:dyDescent="0.3">
      <c r="A633" t="s">
        <v>822</v>
      </c>
      <c r="B633" s="3">
        <v>45776</v>
      </c>
      <c r="C633" t="s">
        <v>37</v>
      </c>
      <c r="D633" t="s">
        <v>24</v>
      </c>
      <c r="E633" t="s">
        <v>87</v>
      </c>
      <c r="F633" t="s">
        <v>215</v>
      </c>
      <c r="G633" t="s">
        <v>216</v>
      </c>
      <c r="H633" t="s">
        <v>79</v>
      </c>
      <c r="I633" t="s">
        <v>80</v>
      </c>
      <c r="J633" t="s">
        <v>30</v>
      </c>
      <c r="K633" t="s">
        <v>75</v>
      </c>
      <c r="L633" s="2">
        <v>0.375</v>
      </c>
      <c r="M633" s="2">
        <v>0.75</v>
      </c>
      <c r="N633">
        <v>8</v>
      </c>
      <c r="O633">
        <v>0</v>
      </c>
      <c r="P633" t="s">
        <v>32</v>
      </c>
      <c r="S633" t="s">
        <v>67</v>
      </c>
      <c r="T633" t="s">
        <v>84</v>
      </c>
      <c r="U633" t="s">
        <v>55</v>
      </c>
    </row>
    <row r="634" spans="1:22" x14ac:dyDescent="0.3">
      <c r="A634" t="s">
        <v>823</v>
      </c>
      <c r="B634" s="3">
        <v>45831</v>
      </c>
      <c r="C634" t="s">
        <v>23</v>
      </c>
      <c r="D634" t="s">
        <v>24</v>
      </c>
      <c r="E634" t="s">
        <v>109</v>
      </c>
      <c r="F634" t="s">
        <v>104</v>
      </c>
      <c r="G634" t="s">
        <v>105</v>
      </c>
      <c r="H634" t="s">
        <v>28</v>
      </c>
      <c r="I634" t="s">
        <v>29</v>
      </c>
      <c r="J634" t="s">
        <v>30</v>
      </c>
      <c r="K634" t="s">
        <v>54</v>
      </c>
      <c r="M634" s="2">
        <v>0.75</v>
      </c>
      <c r="N634">
        <v>8</v>
      </c>
      <c r="O634">
        <v>0</v>
      </c>
      <c r="P634" t="s">
        <v>32</v>
      </c>
      <c r="R634">
        <v>3</v>
      </c>
      <c r="S634" t="s">
        <v>45</v>
      </c>
      <c r="T634" t="s">
        <v>34</v>
      </c>
      <c r="U634" t="s">
        <v>85</v>
      </c>
      <c r="V634" t="s">
        <v>60</v>
      </c>
    </row>
    <row r="635" spans="1:22" x14ac:dyDescent="0.3">
      <c r="A635" t="s">
        <v>824</v>
      </c>
      <c r="B635" s="3">
        <v>45723</v>
      </c>
      <c r="C635" t="s">
        <v>71</v>
      </c>
      <c r="D635" t="s">
        <v>50</v>
      </c>
      <c r="E635" t="s">
        <v>119</v>
      </c>
      <c r="F635" t="s">
        <v>204</v>
      </c>
      <c r="G635" t="s">
        <v>205</v>
      </c>
      <c r="H635" t="s">
        <v>90</v>
      </c>
      <c r="I635" t="s">
        <v>91</v>
      </c>
      <c r="J635" t="s">
        <v>74</v>
      </c>
      <c r="K635" t="s">
        <v>44</v>
      </c>
      <c r="L635" s="2">
        <v>0.375</v>
      </c>
      <c r="M635" s="2">
        <v>0.75</v>
      </c>
      <c r="N635">
        <v>8</v>
      </c>
      <c r="O635">
        <v>0</v>
      </c>
      <c r="P635" t="s">
        <v>32</v>
      </c>
      <c r="R635">
        <v>5</v>
      </c>
      <c r="S635" t="s">
        <v>92</v>
      </c>
      <c r="T635" t="s">
        <v>93</v>
      </c>
      <c r="U635" t="s">
        <v>55</v>
      </c>
      <c r="V635" t="s">
        <v>69</v>
      </c>
    </row>
    <row r="636" spans="1:22" x14ac:dyDescent="0.3">
      <c r="A636" t="s">
        <v>825</v>
      </c>
      <c r="B636" s="3">
        <v>45746</v>
      </c>
      <c r="C636" t="s">
        <v>71</v>
      </c>
      <c r="D636" t="s">
        <v>50</v>
      </c>
      <c r="E636" t="s">
        <v>103</v>
      </c>
      <c r="F636" t="s">
        <v>142</v>
      </c>
      <c r="G636" t="s">
        <v>143</v>
      </c>
      <c r="H636" t="s">
        <v>64</v>
      </c>
      <c r="I636" t="s">
        <v>65</v>
      </c>
      <c r="J636" t="s">
        <v>43</v>
      </c>
      <c r="K636" t="s">
        <v>75</v>
      </c>
      <c r="L636" s="2">
        <v>0.375</v>
      </c>
      <c r="M636" s="2">
        <v>0.75</v>
      </c>
      <c r="N636">
        <v>9</v>
      </c>
      <c r="O636">
        <v>1</v>
      </c>
      <c r="P636" t="s">
        <v>32</v>
      </c>
      <c r="R636">
        <v>3</v>
      </c>
      <c r="S636" t="s">
        <v>67</v>
      </c>
      <c r="T636" t="s">
        <v>68</v>
      </c>
      <c r="U636" t="s">
        <v>55</v>
      </c>
    </row>
    <row r="637" spans="1:22" x14ac:dyDescent="0.3">
      <c r="A637" t="s">
        <v>826</v>
      </c>
      <c r="B637" s="1">
        <v>45702</v>
      </c>
      <c r="C637" t="s">
        <v>95</v>
      </c>
      <c r="D637" t="s">
        <v>50</v>
      </c>
      <c r="E637" t="s">
        <v>119</v>
      </c>
      <c r="F637" t="s">
        <v>195</v>
      </c>
      <c r="G637" t="s">
        <v>196</v>
      </c>
      <c r="H637" t="s">
        <v>98</v>
      </c>
      <c r="I637" t="s">
        <v>99</v>
      </c>
      <c r="J637" t="s">
        <v>43</v>
      </c>
      <c r="K637" t="s">
        <v>44</v>
      </c>
      <c r="L637" s="2">
        <v>0.375</v>
      </c>
      <c r="M637" s="2">
        <v>0.75</v>
      </c>
      <c r="N637">
        <v>8</v>
      </c>
      <c r="O637">
        <v>0</v>
      </c>
      <c r="P637" t="s">
        <v>32</v>
      </c>
      <c r="R637">
        <v>3</v>
      </c>
      <c r="S637" t="s">
        <v>45</v>
      </c>
      <c r="T637" t="s">
        <v>101</v>
      </c>
      <c r="U637" t="s">
        <v>47</v>
      </c>
      <c r="V637" t="s">
        <v>35</v>
      </c>
    </row>
    <row r="638" spans="1:22" x14ac:dyDescent="0.3">
      <c r="A638" t="s">
        <v>827</v>
      </c>
      <c r="B638" s="3">
        <v>45674</v>
      </c>
      <c r="C638" t="s">
        <v>49</v>
      </c>
      <c r="D638" t="s">
        <v>50</v>
      </c>
      <c r="E638" t="s">
        <v>119</v>
      </c>
      <c r="F638" t="s">
        <v>173</v>
      </c>
      <c r="G638" t="s">
        <v>174</v>
      </c>
      <c r="H638" t="s">
        <v>90</v>
      </c>
      <c r="I638" t="s">
        <v>91</v>
      </c>
      <c r="J638" t="s">
        <v>74</v>
      </c>
      <c r="K638" t="s">
        <v>44</v>
      </c>
      <c r="P638" t="s">
        <v>135</v>
      </c>
      <c r="S638" t="s">
        <v>45</v>
      </c>
      <c r="T638" t="s">
        <v>93</v>
      </c>
      <c r="U638" t="s">
        <v>47</v>
      </c>
    </row>
    <row r="639" spans="1:22" x14ac:dyDescent="0.3">
      <c r="A639" t="s">
        <v>828</v>
      </c>
      <c r="B639" s="1">
        <v>45709</v>
      </c>
      <c r="C639" t="s">
        <v>95</v>
      </c>
      <c r="D639" t="s">
        <v>50</v>
      </c>
      <c r="E639" t="s">
        <v>119</v>
      </c>
      <c r="F639" t="s">
        <v>281</v>
      </c>
      <c r="G639" t="s">
        <v>282</v>
      </c>
      <c r="H639" t="s">
        <v>90</v>
      </c>
      <c r="I639" t="s">
        <v>91</v>
      </c>
      <c r="J639" t="s">
        <v>30</v>
      </c>
      <c r="K639" t="s">
        <v>81</v>
      </c>
      <c r="L639" s="2">
        <v>0.91666666666666663</v>
      </c>
      <c r="M639" s="2">
        <v>0.29166666666666669</v>
      </c>
      <c r="N639">
        <v>8.5</v>
      </c>
      <c r="O639">
        <v>0.5</v>
      </c>
      <c r="P639" t="s">
        <v>32</v>
      </c>
      <c r="R639">
        <v>3</v>
      </c>
      <c r="S639" t="s">
        <v>45</v>
      </c>
      <c r="T639" t="s">
        <v>93</v>
      </c>
      <c r="U639" t="s">
        <v>55</v>
      </c>
      <c r="V639" t="s">
        <v>69</v>
      </c>
    </row>
    <row r="640" spans="1:22" x14ac:dyDescent="0.3">
      <c r="A640" t="s">
        <v>829</v>
      </c>
      <c r="B640" s="3">
        <v>45724</v>
      </c>
      <c r="C640" t="s">
        <v>71</v>
      </c>
      <c r="D640" t="s">
        <v>50</v>
      </c>
      <c r="E640" t="s">
        <v>38</v>
      </c>
      <c r="F640" t="s">
        <v>170</v>
      </c>
      <c r="G640" t="s">
        <v>171</v>
      </c>
      <c r="H640" t="s">
        <v>64</v>
      </c>
      <c r="I640" t="s">
        <v>65</v>
      </c>
      <c r="J640" t="s">
        <v>43</v>
      </c>
      <c r="K640" t="s">
        <v>44</v>
      </c>
      <c r="L640" s="2">
        <v>0.375</v>
      </c>
      <c r="M640" s="2">
        <v>0.75</v>
      </c>
      <c r="N640">
        <v>8.5</v>
      </c>
      <c r="O640">
        <v>0.5</v>
      </c>
      <c r="P640" t="s">
        <v>32</v>
      </c>
      <c r="R640">
        <v>5</v>
      </c>
      <c r="S640" t="s">
        <v>33</v>
      </c>
      <c r="T640" t="s">
        <v>68</v>
      </c>
      <c r="U640" t="s">
        <v>55</v>
      </c>
      <c r="V640" t="s">
        <v>60</v>
      </c>
    </row>
    <row r="641" spans="1:22" x14ac:dyDescent="0.3">
      <c r="A641" t="s">
        <v>830</v>
      </c>
      <c r="B641" s="1">
        <v>45790</v>
      </c>
      <c r="C641" t="s">
        <v>57</v>
      </c>
      <c r="D641" t="s">
        <v>24</v>
      </c>
      <c r="E641" t="s">
        <v>87</v>
      </c>
      <c r="F641" t="s">
        <v>154</v>
      </c>
      <c r="G641" t="s">
        <v>155</v>
      </c>
      <c r="H641" t="s">
        <v>41</v>
      </c>
      <c r="I641" t="s">
        <v>42</v>
      </c>
      <c r="J641" t="s">
        <v>74</v>
      </c>
      <c r="K641" t="s">
        <v>44</v>
      </c>
      <c r="L641" s="2">
        <v>0.375</v>
      </c>
      <c r="M641" s="2">
        <v>0.75</v>
      </c>
      <c r="N641">
        <v>8</v>
      </c>
      <c r="O641">
        <v>0</v>
      </c>
      <c r="P641" t="s">
        <v>32</v>
      </c>
      <c r="R641">
        <v>4</v>
      </c>
      <c r="S641" t="s">
        <v>92</v>
      </c>
      <c r="T641" t="s">
        <v>46</v>
      </c>
      <c r="U641" t="s">
        <v>55</v>
      </c>
      <c r="V641" t="s">
        <v>69</v>
      </c>
    </row>
    <row r="642" spans="1:22" x14ac:dyDescent="0.3">
      <c r="A642" t="s">
        <v>831</v>
      </c>
      <c r="B642" s="3">
        <v>45686</v>
      </c>
      <c r="C642" t="s">
        <v>49</v>
      </c>
      <c r="D642" t="s">
        <v>50</v>
      </c>
      <c r="E642" t="s">
        <v>51</v>
      </c>
      <c r="F642" t="s">
        <v>52</v>
      </c>
      <c r="G642" t="s">
        <v>53</v>
      </c>
      <c r="H642" t="s">
        <v>41</v>
      </c>
      <c r="I642" t="s">
        <v>42</v>
      </c>
      <c r="J642" t="s">
        <v>43</v>
      </c>
      <c r="K642" t="s">
        <v>44</v>
      </c>
      <c r="L642" s="2">
        <v>0.375</v>
      </c>
      <c r="M642" s="2">
        <v>0.75</v>
      </c>
      <c r="N642">
        <v>8</v>
      </c>
      <c r="O642">
        <v>0</v>
      </c>
      <c r="P642" t="s">
        <v>32</v>
      </c>
      <c r="R642">
        <v>4</v>
      </c>
      <c r="S642" t="s">
        <v>92</v>
      </c>
      <c r="T642" t="s">
        <v>46</v>
      </c>
      <c r="V642" t="s">
        <v>60</v>
      </c>
    </row>
    <row r="643" spans="1:22" x14ac:dyDescent="0.3">
      <c r="A643" t="s">
        <v>832</v>
      </c>
      <c r="B643" s="1">
        <v>45771</v>
      </c>
      <c r="C643" t="s">
        <v>37</v>
      </c>
      <c r="D643" t="s">
        <v>24</v>
      </c>
      <c r="E643" t="s">
        <v>25</v>
      </c>
      <c r="F643" t="s">
        <v>148</v>
      </c>
      <c r="G643" t="s">
        <v>149</v>
      </c>
      <c r="H643" t="s">
        <v>112</v>
      </c>
      <c r="I643" t="s">
        <v>113</v>
      </c>
      <c r="J643" t="s">
        <v>43</v>
      </c>
      <c r="K643" t="s">
        <v>54</v>
      </c>
      <c r="L643" s="2">
        <v>0.39930555555555558</v>
      </c>
      <c r="M643" s="2">
        <v>0.75</v>
      </c>
      <c r="N643">
        <v>8</v>
      </c>
      <c r="O643">
        <v>0</v>
      </c>
      <c r="P643" t="s">
        <v>32</v>
      </c>
      <c r="R643">
        <v>5</v>
      </c>
      <c r="S643" t="s">
        <v>45</v>
      </c>
      <c r="T643" t="s">
        <v>114</v>
      </c>
      <c r="U643" t="s">
        <v>85</v>
      </c>
      <c r="V643" t="s">
        <v>60</v>
      </c>
    </row>
    <row r="644" spans="1:22" x14ac:dyDescent="0.3">
      <c r="A644" t="s">
        <v>833</v>
      </c>
      <c r="B644" s="3">
        <v>45709</v>
      </c>
      <c r="C644" t="s">
        <v>95</v>
      </c>
      <c r="D644" t="s">
        <v>50</v>
      </c>
      <c r="E644" t="s">
        <v>119</v>
      </c>
      <c r="F644" t="s">
        <v>151</v>
      </c>
      <c r="G644" t="s">
        <v>152</v>
      </c>
      <c r="H644" t="s">
        <v>98</v>
      </c>
      <c r="I644" t="s">
        <v>99</v>
      </c>
      <c r="J644" t="s">
        <v>30</v>
      </c>
      <c r="K644" t="s">
        <v>81</v>
      </c>
      <c r="L644" s="2">
        <v>0.91666666666666663</v>
      </c>
      <c r="M644" s="2">
        <v>0.29166666666666669</v>
      </c>
      <c r="N644">
        <v>10</v>
      </c>
      <c r="O644">
        <v>2</v>
      </c>
      <c r="P644" t="s">
        <v>32</v>
      </c>
      <c r="S644" t="s">
        <v>33</v>
      </c>
      <c r="T644" t="s">
        <v>101</v>
      </c>
      <c r="V644" t="s">
        <v>60</v>
      </c>
    </row>
    <row r="645" spans="1:22" x14ac:dyDescent="0.3">
      <c r="A645" t="s">
        <v>834</v>
      </c>
      <c r="B645" s="3">
        <v>45801</v>
      </c>
      <c r="C645" t="s">
        <v>57</v>
      </c>
      <c r="D645" t="s">
        <v>24</v>
      </c>
      <c r="E645" t="s">
        <v>38</v>
      </c>
      <c r="F645" t="s">
        <v>305</v>
      </c>
      <c r="G645" t="s">
        <v>306</v>
      </c>
      <c r="H645" t="s">
        <v>79</v>
      </c>
      <c r="I645" t="s">
        <v>80</v>
      </c>
      <c r="J645" t="s">
        <v>74</v>
      </c>
      <c r="K645" t="s">
        <v>81</v>
      </c>
      <c r="L645" s="2">
        <v>0.91666666666666663</v>
      </c>
      <c r="M645" s="2">
        <v>0.29166666666666669</v>
      </c>
      <c r="N645">
        <v>10</v>
      </c>
      <c r="O645">
        <v>2</v>
      </c>
      <c r="P645" t="s">
        <v>32</v>
      </c>
      <c r="R645">
        <v>5</v>
      </c>
      <c r="S645" t="s">
        <v>45</v>
      </c>
      <c r="T645" t="s">
        <v>84</v>
      </c>
      <c r="U645" t="s">
        <v>47</v>
      </c>
      <c r="V645" t="s">
        <v>69</v>
      </c>
    </row>
    <row r="646" spans="1:22" x14ac:dyDescent="0.3">
      <c r="A646" t="s">
        <v>835</v>
      </c>
      <c r="B646" s="3">
        <v>45661</v>
      </c>
      <c r="C646" t="s">
        <v>49</v>
      </c>
      <c r="D646" t="s">
        <v>50</v>
      </c>
      <c r="E646" t="s">
        <v>38</v>
      </c>
      <c r="F646" t="s">
        <v>151</v>
      </c>
      <c r="G646" t="s">
        <v>152</v>
      </c>
      <c r="H646" t="s">
        <v>98</v>
      </c>
      <c r="I646" t="s">
        <v>99</v>
      </c>
      <c r="J646" t="s">
        <v>30</v>
      </c>
      <c r="K646" t="s">
        <v>54</v>
      </c>
      <c r="L646" s="2">
        <v>0.375</v>
      </c>
      <c r="M646" s="2">
        <v>0.75</v>
      </c>
      <c r="N646">
        <v>8</v>
      </c>
      <c r="O646">
        <v>0</v>
      </c>
      <c r="P646" t="s">
        <v>32</v>
      </c>
      <c r="R646">
        <v>3</v>
      </c>
      <c r="S646" t="s">
        <v>67</v>
      </c>
      <c r="T646" t="s">
        <v>101</v>
      </c>
      <c r="U646" t="s">
        <v>85</v>
      </c>
      <c r="V646" t="s">
        <v>60</v>
      </c>
    </row>
    <row r="647" spans="1:22" x14ac:dyDescent="0.3">
      <c r="A647" t="s">
        <v>836</v>
      </c>
      <c r="B647" s="3">
        <v>45777</v>
      </c>
      <c r="C647" t="s">
        <v>37</v>
      </c>
      <c r="D647" t="s">
        <v>24</v>
      </c>
      <c r="E647" t="s">
        <v>51</v>
      </c>
      <c r="F647" t="s">
        <v>133</v>
      </c>
      <c r="G647" t="s">
        <v>134</v>
      </c>
      <c r="H647" t="s">
        <v>98</v>
      </c>
      <c r="I647" t="s">
        <v>99</v>
      </c>
      <c r="J647" t="s">
        <v>66</v>
      </c>
      <c r="K647" t="s">
        <v>54</v>
      </c>
      <c r="L647" s="2">
        <v>0.375</v>
      </c>
      <c r="M647" s="2">
        <v>0.75</v>
      </c>
      <c r="N647">
        <v>8</v>
      </c>
      <c r="O647">
        <v>0</v>
      </c>
      <c r="P647" t="s">
        <v>32</v>
      </c>
      <c r="R647">
        <v>4</v>
      </c>
      <c r="S647" t="s">
        <v>45</v>
      </c>
      <c r="T647" t="s">
        <v>101</v>
      </c>
      <c r="U647" t="s">
        <v>55</v>
      </c>
      <c r="V647" t="s">
        <v>60</v>
      </c>
    </row>
    <row r="648" spans="1:22" x14ac:dyDescent="0.3">
      <c r="A648" t="s">
        <v>837</v>
      </c>
      <c r="B648" s="3">
        <v>45741</v>
      </c>
      <c r="C648" t="s">
        <v>71</v>
      </c>
      <c r="D648" t="s">
        <v>50</v>
      </c>
      <c r="E648" t="s">
        <v>87</v>
      </c>
      <c r="F648" t="s">
        <v>211</v>
      </c>
      <c r="G648" t="s">
        <v>212</v>
      </c>
      <c r="H648" t="s">
        <v>64</v>
      </c>
      <c r="I648" t="s">
        <v>65</v>
      </c>
      <c r="J648" t="s">
        <v>74</v>
      </c>
      <c r="K648" t="s">
        <v>75</v>
      </c>
      <c r="L648" s="2">
        <v>0.375</v>
      </c>
      <c r="M648" s="2">
        <v>0.75</v>
      </c>
      <c r="N648">
        <v>10</v>
      </c>
      <c r="O648">
        <v>2</v>
      </c>
      <c r="P648" t="s">
        <v>32</v>
      </c>
      <c r="R648">
        <v>3</v>
      </c>
      <c r="S648" t="s">
        <v>67</v>
      </c>
      <c r="T648" t="s">
        <v>68</v>
      </c>
      <c r="U648" t="s">
        <v>47</v>
      </c>
      <c r="V648" t="s">
        <v>69</v>
      </c>
    </row>
    <row r="649" spans="1:22" x14ac:dyDescent="0.3">
      <c r="A649" t="s">
        <v>838</v>
      </c>
      <c r="B649" s="1">
        <v>45708</v>
      </c>
      <c r="C649" t="s">
        <v>95</v>
      </c>
      <c r="D649" t="s">
        <v>50</v>
      </c>
      <c r="E649" t="s">
        <v>25</v>
      </c>
      <c r="F649" t="s">
        <v>151</v>
      </c>
      <c r="G649" t="s">
        <v>152</v>
      </c>
      <c r="H649" t="s">
        <v>98</v>
      </c>
      <c r="I649" t="s">
        <v>99</v>
      </c>
      <c r="J649" t="s">
        <v>30</v>
      </c>
      <c r="K649" t="s">
        <v>75</v>
      </c>
      <c r="L649" s="2">
        <v>0.375</v>
      </c>
      <c r="M649" s="2">
        <v>0.75</v>
      </c>
      <c r="N649">
        <v>8</v>
      </c>
      <c r="O649">
        <v>0</v>
      </c>
      <c r="P649" t="s">
        <v>32</v>
      </c>
      <c r="R649">
        <v>4</v>
      </c>
      <c r="S649" t="s">
        <v>45</v>
      </c>
      <c r="T649" t="s">
        <v>101</v>
      </c>
      <c r="V649" t="s">
        <v>60</v>
      </c>
    </row>
    <row r="650" spans="1:22" x14ac:dyDescent="0.3">
      <c r="A650" t="s">
        <v>839</v>
      </c>
      <c r="B650" s="3">
        <v>45707</v>
      </c>
      <c r="C650" t="s">
        <v>95</v>
      </c>
      <c r="D650" t="s">
        <v>50</v>
      </c>
      <c r="E650" t="s">
        <v>51</v>
      </c>
      <c r="F650" t="s">
        <v>120</v>
      </c>
      <c r="G650" t="s">
        <v>121</v>
      </c>
      <c r="H650" t="s">
        <v>41</v>
      </c>
      <c r="I650" t="s">
        <v>42</v>
      </c>
      <c r="J650" t="s">
        <v>74</v>
      </c>
      <c r="K650" t="s">
        <v>44</v>
      </c>
      <c r="L650" s="2">
        <v>0.375</v>
      </c>
      <c r="M650" s="2">
        <v>0.75</v>
      </c>
      <c r="N650">
        <v>8</v>
      </c>
      <c r="O650">
        <v>0</v>
      </c>
      <c r="P650" t="s">
        <v>32</v>
      </c>
      <c r="R650">
        <v>4</v>
      </c>
      <c r="S650" t="s">
        <v>45</v>
      </c>
      <c r="T650" t="s">
        <v>46</v>
      </c>
      <c r="U650" t="s">
        <v>55</v>
      </c>
      <c r="V650" t="s">
        <v>60</v>
      </c>
    </row>
    <row r="651" spans="1:22" x14ac:dyDescent="0.3">
      <c r="A651" t="s">
        <v>840</v>
      </c>
      <c r="B651" s="3">
        <v>45770</v>
      </c>
      <c r="C651" t="s">
        <v>37</v>
      </c>
      <c r="D651" t="s">
        <v>24</v>
      </c>
      <c r="E651" t="s">
        <v>51</v>
      </c>
      <c r="F651" t="s">
        <v>354</v>
      </c>
      <c r="G651" t="s">
        <v>355</v>
      </c>
      <c r="H651" t="s">
        <v>28</v>
      </c>
      <c r="I651" t="s">
        <v>29</v>
      </c>
      <c r="J651" t="s">
        <v>100</v>
      </c>
      <c r="K651" t="s">
        <v>44</v>
      </c>
      <c r="M651" s="2">
        <v>0.75</v>
      </c>
      <c r="N651">
        <v>8</v>
      </c>
      <c r="O651">
        <v>0</v>
      </c>
      <c r="P651" t="s">
        <v>32</v>
      </c>
      <c r="S651" t="s">
        <v>67</v>
      </c>
      <c r="T651" t="s">
        <v>34</v>
      </c>
      <c r="U651" t="s">
        <v>47</v>
      </c>
      <c r="V651" t="s">
        <v>69</v>
      </c>
    </row>
    <row r="652" spans="1:22" x14ac:dyDescent="0.3">
      <c r="A652" t="s">
        <v>841</v>
      </c>
      <c r="B652" s="3">
        <v>45825</v>
      </c>
      <c r="C652" t="s">
        <v>23</v>
      </c>
      <c r="D652" t="s">
        <v>24</v>
      </c>
      <c r="E652" t="s">
        <v>87</v>
      </c>
      <c r="F652" t="s">
        <v>182</v>
      </c>
      <c r="G652" t="s">
        <v>183</v>
      </c>
      <c r="H652" t="s">
        <v>112</v>
      </c>
      <c r="I652" t="s">
        <v>113</v>
      </c>
      <c r="J652" t="s">
        <v>30</v>
      </c>
      <c r="K652" t="s">
        <v>31</v>
      </c>
      <c r="L652" s="2">
        <v>0.38194444444444442</v>
      </c>
      <c r="M652" s="2">
        <v>0.75</v>
      </c>
      <c r="N652">
        <v>8</v>
      </c>
      <c r="O652">
        <v>0</v>
      </c>
      <c r="P652" t="s">
        <v>32</v>
      </c>
      <c r="R652">
        <v>5</v>
      </c>
      <c r="S652" t="s">
        <v>33</v>
      </c>
      <c r="T652" t="s">
        <v>114</v>
      </c>
      <c r="U652" t="s">
        <v>47</v>
      </c>
      <c r="V652" t="s">
        <v>60</v>
      </c>
    </row>
    <row r="653" spans="1:22" x14ac:dyDescent="0.3">
      <c r="A653" t="s">
        <v>842</v>
      </c>
      <c r="B653" s="1">
        <v>45708</v>
      </c>
      <c r="C653" t="s">
        <v>95</v>
      </c>
      <c r="D653" t="s">
        <v>50</v>
      </c>
      <c r="E653" t="s">
        <v>25</v>
      </c>
      <c r="F653" t="s">
        <v>215</v>
      </c>
      <c r="G653" t="s">
        <v>216</v>
      </c>
      <c r="H653" t="s">
        <v>79</v>
      </c>
      <c r="I653" t="s">
        <v>80</v>
      </c>
      <c r="J653" t="s">
        <v>30</v>
      </c>
      <c r="K653" t="s">
        <v>44</v>
      </c>
      <c r="L653" s="2">
        <v>0.375</v>
      </c>
      <c r="M653" s="2">
        <v>0.75</v>
      </c>
      <c r="N653">
        <v>8</v>
      </c>
      <c r="O653">
        <v>0</v>
      </c>
      <c r="P653" t="s">
        <v>32</v>
      </c>
      <c r="S653" t="s">
        <v>67</v>
      </c>
      <c r="T653" t="s">
        <v>84</v>
      </c>
      <c r="U653" t="s">
        <v>55</v>
      </c>
      <c r="V653" t="s">
        <v>60</v>
      </c>
    </row>
    <row r="654" spans="1:22" x14ac:dyDescent="0.3">
      <c r="A654" t="s">
        <v>843</v>
      </c>
      <c r="B654" s="3">
        <v>45767</v>
      </c>
      <c r="C654" t="s">
        <v>37</v>
      </c>
      <c r="D654" t="s">
        <v>24</v>
      </c>
      <c r="E654" t="s">
        <v>103</v>
      </c>
      <c r="F654" t="s">
        <v>231</v>
      </c>
      <c r="G654" t="s">
        <v>232</v>
      </c>
      <c r="H654" t="s">
        <v>98</v>
      </c>
      <c r="I654" t="s">
        <v>99</v>
      </c>
      <c r="J654" t="s">
        <v>74</v>
      </c>
      <c r="K654" t="s">
        <v>75</v>
      </c>
      <c r="L654" s="2">
        <v>0.375</v>
      </c>
      <c r="M654" s="2">
        <v>0.75</v>
      </c>
      <c r="N654">
        <v>8</v>
      </c>
      <c r="O654">
        <v>0</v>
      </c>
      <c r="P654" t="s">
        <v>32</v>
      </c>
      <c r="R654">
        <v>4</v>
      </c>
      <c r="S654" t="s">
        <v>67</v>
      </c>
      <c r="T654" t="s">
        <v>101</v>
      </c>
      <c r="U654" t="s">
        <v>47</v>
      </c>
      <c r="V654" t="s">
        <v>60</v>
      </c>
    </row>
    <row r="655" spans="1:22" x14ac:dyDescent="0.3">
      <c r="A655" t="s">
        <v>844</v>
      </c>
      <c r="B655" s="3">
        <v>45712</v>
      </c>
      <c r="C655" t="s">
        <v>95</v>
      </c>
      <c r="D655" t="s">
        <v>50</v>
      </c>
      <c r="E655" t="s">
        <v>109</v>
      </c>
      <c r="F655" t="s">
        <v>62</v>
      </c>
      <c r="G655" t="s">
        <v>63</v>
      </c>
      <c r="H655" t="s">
        <v>64</v>
      </c>
      <c r="I655" t="s">
        <v>65</v>
      </c>
      <c r="J655" t="s">
        <v>66</v>
      </c>
      <c r="K655" t="s">
        <v>54</v>
      </c>
      <c r="L655" s="2">
        <v>0.375</v>
      </c>
      <c r="M655" s="2">
        <v>0.75</v>
      </c>
      <c r="N655">
        <v>8</v>
      </c>
      <c r="O655">
        <v>0</v>
      </c>
      <c r="P655" t="s">
        <v>32</v>
      </c>
      <c r="R655">
        <v>4</v>
      </c>
      <c r="S655" t="s">
        <v>92</v>
      </c>
      <c r="T655" t="s">
        <v>68</v>
      </c>
      <c r="V655" t="s">
        <v>60</v>
      </c>
    </row>
    <row r="656" spans="1:22" x14ac:dyDescent="0.3">
      <c r="A656" t="s">
        <v>845</v>
      </c>
      <c r="B656" s="3">
        <v>45736</v>
      </c>
      <c r="C656" t="s">
        <v>71</v>
      </c>
      <c r="D656" t="s">
        <v>50</v>
      </c>
      <c r="E656" t="s">
        <v>25</v>
      </c>
      <c r="F656" t="s">
        <v>151</v>
      </c>
      <c r="G656" t="s">
        <v>152</v>
      </c>
      <c r="H656" t="s">
        <v>98</v>
      </c>
      <c r="I656" t="s">
        <v>99</v>
      </c>
      <c r="J656" t="s">
        <v>30</v>
      </c>
      <c r="K656" t="s">
        <v>81</v>
      </c>
      <c r="L656" s="2">
        <v>0.91666666666666663</v>
      </c>
      <c r="M656" s="2">
        <v>0.29166666666666669</v>
      </c>
      <c r="N656">
        <v>10</v>
      </c>
      <c r="O656">
        <v>2</v>
      </c>
      <c r="P656" t="s">
        <v>32</v>
      </c>
      <c r="R656">
        <v>3</v>
      </c>
      <c r="S656" t="s">
        <v>45</v>
      </c>
      <c r="T656" t="s">
        <v>101</v>
      </c>
      <c r="V656" t="s">
        <v>35</v>
      </c>
    </row>
    <row r="657" spans="1:22" x14ac:dyDescent="0.3">
      <c r="A657" t="s">
        <v>846</v>
      </c>
      <c r="B657" s="3">
        <v>45761</v>
      </c>
      <c r="C657" t="s">
        <v>37</v>
      </c>
      <c r="D657" t="s">
        <v>24</v>
      </c>
      <c r="E657" t="s">
        <v>109</v>
      </c>
      <c r="F657" t="s">
        <v>151</v>
      </c>
      <c r="G657" t="s">
        <v>152</v>
      </c>
      <c r="H657" t="s">
        <v>98</v>
      </c>
      <c r="I657" t="s">
        <v>99</v>
      </c>
      <c r="J657" t="s">
        <v>30</v>
      </c>
      <c r="K657" t="s">
        <v>54</v>
      </c>
      <c r="L657" s="2">
        <v>0.375</v>
      </c>
      <c r="M657" s="2">
        <v>0.75</v>
      </c>
      <c r="N657">
        <v>8</v>
      </c>
      <c r="O657">
        <v>0</v>
      </c>
      <c r="P657" t="s">
        <v>32</v>
      </c>
      <c r="R657">
        <v>3</v>
      </c>
      <c r="S657" t="s">
        <v>92</v>
      </c>
      <c r="T657" t="s">
        <v>101</v>
      </c>
      <c r="U657" t="s">
        <v>55</v>
      </c>
    </row>
    <row r="658" spans="1:22" x14ac:dyDescent="0.3">
      <c r="A658" t="s">
        <v>847</v>
      </c>
      <c r="B658" s="3">
        <v>45752</v>
      </c>
      <c r="C658" t="s">
        <v>37</v>
      </c>
      <c r="D658" t="s">
        <v>24</v>
      </c>
      <c r="E658" t="s">
        <v>38</v>
      </c>
      <c r="F658" t="s">
        <v>215</v>
      </c>
      <c r="G658" t="s">
        <v>216</v>
      </c>
      <c r="H658" t="s">
        <v>79</v>
      </c>
      <c r="I658" t="s">
        <v>80</v>
      </c>
      <c r="J658" t="s">
        <v>30</v>
      </c>
      <c r="K658" t="s">
        <v>81</v>
      </c>
      <c r="L658" s="2">
        <v>0.91666666666666663</v>
      </c>
      <c r="M658" s="2">
        <v>0.29166666666666669</v>
      </c>
      <c r="N658">
        <v>10</v>
      </c>
      <c r="O658">
        <v>2</v>
      </c>
      <c r="P658" t="s">
        <v>32</v>
      </c>
      <c r="R658">
        <v>3</v>
      </c>
      <c r="S658" t="s">
        <v>67</v>
      </c>
      <c r="T658" t="s">
        <v>84</v>
      </c>
      <c r="U658" t="s">
        <v>85</v>
      </c>
      <c r="V658" t="s">
        <v>35</v>
      </c>
    </row>
    <row r="659" spans="1:22" x14ac:dyDescent="0.3">
      <c r="A659" t="s">
        <v>848</v>
      </c>
      <c r="B659" s="3">
        <v>45823</v>
      </c>
      <c r="C659" t="s">
        <v>23</v>
      </c>
      <c r="D659" t="s">
        <v>24</v>
      </c>
      <c r="E659" t="s">
        <v>103</v>
      </c>
      <c r="F659" t="s">
        <v>192</v>
      </c>
      <c r="G659" t="s">
        <v>193</v>
      </c>
      <c r="H659" t="s">
        <v>79</v>
      </c>
      <c r="I659" t="s">
        <v>80</v>
      </c>
      <c r="J659" t="s">
        <v>66</v>
      </c>
      <c r="K659" t="s">
        <v>75</v>
      </c>
      <c r="L659" s="2">
        <v>0.375</v>
      </c>
      <c r="M659" s="2">
        <v>0.75</v>
      </c>
      <c r="N659">
        <v>8</v>
      </c>
      <c r="O659">
        <v>0</v>
      </c>
      <c r="P659" t="s">
        <v>32</v>
      </c>
      <c r="S659" t="s">
        <v>92</v>
      </c>
      <c r="T659" t="s">
        <v>84</v>
      </c>
      <c r="V659" t="s">
        <v>60</v>
      </c>
    </row>
    <row r="660" spans="1:22" x14ac:dyDescent="0.3">
      <c r="A660" t="s">
        <v>849</v>
      </c>
      <c r="B660" s="3">
        <v>45800</v>
      </c>
      <c r="C660" t="s">
        <v>57</v>
      </c>
      <c r="D660" t="s">
        <v>24</v>
      </c>
      <c r="E660" t="s">
        <v>119</v>
      </c>
      <c r="F660" t="s">
        <v>154</v>
      </c>
      <c r="G660" t="s">
        <v>155</v>
      </c>
      <c r="H660" t="s">
        <v>41</v>
      </c>
      <c r="I660" t="s">
        <v>42</v>
      </c>
      <c r="J660" t="s">
        <v>74</v>
      </c>
      <c r="K660" t="s">
        <v>44</v>
      </c>
      <c r="L660" s="2">
        <v>0.375</v>
      </c>
      <c r="M660" s="2">
        <v>0.75</v>
      </c>
      <c r="N660">
        <v>8</v>
      </c>
      <c r="O660">
        <v>0</v>
      </c>
      <c r="P660" t="s">
        <v>32</v>
      </c>
      <c r="S660" t="s">
        <v>33</v>
      </c>
      <c r="T660" t="s">
        <v>46</v>
      </c>
      <c r="U660" t="s">
        <v>55</v>
      </c>
    </row>
    <row r="661" spans="1:22" x14ac:dyDescent="0.3">
      <c r="A661" t="s">
        <v>850</v>
      </c>
      <c r="B661" s="1">
        <v>45829</v>
      </c>
      <c r="C661" t="s">
        <v>23</v>
      </c>
      <c r="D661" t="s">
        <v>24</v>
      </c>
      <c r="E661" t="s">
        <v>38</v>
      </c>
      <c r="F661" t="s">
        <v>88</v>
      </c>
      <c r="G661" t="s">
        <v>89</v>
      </c>
      <c r="H661" t="s">
        <v>90</v>
      </c>
      <c r="I661" t="s">
        <v>91</v>
      </c>
      <c r="J661" t="s">
        <v>43</v>
      </c>
      <c r="K661" t="s">
        <v>54</v>
      </c>
      <c r="L661" s="2">
        <v>0.375</v>
      </c>
      <c r="M661" s="2">
        <v>0.75</v>
      </c>
      <c r="N661">
        <v>8</v>
      </c>
      <c r="O661">
        <v>0</v>
      </c>
      <c r="P661" t="s">
        <v>32</v>
      </c>
      <c r="S661" t="s">
        <v>45</v>
      </c>
      <c r="T661" t="s">
        <v>93</v>
      </c>
      <c r="V661" t="s">
        <v>69</v>
      </c>
    </row>
    <row r="662" spans="1:22" x14ac:dyDescent="0.3">
      <c r="A662" t="s">
        <v>851</v>
      </c>
      <c r="B662" s="1">
        <v>45663</v>
      </c>
      <c r="C662" t="s">
        <v>49</v>
      </c>
      <c r="D662" t="s">
        <v>50</v>
      </c>
      <c r="E662" t="s">
        <v>109</v>
      </c>
      <c r="F662" t="s">
        <v>192</v>
      </c>
      <c r="G662" t="s">
        <v>193</v>
      </c>
      <c r="H662" t="s">
        <v>79</v>
      </c>
      <c r="I662" t="s">
        <v>80</v>
      </c>
      <c r="J662" t="s">
        <v>66</v>
      </c>
      <c r="K662" t="s">
        <v>75</v>
      </c>
      <c r="P662" t="s">
        <v>135</v>
      </c>
      <c r="S662" t="s">
        <v>45</v>
      </c>
      <c r="T662" t="s">
        <v>84</v>
      </c>
      <c r="U662" t="s">
        <v>47</v>
      </c>
      <c r="V662" t="s">
        <v>60</v>
      </c>
    </row>
    <row r="663" spans="1:22" x14ac:dyDescent="0.3">
      <c r="A663" t="s">
        <v>852</v>
      </c>
      <c r="B663" s="3">
        <v>45709</v>
      </c>
      <c r="C663" t="s">
        <v>95</v>
      </c>
      <c r="D663" t="s">
        <v>50</v>
      </c>
      <c r="E663" t="s">
        <v>119</v>
      </c>
      <c r="F663" t="s">
        <v>275</v>
      </c>
      <c r="G663" t="s">
        <v>276</v>
      </c>
      <c r="H663" t="s">
        <v>64</v>
      </c>
      <c r="I663" t="s">
        <v>65</v>
      </c>
      <c r="J663" t="s">
        <v>100</v>
      </c>
      <c r="K663" t="s">
        <v>44</v>
      </c>
      <c r="L663" s="2">
        <v>0.375</v>
      </c>
      <c r="M663" s="2">
        <v>0.75</v>
      </c>
      <c r="N663">
        <v>8</v>
      </c>
      <c r="O663">
        <v>0</v>
      </c>
      <c r="P663" t="s">
        <v>32</v>
      </c>
      <c r="R663">
        <v>4</v>
      </c>
      <c r="S663" t="s">
        <v>45</v>
      </c>
      <c r="T663" t="s">
        <v>68</v>
      </c>
      <c r="U663" t="s">
        <v>85</v>
      </c>
    </row>
    <row r="664" spans="1:22" x14ac:dyDescent="0.3">
      <c r="A664" t="s">
        <v>853</v>
      </c>
      <c r="B664" s="3">
        <v>45771</v>
      </c>
      <c r="C664" t="s">
        <v>37</v>
      </c>
      <c r="D664" t="s">
        <v>24</v>
      </c>
      <c r="E664" t="s">
        <v>25</v>
      </c>
      <c r="F664" t="s">
        <v>142</v>
      </c>
      <c r="G664" t="s">
        <v>143</v>
      </c>
      <c r="H664" t="s">
        <v>64</v>
      </c>
      <c r="I664" t="s">
        <v>65</v>
      </c>
      <c r="J664" t="s">
        <v>43</v>
      </c>
      <c r="K664" t="s">
        <v>75</v>
      </c>
      <c r="L664" s="2">
        <v>0.375</v>
      </c>
      <c r="M664" s="2">
        <v>0.75</v>
      </c>
      <c r="N664">
        <v>9</v>
      </c>
      <c r="O664">
        <v>1</v>
      </c>
      <c r="P664" t="s">
        <v>32</v>
      </c>
      <c r="R664">
        <v>5</v>
      </c>
      <c r="S664" t="s">
        <v>45</v>
      </c>
      <c r="T664" t="s">
        <v>68</v>
      </c>
    </row>
    <row r="665" spans="1:22" x14ac:dyDescent="0.3">
      <c r="A665" t="s">
        <v>854</v>
      </c>
      <c r="B665" s="3">
        <v>45688</v>
      </c>
      <c r="C665" t="s">
        <v>49</v>
      </c>
      <c r="D665" t="s">
        <v>50</v>
      </c>
      <c r="E665" t="s">
        <v>119</v>
      </c>
      <c r="F665" t="s">
        <v>170</v>
      </c>
      <c r="G665" t="s">
        <v>171</v>
      </c>
      <c r="H665" t="s">
        <v>64</v>
      </c>
      <c r="I665" t="s">
        <v>65</v>
      </c>
      <c r="J665" t="s">
        <v>43</v>
      </c>
      <c r="K665" t="s">
        <v>44</v>
      </c>
      <c r="L665" s="2">
        <v>0.375</v>
      </c>
      <c r="M665" s="2">
        <v>0.75</v>
      </c>
      <c r="N665">
        <v>9</v>
      </c>
      <c r="O665">
        <v>1</v>
      </c>
      <c r="P665" t="s">
        <v>32</v>
      </c>
      <c r="S665" t="s">
        <v>67</v>
      </c>
      <c r="T665" t="s">
        <v>68</v>
      </c>
      <c r="V665" t="s">
        <v>69</v>
      </c>
    </row>
    <row r="666" spans="1:22" x14ac:dyDescent="0.3">
      <c r="A666" t="s">
        <v>855</v>
      </c>
      <c r="B666" s="3">
        <v>45703</v>
      </c>
      <c r="C666" t="s">
        <v>95</v>
      </c>
      <c r="D666" t="s">
        <v>50</v>
      </c>
      <c r="E666" t="s">
        <v>38</v>
      </c>
      <c r="F666" t="s">
        <v>52</v>
      </c>
      <c r="G666" t="s">
        <v>53</v>
      </c>
      <c r="H666" t="s">
        <v>41</v>
      </c>
      <c r="I666" t="s">
        <v>42</v>
      </c>
      <c r="J666" t="s">
        <v>43</v>
      </c>
      <c r="K666" t="s">
        <v>81</v>
      </c>
      <c r="L666" s="2">
        <v>0.91666666666666663</v>
      </c>
      <c r="M666" s="2">
        <v>0.29166666666666669</v>
      </c>
      <c r="N666">
        <v>9</v>
      </c>
      <c r="O666">
        <v>1</v>
      </c>
      <c r="P666" t="s">
        <v>32</v>
      </c>
      <c r="S666" t="s">
        <v>92</v>
      </c>
      <c r="T666" t="s">
        <v>46</v>
      </c>
      <c r="U666" t="s">
        <v>85</v>
      </c>
      <c r="V666" t="s">
        <v>69</v>
      </c>
    </row>
    <row r="667" spans="1:22" x14ac:dyDescent="0.3">
      <c r="A667" t="s">
        <v>856</v>
      </c>
      <c r="B667" s="1">
        <v>45727</v>
      </c>
      <c r="C667" t="s">
        <v>71</v>
      </c>
      <c r="D667" t="s">
        <v>50</v>
      </c>
      <c r="E667" t="s">
        <v>87</v>
      </c>
      <c r="F667" t="s">
        <v>309</v>
      </c>
      <c r="G667" t="s">
        <v>310</v>
      </c>
      <c r="H667" t="s">
        <v>28</v>
      </c>
      <c r="I667" t="s">
        <v>29</v>
      </c>
      <c r="J667" t="s">
        <v>43</v>
      </c>
      <c r="K667" t="s">
        <v>31</v>
      </c>
      <c r="L667" s="2">
        <v>0.375</v>
      </c>
      <c r="M667" s="2">
        <v>0.75</v>
      </c>
      <c r="N667">
        <v>8</v>
      </c>
      <c r="O667">
        <v>0</v>
      </c>
      <c r="P667" t="s">
        <v>32</v>
      </c>
      <c r="R667">
        <v>4</v>
      </c>
      <c r="S667" t="s">
        <v>67</v>
      </c>
      <c r="T667" t="s">
        <v>34</v>
      </c>
      <c r="V667" t="s">
        <v>35</v>
      </c>
    </row>
    <row r="668" spans="1:22" x14ac:dyDescent="0.3">
      <c r="A668" t="s">
        <v>857</v>
      </c>
      <c r="B668" s="3">
        <v>45718</v>
      </c>
      <c r="C668" t="s">
        <v>71</v>
      </c>
      <c r="D668" t="s">
        <v>50</v>
      </c>
      <c r="E668" t="s">
        <v>103</v>
      </c>
      <c r="F668" t="s">
        <v>309</v>
      </c>
      <c r="G668" t="s">
        <v>310</v>
      </c>
      <c r="H668" t="s">
        <v>28</v>
      </c>
      <c r="I668" t="s">
        <v>29</v>
      </c>
      <c r="J668" t="s">
        <v>43</v>
      </c>
      <c r="K668" t="s">
        <v>31</v>
      </c>
      <c r="L668" s="2">
        <v>0.375</v>
      </c>
      <c r="M668" s="2">
        <v>0.75</v>
      </c>
      <c r="N668">
        <v>8</v>
      </c>
      <c r="O668">
        <v>0</v>
      </c>
      <c r="P668" t="s">
        <v>32</v>
      </c>
      <c r="R668">
        <v>3</v>
      </c>
      <c r="S668" t="s">
        <v>92</v>
      </c>
      <c r="T668" t="s">
        <v>34</v>
      </c>
      <c r="U668" t="s">
        <v>47</v>
      </c>
      <c r="V668" t="s">
        <v>35</v>
      </c>
    </row>
    <row r="669" spans="1:22" x14ac:dyDescent="0.3">
      <c r="A669" t="s">
        <v>858</v>
      </c>
      <c r="B669" s="3">
        <v>45788</v>
      </c>
      <c r="C669" t="s">
        <v>57</v>
      </c>
      <c r="D669" t="s">
        <v>24</v>
      </c>
      <c r="E669" t="s">
        <v>103</v>
      </c>
      <c r="F669" t="s">
        <v>39</v>
      </c>
      <c r="G669" t="s">
        <v>40</v>
      </c>
      <c r="H669" t="s">
        <v>41</v>
      </c>
      <c r="I669" t="s">
        <v>42</v>
      </c>
      <c r="J669" t="s">
        <v>43</v>
      </c>
      <c r="K669" t="s">
        <v>44</v>
      </c>
      <c r="L669" s="2">
        <v>0.375</v>
      </c>
      <c r="M669" s="2">
        <v>0.75</v>
      </c>
      <c r="N669">
        <v>8</v>
      </c>
      <c r="O669">
        <v>0</v>
      </c>
      <c r="P669" t="s">
        <v>32</v>
      </c>
      <c r="R669">
        <v>4</v>
      </c>
      <c r="S669" t="s">
        <v>92</v>
      </c>
      <c r="T669" t="s">
        <v>46</v>
      </c>
      <c r="V669" t="s">
        <v>60</v>
      </c>
    </row>
    <row r="670" spans="1:22" x14ac:dyDescent="0.3">
      <c r="A670" t="s">
        <v>859</v>
      </c>
      <c r="B670" s="3">
        <v>45801</v>
      </c>
      <c r="C670" t="s">
        <v>57</v>
      </c>
      <c r="D670" t="s">
        <v>24</v>
      </c>
      <c r="E670" t="s">
        <v>38</v>
      </c>
      <c r="F670" t="s">
        <v>215</v>
      </c>
      <c r="G670" t="s">
        <v>216</v>
      </c>
      <c r="H670" t="s">
        <v>79</v>
      </c>
      <c r="I670" t="s">
        <v>80</v>
      </c>
      <c r="J670" t="s">
        <v>30</v>
      </c>
      <c r="K670" t="s">
        <v>75</v>
      </c>
      <c r="L670" s="2">
        <v>0.375</v>
      </c>
      <c r="M670" s="2">
        <v>0.75</v>
      </c>
      <c r="N670">
        <v>8</v>
      </c>
      <c r="O670">
        <v>0</v>
      </c>
      <c r="P670" t="s">
        <v>32</v>
      </c>
      <c r="R670">
        <v>4</v>
      </c>
      <c r="S670" t="s">
        <v>45</v>
      </c>
      <c r="T670" t="s">
        <v>84</v>
      </c>
      <c r="U670" t="s">
        <v>55</v>
      </c>
      <c r="V670" t="s">
        <v>35</v>
      </c>
    </row>
    <row r="671" spans="1:22" x14ac:dyDescent="0.3">
      <c r="A671" t="s">
        <v>860</v>
      </c>
      <c r="B671" s="3">
        <v>45697</v>
      </c>
      <c r="C671" t="s">
        <v>95</v>
      </c>
      <c r="D671" t="s">
        <v>50</v>
      </c>
      <c r="E671" t="s">
        <v>103</v>
      </c>
      <c r="F671" t="s">
        <v>151</v>
      </c>
      <c r="G671" t="s">
        <v>152</v>
      </c>
      <c r="H671" t="s">
        <v>98</v>
      </c>
      <c r="I671" t="s">
        <v>99</v>
      </c>
      <c r="J671" t="s">
        <v>30</v>
      </c>
      <c r="K671" t="s">
        <v>54</v>
      </c>
      <c r="L671" s="2">
        <v>0.375</v>
      </c>
      <c r="M671" s="2">
        <v>0.75</v>
      </c>
      <c r="N671">
        <v>8</v>
      </c>
      <c r="O671">
        <v>0</v>
      </c>
      <c r="P671" t="s">
        <v>32</v>
      </c>
      <c r="R671">
        <v>4</v>
      </c>
      <c r="S671" t="s">
        <v>45</v>
      </c>
      <c r="T671" t="s">
        <v>101</v>
      </c>
      <c r="U671" t="s">
        <v>85</v>
      </c>
      <c r="V671" t="s">
        <v>69</v>
      </c>
    </row>
    <row r="672" spans="1:22" x14ac:dyDescent="0.3">
      <c r="A672" t="s">
        <v>861</v>
      </c>
      <c r="B672" s="3">
        <v>45829</v>
      </c>
      <c r="C672" t="s">
        <v>23</v>
      </c>
      <c r="D672" t="s">
        <v>24</v>
      </c>
      <c r="E672" t="s">
        <v>38</v>
      </c>
      <c r="F672" t="s">
        <v>96</v>
      </c>
      <c r="G672" t="s">
        <v>97</v>
      </c>
      <c r="H672" t="s">
        <v>98</v>
      </c>
      <c r="I672" t="s">
        <v>99</v>
      </c>
      <c r="J672" t="s">
        <v>100</v>
      </c>
      <c r="K672" t="s">
        <v>75</v>
      </c>
      <c r="L672" s="2">
        <v>0.375</v>
      </c>
      <c r="M672" s="2">
        <v>0.75</v>
      </c>
      <c r="N672">
        <v>8</v>
      </c>
      <c r="O672">
        <v>0</v>
      </c>
      <c r="P672" t="s">
        <v>32</v>
      </c>
      <c r="R672">
        <v>4</v>
      </c>
      <c r="S672" t="s">
        <v>67</v>
      </c>
      <c r="T672" t="s">
        <v>101</v>
      </c>
      <c r="U672" t="s">
        <v>47</v>
      </c>
      <c r="V672" t="s">
        <v>69</v>
      </c>
    </row>
    <row r="673" spans="1:22" x14ac:dyDescent="0.3">
      <c r="A673" t="s">
        <v>862</v>
      </c>
      <c r="B673" s="1">
        <v>45660</v>
      </c>
      <c r="C673" t="s">
        <v>49</v>
      </c>
      <c r="D673" t="s">
        <v>50</v>
      </c>
      <c r="E673" t="s">
        <v>119</v>
      </c>
      <c r="F673" t="s">
        <v>204</v>
      </c>
      <c r="G673" t="s">
        <v>205</v>
      </c>
      <c r="H673" t="s">
        <v>90</v>
      </c>
      <c r="I673" t="s">
        <v>91</v>
      </c>
      <c r="J673" t="s">
        <v>74</v>
      </c>
      <c r="K673" t="s">
        <v>44</v>
      </c>
      <c r="L673" s="2">
        <v>0.375</v>
      </c>
      <c r="M673" s="2">
        <v>0.75</v>
      </c>
      <c r="N673">
        <v>8</v>
      </c>
      <c r="O673">
        <v>0</v>
      </c>
      <c r="P673" t="s">
        <v>32</v>
      </c>
      <c r="R673">
        <v>5</v>
      </c>
      <c r="S673" t="s">
        <v>45</v>
      </c>
      <c r="T673" t="s">
        <v>93</v>
      </c>
      <c r="U673" t="s">
        <v>85</v>
      </c>
      <c r="V673" t="s">
        <v>69</v>
      </c>
    </row>
    <row r="674" spans="1:22" x14ac:dyDescent="0.3">
      <c r="A674" t="s">
        <v>863</v>
      </c>
      <c r="B674" s="3">
        <v>45796</v>
      </c>
      <c r="C674" t="s">
        <v>57</v>
      </c>
      <c r="D674" t="s">
        <v>24</v>
      </c>
      <c r="E674" t="s">
        <v>109</v>
      </c>
      <c r="F674" t="s">
        <v>166</v>
      </c>
      <c r="G674" t="s">
        <v>167</v>
      </c>
      <c r="H674" t="s">
        <v>41</v>
      </c>
      <c r="I674" t="s">
        <v>42</v>
      </c>
      <c r="J674" t="s">
        <v>100</v>
      </c>
      <c r="K674" t="s">
        <v>81</v>
      </c>
      <c r="L674" s="2">
        <v>0.91666666666666663</v>
      </c>
      <c r="M674" s="2">
        <v>0.29166666666666669</v>
      </c>
      <c r="N674">
        <v>9</v>
      </c>
      <c r="O674">
        <v>1</v>
      </c>
      <c r="P674" t="s">
        <v>32</v>
      </c>
      <c r="R674">
        <v>5</v>
      </c>
      <c r="S674" t="s">
        <v>67</v>
      </c>
      <c r="T674" t="s">
        <v>46</v>
      </c>
      <c r="U674" t="s">
        <v>47</v>
      </c>
      <c r="V674" t="s">
        <v>60</v>
      </c>
    </row>
    <row r="675" spans="1:22" x14ac:dyDescent="0.3">
      <c r="A675" t="s">
        <v>864</v>
      </c>
      <c r="B675" s="3">
        <v>45755</v>
      </c>
      <c r="C675" t="s">
        <v>37</v>
      </c>
      <c r="D675" t="s">
        <v>24</v>
      </c>
      <c r="E675" t="s">
        <v>87</v>
      </c>
      <c r="F675" t="s">
        <v>243</v>
      </c>
      <c r="G675" t="s">
        <v>244</v>
      </c>
      <c r="H675" t="s">
        <v>90</v>
      </c>
      <c r="I675" t="s">
        <v>91</v>
      </c>
      <c r="J675" t="s">
        <v>30</v>
      </c>
      <c r="K675" t="s">
        <v>44</v>
      </c>
      <c r="L675" s="2">
        <v>0.375</v>
      </c>
      <c r="M675" s="2">
        <v>0.75</v>
      </c>
      <c r="N675">
        <v>8</v>
      </c>
      <c r="O675">
        <v>0</v>
      </c>
      <c r="P675" t="s">
        <v>32</v>
      </c>
      <c r="S675" t="s">
        <v>45</v>
      </c>
      <c r="T675" t="s">
        <v>93</v>
      </c>
      <c r="V675" t="s">
        <v>69</v>
      </c>
    </row>
    <row r="676" spans="1:22" x14ac:dyDescent="0.3">
      <c r="A676" t="s">
        <v>865</v>
      </c>
      <c r="B676" s="3">
        <v>45747</v>
      </c>
      <c r="C676" t="s">
        <v>71</v>
      </c>
      <c r="D676" t="s">
        <v>50</v>
      </c>
      <c r="E676" t="s">
        <v>109</v>
      </c>
      <c r="F676" t="s">
        <v>159</v>
      </c>
      <c r="G676" t="s">
        <v>160</v>
      </c>
      <c r="H676" t="s">
        <v>64</v>
      </c>
      <c r="I676" t="s">
        <v>65</v>
      </c>
      <c r="J676" t="s">
        <v>100</v>
      </c>
      <c r="K676" t="s">
        <v>31</v>
      </c>
      <c r="L676" s="2">
        <v>0.375</v>
      </c>
      <c r="M676" s="2">
        <v>0.75</v>
      </c>
      <c r="N676">
        <v>9</v>
      </c>
      <c r="O676">
        <v>1</v>
      </c>
      <c r="P676" t="s">
        <v>32</v>
      </c>
      <c r="S676" t="s">
        <v>92</v>
      </c>
      <c r="T676" t="s">
        <v>68</v>
      </c>
      <c r="V676" t="s">
        <v>60</v>
      </c>
    </row>
    <row r="677" spans="1:22" x14ac:dyDescent="0.3">
      <c r="A677" t="s">
        <v>866</v>
      </c>
      <c r="B677" s="3">
        <v>45659</v>
      </c>
      <c r="C677" t="s">
        <v>49</v>
      </c>
      <c r="D677" t="s">
        <v>50</v>
      </c>
      <c r="E677" t="s">
        <v>25</v>
      </c>
      <c r="F677" t="s">
        <v>201</v>
      </c>
      <c r="G677" t="s">
        <v>202</v>
      </c>
      <c r="H677" t="s">
        <v>112</v>
      </c>
      <c r="I677" t="s">
        <v>113</v>
      </c>
      <c r="J677" t="s">
        <v>66</v>
      </c>
      <c r="K677" t="s">
        <v>44</v>
      </c>
      <c r="L677" s="2">
        <v>0.375</v>
      </c>
      <c r="M677" s="2">
        <v>0.75</v>
      </c>
      <c r="N677">
        <v>8</v>
      </c>
      <c r="O677">
        <v>0</v>
      </c>
      <c r="P677" t="s">
        <v>32</v>
      </c>
      <c r="S677" t="s">
        <v>92</v>
      </c>
      <c r="T677" t="s">
        <v>114</v>
      </c>
      <c r="U677" t="s">
        <v>47</v>
      </c>
    </row>
    <row r="678" spans="1:22" x14ac:dyDescent="0.3">
      <c r="A678" t="s">
        <v>867</v>
      </c>
      <c r="B678" s="3">
        <v>45754</v>
      </c>
      <c r="C678" t="s">
        <v>37</v>
      </c>
      <c r="D678" t="s">
        <v>24</v>
      </c>
      <c r="E678" t="s">
        <v>109</v>
      </c>
      <c r="F678" t="s">
        <v>207</v>
      </c>
      <c r="G678" t="s">
        <v>208</v>
      </c>
      <c r="H678" t="s">
        <v>64</v>
      </c>
      <c r="I678" t="s">
        <v>65</v>
      </c>
      <c r="J678" t="s">
        <v>30</v>
      </c>
      <c r="K678" t="s">
        <v>44</v>
      </c>
      <c r="M678" s="2">
        <v>0.75</v>
      </c>
      <c r="N678">
        <v>8.5</v>
      </c>
      <c r="O678">
        <v>0.5</v>
      </c>
      <c r="P678" t="s">
        <v>32</v>
      </c>
      <c r="R678">
        <v>5</v>
      </c>
      <c r="S678" t="s">
        <v>67</v>
      </c>
      <c r="T678" t="s">
        <v>68</v>
      </c>
      <c r="U678" t="s">
        <v>55</v>
      </c>
      <c r="V678" t="s">
        <v>35</v>
      </c>
    </row>
    <row r="679" spans="1:22" x14ac:dyDescent="0.3">
      <c r="A679" t="s">
        <v>868</v>
      </c>
      <c r="B679" s="1">
        <v>45743</v>
      </c>
      <c r="C679" t="s">
        <v>71</v>
      </c>
      <c r="D679" t="s">
        <v>50</v>
      </c>
      <c r="E679" t="s">
        <v>25</v>
      </c>
      <c r="F679" t="s">
        <v>354</v>
      </c>
      <c r="G679" t="s">
        <v>355</v>
      </c>
      <c r="H679" t="s">
        <v>28</v>
      </c>
      <c r="I679" t="s">
        <v>29</v>
      </c>
      <c r="J679" t="s">
        <v>100</v>
      </c>
      <c r="K679" t="s">
        <v>54</v>
      </c>
      <c r="L679" s="2">
        <v>0.375</v>
      </c>
      <c r="M679" s="2">
        <v>0.75</v>
      </c>
      <c r="N679">
        <v>8</v>
      </c>
      <c r="O679">
        <v>0</v>
      </c>
      <c r="P679" t="s">
        <v>32</v>
      </c>
      <c r="R679">
        <v>4</v>
      </c>
      <c r="S679" t="s">
        <v>67</v>
      </c>
      <c r="T679" t="s">
        <v>34</v>
      </c>
      <c r="V679" t="s">
        <v>35</v>
      </c>
    </row>
    <row r="680" spans="1:22" x14ac:dyDescent="0.3">
      <c r="A680" t="s">
        <v>869</v>
      </c>
      <c r="B680" s="1">
        <v>45757</v>
      </c>
      <c r="C680" t="s">
        <v>37</v>
      </c>
      <c r="D680" t="s">
        <v>24</v>
      </c>
      <c r="E680" t="s">
        <v>25</v>
      </c>
      <c r="F680" t="s">
        <v>204</v>
      </c>
      <c r="G680" t="s">
        <v>205</v>
      </c>
      <c r="H680" t="s">
        <v>90</v>
      </c>
      <c r="I680" t="s">
        <v>91</v>
      </c>
      <c r="J680" t="s">
        <v>74</v>
      </c>
      <c r="K680" t="s">
        <v>75</v>
      </c>
      <c r="L680" s="2">
        <v>0.375</v>
      </c>
      <c r="M680" s="2">
        <v>0.75</v>
      </c>
      <c r="N680">
        <v>8</v>
      </c>
      <c r="O680">
        <v>0</v>
      </c>
      <c r="P680" t="s">
        <v>32</v>
      </c>
      <c r="R680">
        <v>4</v>
      </c>
      <c r="S680" t="s">
        <v>67</v>
      </c>
      <c r="T680" t="s">
        <v>93</v>
      </c>
      <c r="U680" t="s">
        <v>47</v>
      </c>
      <c r="V680" t="s">
        <v>60</v>
      </c>
    </row>
    <row r="681" spans="1:22" x14ac:dyDescent="0.3">
      <c r="A681" t="s">
        <v>870</v>
      </c>
      <c r="B681" s="3">
        <v>45745</v>
      </c>
      <c r="C681" t="s">
        <v>71</v>
      </c>
      <c r="D681" t="s">
        <v>50</v>
      </c>
      <c r="E681" t="s">
        <v>38</v>
      </c>
      <c r="F681" t="s">
        <v>170</v>
      </c>
      <c r="G681" t="s">
        <v>171</v>
      </c>
      <c r="H681" t="s">
        <v>64</v>
      </c>
      <c r="I681" t="s">
        <v>65</v>
      </c>
      <c r="J681" t="s">
        <v>43</v>
      </c>
      <c r="K681" t="s">
        <v>81</v>
      </c>
      <c r="L681" s="2">
        <v>0.91666666666666663</v>
      </c>
      <c r="M681" s="2">
        <v>0.29166666666666669</v>
      </c>
      <c r="N681">
        <v>8.5</v>
      </c>
      <c r="O681">
        <v>0.5</v>
      </c>
      <c r="P681" t="s">
        <v>32</v>
      </c>
      <c r="R681">
        <v>5</v>
      </c>
      <c r="S681" t="s">
        <v>67</v>
      </c>
      <c r="T681" t="s">
        <v>68</v>
      </c>
      <c r="U681" t="s">
        <v>47</v>
      </c>
    </row>
    <row r="682" spans="1:22" x14ac:dyDescent="0.3">
      <c r="A682" t="s">
        <v>871</v>
      </c>
      <c r="B682" s="1">
        <v>45658</v>
      </c>
      <c r="C682" t="s">
        <v>49</v>
      </c>
      <c r="D682" t="s">
        <v>50</v>
      </c>
      <c r="E682" t="s">
        <v>51</v>
      </c>
      <c r="F682" t="s">
        <v>104</v>
      </c>
      <c r="G682" t="s">
        <v>105</v>
      </c>
      <c r="H682" t="s">
        <v>28</v>
      </c>
      <c r="I682" t="s">
        <v>29</v>
      </c>
      <c r="J682" t="s">
        <v>30</v>
      </c>
      <c r="K682" t="s">
        <v>44</v>
      </c>
      <c r="L682" s="2">
        <v>0.375</v>
      </c>
      <c r="M682" s="2">
        <v>0.75</v>
      </c>
      <c r="N682">
        <v>8</v>
      </c>
      <c r="O682">
        <v>0</v>
      </c>
      <c r="P682" t="s">
        <v>32</v>
      </c>
      <c r="R682">
        <v>4</v>
      </c>
      <c r="S682" t="s">
        <v>33</v>
      </c>
      <c r="T682" t="s">
        <v>34</v>
      </c>
      <c r="U682" t="s">
        <v>55</v>
      </c>
      <c r="V682" t="s">
        <v>60</v>
      </c>
    </row>
    <row r="683" spans="1:22" x14ac:dyDescent="0.3">
      <c r="A683" t="s">
        <v>872</v>
      </c>
      <c r="B683" s="3">
        <v>45760</v>
      </c>
      <c r="C683" t="s">
        <v>37</v>
      </c>
      <c r="D683" t="s">
        <v>24</v>
      </c>
      <c r="E683" t="s">
        <v>103</v>
      </c>
      <c r="F683" t="s">
        <v>231</v>
      </c>
      <c r="G683" t="s">
        <v>232</v>
      </c>
      <c r="H683" t="s">
        <v>98</v>
      </c>
      <c r="I683" t="s">
        <v>99</v>
      </c>
      <c r="J683" t="s">
        <v>74</v>
      </c>
      <c r="K683" t="s">
        <v>31</v>
      </c>
      <c r="L683" s="2">
        <v>0.375</v>
      </c>
      <c r="M683" s="2">
        <v>0.75</v>
      </c>
      <c r="N683">
        <v>8</v>
      </c>
      <c r="O683">
        <v>0</v>
      </c>
      <c r="P683" t="s">
        <v>32</v>
      </c>
      <c r="R683">
        <v>3</v>
      </c>
      <c r="S683" t="s">
        <v>45</v>
      </c>
      <c r="T683" t="s">
        <v>101</v>
      </c>
      <c r="U683" t="s">
        <v>55</v>
      </c>
      <c r="V683" t="s">
        <v>69</v>
      </c>
    </row>
    <row r="684" spans="1:22" x14ac:dyDescent="0.3">
      <c r="A684" t="s">
        <v>873</v>
      </c>
      <c r="B684" s="3">
        <v>45755</v>
      </c>
      <c r="C684" t="s">
        <v>37</v>
      </c>
      <c r="D684" t="s">
        <v>24</v>
      </c>
      <c r="E684" t="s">
        <v>87</v>
      </c>
      <c r="F684" t="s">
        <v>192</v>
      </c>
      <c r="G684" t="s">
        <v>193</v>
      </c>
      <c r="H684" t="s">
        <v>79</v>
      </c>
      <c r="I684" t="s">
        <v>80</v>
      </c>
      <c r="J684" t="s">
        <v>66</v>
      </c>
      <c r="K684" t="s">
        <v>31</v>
      </c>
      <c r="L684" s="2">
        <v>0.375</v>
      </c>
      <c r="M684" s="2">
        <v>0.75</v>
      </c>
      <c r="N684">
        <v>8</v>
      </c>
      <c r="O684">
        <v>0</v>
      </c>
      <c r="P684" t="s">
        <v>32</v>
      </c>
      <c r="R684">
        <v>5</v>
      </c>
      <c r="S684" t="s">
        <v>45</v>
      </c>
      <c r="T684" t="s">
        <v>84</v>
      </c>
      <c r="U684" t="s">
        <v>85</v>
      </c>
    </row>
    <row r="685" spans="1:22" x14ac:dyDescent="0.3">
      <c r="A685" t="s">
        <v>874</v>
      </c>
      <c r="B685" s="3">
        <v>45712</v>
      </c>
      <c r="C685" t="s">
        <v>95</v>
      </c>
      <c r="D685" t="s">
        <v>50</v>
      </c>
      <c r="E685" t="s">
        <v>109</v>
      </c>
      <c r="F685" t="s">
        <v>127</v>
      </c>
      <c r="G685" t="s">
        <v>128</v>
      </c>
      <c r="H685" t="s">
        <v>90</v>
      </c>
      <c r="I685" t="s">
        <v>91</v>
      </c>
      <c r="J685" t="s">
        <v>66</v>
      </c>
      <c r="K685" t="s">
        <v>81</v>
      </c>
      <c r="L685" s="2">
        <v>0.91666666666666663</v>
      </c>
      <c r="M685" s="2">
        <v>0.29166666666666669</v>
      </c>
      <c r="N685">
        <v>9.5</v>
      </c>
      <c r="O685">
        <v>1.5</v>
      </c>
      <c r="P685" t="s">
        <v>32</v>
      </c>
      <c r="R685">
        <v>5</v>
      </c>
      <c r="S685" t="s">
        <v>45</v>
      </c>
      <c r="T685" t="s">
        <v>93</v>
      </c>
    </row>
    <row r="686" spans="1:22" x14ac:dyDescent="0.3">
      <c r="A686" t="s">
        <v>875</v>
      </c>
      <c r="B686" s="3">
        <v>45712</v>
      </c>
      <c r="C686" t="s">
        <v>95</v>
      </c>
      <c r="D686" t="s">
        <v>50</v>
      </c>
      <c r="E686" t="s">
        <v>109</v>
      </c>
      <c r="F686" t="s">
        <v>26</v>
      </c>
      <c r="G686" t="s">
        <v>27</v>
      </c>
      <c r="H686" t="s">
        <v>28</v>
      </c>
      <c r="I686" t="s">
        <v>29</v>
      </c>
      <c r="J686" t="s">
        <v>30</v>
      </c>
      <c r="K686" t="s">
        <v>31</v>
      </c>
      <c r="L686" s="2">
        <v>0.375</v>
      </c>
      <c r="M686" s="2">
        <v>0.75</v>
      </c>
      <c r="N686">
        <v>8</v>
      </c>
      <c r="O686">
        <v>0</v>
      </c>
      <c r="P686" t="s">
        <v>32</v>
      </c>
      <c r="S686" t="s">
        <v>45</v>
      </c>
      <c r="T686" t="s">
        <v>34</v>
      </c>
      <c r="U686" t="s">
        <v>85</v>
      </c>
    </row>
    <row r="687" spans="1:22" x14ac:dyDescent="0.3">
      <c r="A687" t="s">
        <v>876</v>
      </c>
      <c r="B687" s="1">
        <v>45728</v>
      </c>
      <c r="C687" t="s">
        <v>71</v>
      </c>
      <c r="D687" t="s">
        <v>50</v>
      </c>
      <c r="E687" t="s">
        <v>51</v>
      </c>
      <c r="F687" t="s">
        <v>288</v>
      </c>
      <c r="G687" t="s">
        <v>289</v>
      </c>
      <c r="H687" t="s">
        <v>28</v>
      </c>
      <c r="I687" t="s">
        <v>29</v>
      </c>
      <c r="J687" t="s">
        <v>74</v>
      </c>
      <c r="K687" t="s">
        <v>75</v>
      </c>
      <c r="P687" t="s">
        <v>82</v>
      </c>
      <c r="Q687" t="s">
        <v>225</v>
      </c>
      <c r="S687" t="s">
        <v>33</v>
      </c>
      <c r="T687" t="s">
        <v>34</v>
      </c>
      <c r="U687" t="s">
        <v>55</v>
      </c>
      <c r="V687" t="s">
        <v>69</v>
      </c>
    </row>
    <row r="688" spans="1:22" x14ac:dyDescent="0.3">
      <c r="A688" t="s">
        <v>877</v>
      </c>
      <c r="B688" s="3">
        <v>45674</v>
      </c>
      <c r="C688" t="s">
        <v>49</v>
      </c>
      <c r="D688" t="s">
        <v>50</v>
      </c>
      <c r="E688" t="s">
        <v>119</v>
      </c>
      <c r="F688" t="s">
        <v>110</v>
      </c>
      <c r="G688" t="s">
        <v>111</v>
      </c>
      <c r="H688" t="s">
        <v>112</v>
      </c>
      <c r="I688" t="s">
        <v>113</v>
      </c>
      <c r="J688" t="s">
        <v>43</v>
      </c>
      <c r="K688" t="s">
        <v>75</v>
      </c>
      <c r="L688" s="2">
        <v>0.375</v>
      </c>
      <c r="M688" s="2">
        <v>0.75</v>
      </c>
      <c r="N688">
        <v>8</v>
      </c>
      <c r="O688">
        <v>0</v>
      </c>
      <c r="P688" t="s">
        <v>32</v>
      </c>
      <c r="R688">
        <v>3</v>
      </c>
      <c r="S688" t="s">
        <v>67</v>
      </c>
      <c r="T688" t="s">
        <v>114</v>
      </c>
      <c r="V688" t="s">
        <v>35</v>
      </c>
    </row>
    <row r="689" spans="1:22" x14ac:dyDescent="0.3">
      <c r="A689" t="s">
        <v>878</v>
      </c>
      <c r="B689" s="3">
        <v>45824</v>
      </c>
      <c r="C689" t="s">
        <v>23</v>
      </c>
      <c r="D689" t="s">
        <v>24</v>
      </c>
      <c r="E689" t="s">
        <v>109</v>
      </c>
      <c r="F689" t="s">
        <v>305</v>
      </c>
      <c r="G689" t="s">
        <v>306</v>
      </c>
      <c r="H689" t="s">
        <v>79</v>
      </c>
      <c r="I689" t="s">
        <v>80</v>
      </c>
      <c r="J689" t="s">
        <v>74</v>
      </c>
      <c r="K689" t="s">
        <v>75</v>
      </c>
      <c r="L689" s="2">
        <v>0.375</v>
      </c>
      <c r="M689" s="2">
        <v>0.75</v>
      </c>
      <c r="N689">
        <v>8</v>
      </c>
      <c r="O689">
        <v>0</v>
      </c>
      <c r="P689" t="s">
        <v>32</v>
      </c>
      <c r="S689" t="s">
        <v>45</v>
      </c>
      <c r="T689" t="s">
        <v>84</v>
      </c>
      <c r="V689" t="s">
        <v>69</v>
      </c>
    </row>
    <row r="690" spans="1:22" x14ac:dyDescent="0.3">
      <c r="A690" t="s">
        <v>879</v>
      </c>
      <c r="B690" s="3">
        <v>45775</v>
      </c>
      <c r="C690" t="s">
        <v>37</v>
      </c>
      <c r="D690" t="s">
        <v>24</v>
      </c>
      <c r="E690" t="s">
        <v>109</v>
      </c>
      <c r="F690" t="s">
        <v>231</v>
      </c>
      <c r="G690" t="s">
        <v>232</v>
      </c>
      <c r="H690" t="s">
        <v>98</v>
      </c>
      <c r="I690" t="s">
        <v>99</v>
      </c>
      <c r="J690" t="s">
        <v>74</v>
      </c>
      <c r="K690" t="s">
        <v>81</v>
      </c>
      <c r="L690" s="2">
        <v>0.91666666666666663</v>
      </c>
      <c r="M690" s="2">
        <v>0.29166666666666669</v>
      </c>
      <c r="N690">
        <v>8.5</v>
      </c>
      <c r="O690">
        <v>0.5</v>
      </c>
      <c r="P690" t="s">
        <v>32</v>
      </c>
      <c r="R690">
        <v>4</v>
      </c>
      <c r="S690" t="s">
        <v>92</v>
      </c>
      <c r="T690" t="s">
        <v>101</v>
      </c>
      <c r="U690" t="s">
        <v>55</v>
      </c>
      <c r="V690" t="s">
        <v>60</v>
      </c>
    </row>
    <row r="691" spans="1:22" x14ac:dyDescent="0.3">
      <c r="A691" t="s">
        <v>880</v>
      </c>
      <c r="B691" s="3">
        <v>45725</v>
      </c>
      <c r="C691" t="s">
        <v>71</v>
      </c>
      <c r="D691" t="s">
        <v>50</v>
      </c>
      <c r="E691" t="s">
        <v>103</v>
      </c>
      <c r="F691" t="s">
        <v>207</v>
      </c>
      <c r="G691" t="s">
        <v>208</v>
      </c>
      <c r="H691" t="s">
        <v>64</v>
      </c>
      <c r="I691" t="s">
        <v>65</v>
      </c>
      <c r="J691" t="s">
        <v>30</v>
      </c>
      <c r="K691" t="s">
        <v>81</v>
      </c>
      <c r="L691" s="2">
        <v>0.91666666666666663</v>
      </c>
      <c r="N691">
        <v>9.5</v>
      </c>
      <c r="O691">
        <v>1.5</v>
      </c>
      <c r="P691" t="s">
        <v>32</v>
      </c>
      <c r="R691">
        <v>5</v>
      </c>
      <c r="S691" t="s">
        <v>67</v>
      </c>
      <c r="T691" t="s">
        <v>68</v>
      </c>
      <c r="U691" t="s">
        <v>47</v>
      </c>
    </row>
    <row r="692" spans="1:22" x14ac:dyDescent="0.3">
      <c r="A692" t="s">
        <v>881</v>
      </c>
      <c r="B692" s="1">
        <v>45823</v>
      </c>
      <c r="C692" t="s">
        <v>23</v>
      </c>
      <c r="D692" t="s">
        <v>24</v>
      </c>
      <c r="E692" t="s">
        <v>103</v>
      </c>
      <c r="F692" t="s">
        <v>258</v>
      </c>
      <c r="G692" t="s">
        <v>259</v>
      </c>
      <c r="H692" t="s">
        <v>112</v>
      </c>
      <c r="I692" t="s">
        <v>113</v>
      </c>
      <c r="J692" t="s">
        <v>74</v>
      </c>
      <c r="K692" t="s">
        <v>54</v>
      </c>
      <c r="P692" t="s">
        <v>135</v>
      </c>
      <c r="S692" t="s">
        <v>92</v>
      </c>
      <c r="T692" t="s">
        <v>114</v>
      </c>
      <c r="U692" t="s">
        <v>55</v>
      </c>
      <c r="V692" t="s">
        <v>35</v>
      </c>
    </row>
    <row r="693" spans="1:22" x14ac:dyDescent="0.3">
      <c r="A693" t="s">
        <v>882</v>
      </c>
      <c r="B693" s="1">
        <v>45757</v>
      </c>
      <c r="C693" t="s">
        <v>37</v>
      </c>
      <c r="D693" t="s">
        <v>24</v>
      </c>
      <c r="E693" t="s">
        <v>25</v>
      </c>
      <c r="F693" t="s">
        <v>305</v>
      </c>
      <c r="G693" t="s">
        <v>306</v>
      </c>
      <c r="H693" t="s">
        <v>79</v>
      </c>
      <c r="I693" t="s">
        <v>80</v>
      </c>
      <c r="J693" t="s">
        <v>74</v>
      </c>
      <c r="K693" t="s">
        <v>75</v>
      </c>
      <c r="P693" t="s">
        <v>135</v>
      </c>
      <c r="S693" t="s">
        <v>33</v>
      </c>
      <c r="T693" t="s">
        <v>84</v>
      </c>
      <c r="U693" t="s">
        <v>55</v>
      </c>
      <c r="V693" t="s">
        <v>69</v>
      </c>
    </row>
    <row r="694" spans="1:22" x14ac:dyDescent="0.3">
      <c r="A694" t="s">
        <v>883</v>
      </c>
      <c r="B694" s="3">
        <v>45838</v>
      </c>
      <c r="C694" t="s">
        <v>23</v>
      </c>
      <c r="D694" t="s">
        <v>24</v>
      </c>
      <c r="E694" t="s">
        <v>109</v>
      </c>
      <c r="F694" t="s">
        <v>110</v>
      </c>
      <c r="G694" t="s">
        <v>111</v>
      </c>
      <c r="H694" t="s">
        <v>112</v>
      </c>
      <c r="I694" t="s">
        <v>113</v>
      </c>
      <c r="J694" t="s">
        <v>43</v>
      </c>
      <c r="K694" t="s">
        <v>75</v>
      </c>
      <c r="L694" s="2">
        <v>0.39930555555555558</v>
      </c>
      <c r="M694" s="2">
        <v>0.75</v>
      </c>
      <c r="N694">
        <v>8</v>
      </c>
      <c r="O694">
        <v>0</v>
      </c>
      <c r="P694" t="s">
        <v>32</v>
      </c>
      <c r="S694" t="s">
        <v>45</v>
      </c>
      <c r="T694" t="s">
        <v>114</v>
      </c>
      <c r="V694" t="s">
        <v>35</v>
      </c>
    </row>
    <row r="695" spans="1:22" x14ac:dyDescent="0.3">
      <c r="A695" t="s">
        <v>884</v>
      </c>
      <c r="B695" s="3">
        <v>45699</v>
      </c>
      <c r="C695" t="s">
        <v>95</v>
      </c>
      <c r="D695" t="s">
        <v>50</v>
      </c>
      <c r="E695" t="s">
        <v>87</v>
      </c>
      <c r="F695" t="s">
        <v>247</v>
      </c>
      <c r="G695" t="s">
        <v>248</v>
      </c>
      <c r="H695" t="s">
        <v>64</v>
      </c>
      <c r="I695" t="s">
        <v>65</v>
      </c>
      <c r="J695" t="s">
        <v>66</v>
      </c>
      <c r="K695" t="s">
        <v>54</v>
      </c>
      <c r="L695" s="2">
        <v>0.375</v>
      </c>
      <c r="M695" s="2">
        <v>0.75</v>
      </c>
      <c r="N695">
        <v>9.5</v>
      </c>
      <c r="O695">
        <v>1.5</v>
      </c>
      <c r="P695" t="s">
        <v>32</v>
      </c>
      <c r="R695">
        <v>3</v>
      </c>
      <c r="S695" t="s">
        <v>45</v>
      </c>
      <c r="T695" t="s">
        <v>68</v>
      </c>
    </row>
    <row r="696" spans="1:22" x14ac:dyDescent="0.3">
      <c r="A696" t="s">
        <v>885</v>
      </c>
      <c r="B696" s="3">
        <v>45705</v>
      </c>
      <c r="C696" t="s">
        <v>95</v>
      </c>
      <c r="D696" t="s">
        <v>50</v>
      </c>
      <c r="E696" t="s">
        <v>109</v>
      </c>
      <c r="F696" t="s">
        <v>182</v>
      </c>
      <c r="G696" t="s">
        <v>183</v>
      </c>
      <c r="H696" t="s">
        <v>112</v>
      </c>
      <c r="I696" t="s">
        <v>113</v>
      </c>
      <c r="J696" t="s">
        <v>30</v>
      </c>
      <c r="K696" t="s">
        <v>54</v>
      </c>
      <c r="L696" s="2">
        <v>0.375</v>
      </c>
      <c r="M696" s="2">
        <v>0.75</v>
      </c>
      <c r="N696">
        <v>8</v>
      </c>
      <c r="O696">
        <v>0</v>
      </c>
      <c r="P696" t="s">
        <v>32</v>
      </c>
      <c r="S696" t="s">
        <v>92</v>
      </c>
      <c r="T696" t="s">
        <v>114</v>
      </c>
      <c r="U696" t="s">
        <v>55</v>
      </c>
      <c r="V696" t="s">
        <v>69</v>
      </c>
    </row>
    <row r="697" spans="1:22" x14ac:dyDescent="0.3">
      <c r="A697" t="s">
        <v>886</v>
      </c>
      <c r="B697" s="3">
        <v>45697</v>
      </c>
      <c r="C697" t="s">
        <v>95</v>
      </c>
      <c r="D697" t="s">
        <v>50</v>
      </c>
      <c r="E697" t="s">
        <v>103</v>
      </c>
      <c r="F697" t="s">
        <v>26</v>
      </c>
      <c r="G697" t="s">
        <v>27</v>
      </c>
      <c r="H697" t="s">
        <v>28</v>
      </c>
      <c r="I697" t="s">
        <v>29</v>
      </c>
      <c r="J697" t="s">
        <v>30</v>
      </c>
      <c r="K697" t="s">
        <v>75</v>
      </c>
      <c r="L697" s="2">
        <v>0.375</v>
      </c>
      <c r="M697" s="2">
        <v>0.75</v>
      </c>
      <c r="N697">
        <v>8</v>
      </c>
      <c r="O697">
        <v>0</v>
      </c>
      <c r="P697" t="s">
        <v>32</v>
      </c>
      <c r="R697">
        <v>4</v>
      </c>
      <c r="S697" t="s">
        <v>45</v>
      </c>
      <c r="T697" t="s">
        <v>34</v>
      </c>
      <c r="U697" t="s">
        <v>47</v>
      </c>
      <c r="V697" t="s">
        <v>69</v>
      </c>
    </row>
    <row r="698" spans="1:22" x14ac:dyDescent="0.3">
      <c r="A698" t="s">
        <v>887</v>
      </c>
      <c r="B698" s="3">
        <v>45718</v>
      </c>
      <c r="C698" t="s">
        <v>71</v>
      </c>
      <c r="D698" t="s">
        <v>50</v>
      </c>
      <c r="E698" t="s">
        <v>103</v>
      </c>
      <c r="F698" t="s">
        <v>215</v>
      </c>
      <c r="G698" t="s">
        <v>216</v>
      </c>
      <c r="H698" t="s">
        <v>79</v>
      </c>
      <c r="I698" t="s">
        <v>80</v>
      </c>
      <c r="J698" t="s">
        <v>30</v>
      </c>
      <c r="K698" t="s">
        <v>44</v>
      </c>
      <c r="L698" s="2">
        <v>0.375</v>
      </c>
      <c r="M698" s="2">
        <v>0.75</v>
      </c>
      <c r="N698">
        <v>8</v>
      </c>
      <c r="O698">
        <v>0</v>
      </c>
      <c r="P698" t="s">
        <v>32</v>
      </c>
      <c r="R698">
        <v>4</v>
      </c>
      <c r="S698" t="s">
        <v>33</v>
      </c>
      <c r="T698" t="s">
        <v>84</v>
      </c>
    </row>
    <row r="699" spans="1:22" x14ac:dyDescent="0.3">
      <c r="A699" t="s">
        <v>888</v>
      </c>
      <c r="B699" s="1">
        <v>45660</v>
      </c>
      <c r="C699" t="s">
        <v>49</v>
      </c>
      <c r="D699" t="s">
        <v>50</v>
      </c>
      <c r="E699" t="s">
        <v>119</v>
      </c>
      <c r="F699" t="s">
        <v>62</v>
      </c>
      <c r="G699" t="s">
        <v>63</v>
      </c>
      <c r="H699" t="s">
        <v>64</v>
      </c>
      <c r="I699" t="s">
        <v>65</v>
      </c>
      <c r="J699" t="s">
        <v>66</v>
      </c>
      <c r="K699" t="s">
        <v>31</v>
      </c>
      <c r="P699" t="s">
        <v>135</v>
      </c>
      <c r="S699" t="s">
        <v>67</v>
      </c>
      <c r="T699" t="s">
        <v>68</v>
      </c>
      <c r="U699" t="s">
        <v>55</v>
      </c>
      <c r="V699" t="s">
        <v>69</v>
      </c>
    </row>
    <row r="700" spans="1:22" x14ac:dyDescent="0.3">
      <c r="A700" t="s">
        <v>889</v>
      </c>
      <c r="B700" s="3">
        <v>45720</v>
      </c>
      <c r="C700" t="s">
        <v>71</v>
      </c>
      <c r="D700" t="s">
        <v>50</v>
      </c>
      <c r="E700" t="s">
        <v>87</v>
      </c>
      <c r="F700" t="s">
        <v>201</v>
      </c>
      <c r="G700" t="s">
        <v>202</v>
      </c>
      <c r="H700" t="s">
        <v>112</v>
      </c>
      <c r="I700" t="s">
        <v>113</v>
      </c>
      <c r="J700" t="s">
        <v>66</v>
      </c>
      <c r="K700" t="s">
        <v>81</v>
      </c>
      <c r="L700" s="2">
        <v>0.3888888888888889</v>
      </c>
      <c r="M700" s="2">
        <v>0.29166666666666669</v>
      </c>
      <c r="N700">
        <v>10</v>
      </c>
      <c r="O700">
        <v>2</v>
      </c>
      <c r="P700" t="s">
        <v>32</v>
      </c>
      <c r="S700" t="s">
        <v>92</v>
      </c>
      <c r="T700" t="s">
        <v>114</v>
      </c>
      <c r="U700" t="s">
        <v>55</v>
      </c>
      <c r="V700" t="s">
        <v>60</v>
      </c>
    </row>
    <row r="701" spans="1:22" x14ac:dyDescent="0.3">
      <c r="A701" t="s">
        <v>890</v>
      </c>
      <c r="B701" s="3">
        <v>45765</v>
      </c>
      <c r="C701" t="s">
        <v>37</v>
      </c>
      <c r="D701" t="s">
        <v>24</v>
      </c>
      <c r="E701" t="s">
        <v>119</v>
      </c>
      <c r="F701" t="s">
        <v>266</v>
      </c>
      <c r="G701" t="s">
        <v>267</v>
      </c>
      <c r="H701" t="s">
        <v>98</v>
      </c>
      <c r="I701" t="s">
        <v>99</v>
      </c>
      <c r="J701" t="s">
        <v>66</v>
      </c>
      <c r="K701" t="s">
        <v>75</v>
      </c>
      <c r="L701" s="2">
        <v>0.375</v>
      </c>
      <c r="M701" s="2">
        <v>0.75</v>
      </c>
      <c r="N701">
        <v>8</v>
      </c>
      <c r="O701">
        <v>0</v>
      </c>
      <c r="P701" t="s">
        <v>32</v>
      </c>
      <c r="R701">
        <v>5</v>
      </c>
      <c r="S701" t="s">
        <v>92</v>
      </c>
      <c r="T701" t="s">
        <v>101</v>
      </c>
      <c r="V701" t="s">
        <v>35</v>
      </c>
    </row>
    <row r="702" spans="1:22" x14ac:dyDescent="0.3">
      <c r="A702" t="s">
        <v>891</v>
      </c>
      <c r="B702" s="3">
        <v>45781</v>
      </c>
      <c r="C702" t="s">
        <v>57</v>
      </c>
      <c r="D702" t="s">
        <v>24</v>
      </c>
      <c r="E702" t="s">
        <v>103</v>
      </c>
      <c r="F702" t="s">
        <v>288</v>
      </c>
      <c r="G702" t="s">
        <v>289</v>
      </c>
      <c r="H702" t="s">
        <v>28</v>
      </c>
      <c r="I702" t="s">
        <v>29</v>
      </c>
      <c r="J702" t="s">
        <v>74</v>
      </c>
      <c r="K702" t="s">
        <v>44</v>
      </c>
      <c r="M702" s="2">
        <v>0.75</v>
      </c>
      <c r="N702">
        <v>8</v>
      </c>
      <c r="O702">
        <v>0</v>
      </c>
      <c r="P702" t="s">
        <v>32</v>
      </c>
      <c r="R702">
        <v>4</v>
      </c>
      <c r="S702" t="s">
        <v>92</v>
      </c>
      <c r="T702" t="s">
        <v>34</v>
      </c>
      <c r="U702" t="s">
        <v>55</v>
      </c>
      <c r="V702" t="s">
        <v>69</v>
      </c>
    </row>
    <row r="703" spans="1:22" x14ac:dyDescent="0.3">
      <c r="A703" t="s">
        <v>892</v>
      </c>
      <c r="B703" s="3">
        <v>45814</v>
      </c>
      <c r="C703" t="s">
        <v>23</v>
      </c>
      <c r="D703" t="s">
        <v>24</v>
      </c>
      <c r="E703" t="s">
        <v>119</v>
      </c>
      <c r="F703" t="s">
        <v>309</v>
      </c>
      <c r="G703" t="s">
        <v>310</v>
      </c>
      <c r="H703" t="s">
        <v>28</v>
      </c>
      <c r="I703" t="s">
        <v>29</v>
      </c>
      <c r="J703" t="s">
        <v>43</v>
      </c>
      <c r="K703" t="s">
        <v>75</v>
      </c>
      <c r="L703" s="2">
        <v>0.375</v>
      </c>
      <c r="M703" s="2">
        <v>0.75</v>
      </c>
      <c r="N703">
        <v>8</v>
      </c>
      <c r="O703">
        <v>0</v>
      </c>
      <c r="P703" t="s">
        <v>32</v>
      </c>
      <c r="R703">
        <v>4</v>
      </c>
      <c r="S703" t="s">
        <v>67</v>
      </c>
      <c r="T703" t="s">
        <v>34</v>
      </c>
      <c r="V703" t="s">
        <v>60</v>
      </c>
    </row>
    <row r="704" spans="1:22" x14ac:dyDescent="0.3">
      <c r="A704" t="s">
        <v>893</v>
      </c>
      <c r="B704" s="1">
        <v>45831</v>
      </c>
      <c r="C704" t="s">
        <v>23</v>
      </c>
      <c r="D704" t="s">
        <v>24</v>
      </c>
      <c r="E704" t="s">
        <v>109</v>
      </c>
      <c r="F704" t="s">
        <v>170</v>
      </c>
      <c r="G704" t="s">
        <v>171</v>
      </c>
      <c r="H704" t="s">
        <v>64</v>
      </c>
      <c r="I704" t="s">
        <v>65</v>
      </c>
      <c r="J704" t="s">
        <v>43</v>
      </c>
      <c r="K704" t="s">
        <v>31</v>
      </c>
      <c r="P704" t="s">
        <v>135</v>
      </c>
      <c r="S704" t="s">
        <v>67</v>
      </c>
      <c r="T704" t="s">
        <v>68</v>
      </c>
      <c r="U704" t="s">
        <v>47</v>
      </c>
      <c r="V704" t="s">
        <v>35</v>
      </c>
    </row>
    <row r="705" spans="1:22" x14ac:dyDescent="0.3">
      <c r="A705" t="s">
        <v>894</v>
      </c>
      <c r="B705" s="3">
        <v>45827</v>
      </c>
      <c r="C705" t="s">
        <v>23</v>
      </c>
      <c r="D705" t="s">
        <v>24</v>
      </c>
      <c r="E705" t="s">
        <v>25</v>
      </c>
      <c r="F705" t="s">
        <v>211</v>
      </c>
      <c r="G705" t="s">
        <v>212</v>
      </c>
      <c r="H705" t="s">
        <v>64</v>
      </c>
      <c r="I705" t="s">
        <v>65</v>
      </c>
      <c r="J705" t="s">
        <v>74</v>
      </c>
      <c r="K705" t="s">
        <v>75</v>
      </c>
      <c r="L705" s="2">
        <v>0.375</v>
      </c>
      <c r="M705" s="2">
        <v>0.75</v>
      </c>
      <c r="N705">
        <v>8</v>
      </c>
      <c r="O705">
        <v>0</v>
      </c>
      <c r="P705" t="s">
        <v>32</v>
      </c>
      <c r="R705">
        <v>4</v>
      </c>
      <c r="S705" t="s">
        <v>45</v>
      </c>
      <c r="T705" t="s">
        <v>68</v>
      </c>
      <c r="U705" t="s">
        <v>85</v>
      </c>
      <c r="V705" t="s">
        <v>60</v>
      </c>
    </row>
    <row r="706" spans="1:22" x14ac:dyDescent="0.3">
      <c r="A706" t="s">
        <v>895</v>
      </c>
      <c r="B706" s="1">
        <v>45728</v>
      </c>
      <c r="C706" t="s">
        <v>71</v>
      </c>
      <c r="D706" t="s">
        <v>50</v>
      </c>
      <c r="E706" t="s">
        <v>51</v>
      </c>
      <c r="F706" t="s">
        <v>151</v>
      </c>
      <c r="G706" t="s">
        <v>152</v>
      </c>
      <c r="H706" t="s">
        <v>98</v>
      </c>
      <c r="I706" t="s">
        <v>99</v>
      </c>
      <c r="J706" t="s">
        <v>30</v>
      </c>
      <c r="K706" t="s">
        <v>31</v>
      </c>
      <c r="L706" s="2">
        <v>0.375</v>
      </c>
      <c r="M706" s="2">
        <v>0.75</v>
      </c>
      <c r="N706">
        <v>8</v>
      </c>
      <c r="O706">
        <v>0</v>
      </c>
      <c r="P706" t="s">
        <v>32</v>
      </c>
      <c r="R706">
        <v>4</v>
      </c>
      <c r="S706" t="s">
        <v>33</v>
      </c>
      <c r="T706" t="s">
        <v>101</v>
      </c>
      <c r="U706" t="s">
        <v>47</v>
      </c>
      <c r="V706" t="s">
        <v>69</v>
      </c>
    </row>
    <row r="707" spans="1:22" x14ac:dyDescent="0.3">
      <c r="A707" t="s">
        <v>896</v>
      </c>
      <c r="B707" s="3">
        <v>45832</v>
      </c>
      <c r="C707" t="s">
        <v>23</v>
      </c>
      <c r="D707" t="s">
        <v>24</v>
      </c>
      <c r="E707" t="s">
        <v>87</v>
      </c>
      <c r="F707" t="s">
        <v>142</v>
      </c>
      <c r="G707" t="s">
        <v>143</v>
      </c>
      <c r="H707" t="s">
        <v>64</v>
      </c>
      <c r="I707" t="s">
        <v>65</v>
      </c>
      <c r="J707" t="s">
        <v>43</v>
      </c>
      <c r="K707" t="s">
        <v>44</v>
      </c>
      <c r="L707" s="2">
        <v>0.375</v>
      </c>
      <c r="M707" s="2">
        <v>0.75</v>
      </c>
      <c r="N707">
        <v>8</v>
      </c>
      <c r="O707">
        <v>0</v>
      </c>
      <c r="P707" t="s">
        <v>32</v>
      </c>
      <c r="R707">
        <v>4</v>
      </c>
      <c r="S707" t="s">
        <v>67</v>
      </c>
      <c r="T707" t="s">
        <v>68</v>
      </c>
    </row>
    <row r="708" spans="1:22" x14ac:dyDescent="0.3">
      <c r="A708" t="s">
        <v>897</v>
      </c>
      <c r="B708" s="3">
        <v>45703</v>
      </c>
      <c r="C708" t="s">
        <v>95</v>
      </c>
      <c r="D708" t="s">
        <v>50</v>
      </c>
      <c r="E708" t="s">
        <v>38</v>
      </c>
      <c r="F708" t="s">
        <v>195</v>
      </c>
      <c r="G708" t="s">
        <v>196</v>
      </c>
      <c r="H708" t="s">
        <v>98</v>
      </c>
      <c r="I708" t="s">
        <v>99</v>
      </c>
      <c r="J708" t="s">
        <v>43</v>
      </c>
      <c r="K708" t="s">
        <v>44</v>
      </c>
      <c r="L708" s="2">
        <v>0.375</v>
      </c>
      <c r="M708" s="2">
        <v>0.75</v>
      </c>
      <c r="N708">
        <v>8</v>
      </c>
      <c r="O708">
        <v>0</v>
      </c>
      <c r="P708" t="s">
        <v>32</v>
      </c>
      <c r="R708">
        <v>5</v>
      </c>
      <c r="S708" t="s">
        <v>92</v>
      </c>
      <c r="T708" t="s">
        <v>101</v>
      </c>
      <c r="U708" t="s">
        <v>47</v>
      </c>
      <c r="V708" t="s">
        <v>35</v>
      </c>
    </row>
    <row r="709" spans="1:22" x14ac:dyDescent="0.3">
      <c r="A709" t="s">
        <v>898</v>
      </c>
      <c r="B709" s="1">
        <v>45765</v>
      </c>
      <c r="C709" t="s">
        <v>37</v>
      </c>
      <c r="D709" t="s">
        <v>24</v>
      </c>
      <c r="E709" t="s">
        <v>119</v>
      </c>
      <c r="F709" t="s">
        <v>52</v>
      </c>
      <c r="G709" t="s">
        <v>53</v>
      </c>
      <c r="H709" t="s">
        <v>41</v>
      </c>
      <c r="I709" t="s">
        <v>42</v>
      </c>
      <c r="J709" t="s">
        <v>43</v>
      </c>
      <c r="K709" t="s">
        <v>54</v>
      </c>
      <c r="P709" t="s">
        <v>82</v>
      </c>
      <c r="Q709" t="s">
        <v>225</v>
      </c>
      <c r="S709" t="s">
        <v>67</v>
      </c>
      <c r="T709" t="s">
        <v>46</v>
      </c>
      <c r="U709" t="s">
        <v>85</v>
      </c>
      <c r="V709" t="s">
        <v>69</v>
      </c>
    </row>
    <row r="710" spans="1:22" x14ac:dyDescent="0.3">
      <c r="A710" t="s">
        <v>899</v>
      </c>
      <c r="B710" s="3">
        <v>45747</v>
      </c>
      <c r="C710" t="s">
        <v>71</v>
      </c>
      <c r="D710" t="s">
        <v>50</v>
      </c>
      <c r="E710" t="s">
        <v>109</v>
      </c>
      <c r="F710" t="s">
        <v>124</v>
      </c>
      <c r="G710" t="s">
        <v>125</v>
      </c>
      <c r="H710" t="s">
        <v>28</v>
      </c>
      <c r="I710" t="s">
        <v>29</v>
      </c>
      <c r="J710" t="s">
        <v>66</v>
      </c>
      <c r="K710" t="s">
        <v>75</v>
      </c>
      <c r="L710" s="2">
        <v>0.375</v>
      </c>
      <c r="M710" s="2">
        <v>0.75</v>
      </c>
      <c r="N710">
        <v>8</v>
      </c>
      <c r="O710">
        <v>0</v>
      </c>
      <c r="P710" t="s">
        <v>32</v>
      </c>
      <c r="R710">
        <v>4</v>
      </c>
      <c r="S710" t="s">
        <v>33</v>
      </c>
      <c r="T710" t="s">
        <v>34</v>
      </c>
      <c r="U710" t="s">
        <v>55</v>
      </c>
    </row>
    <row r="711" spans="1:22" x14ac:dyDescent="0.3">
      <c r="A711" t="s">
        <v>900</v>
      </c>
      <c r="B711" s="3">
        <v>45787</v>
      </c>
      <c r="C711" t="s">
        <v>57</v>
      </c>
      <c r="D711" t="s">
        <v>24</v>
      </c>
      <c r="E711" t="s">
        <v>38</v>
      </c>
      <c r="F711" t="s">
        <v>104</v>
      </c>
      <c r="G711" t="s">
        <v>105</v>
      </c>
      <c r="H711" t="s">
        <v>28</v>
      </c>
      <c r="I711" t="s">
        <v>29</v>
      </c>
      <c r="J711" t="s">
        <v>30</v>
      </c>
      <c r="K711" t="s">
        <v>31</v>
      </c>
      <c r="L711" s="2">
        <v>0.375</v>
      </c>
      <c r="M711" s="2">
        <v>0.75</v>
      </c>
      <c r="N711">
        <v>8</v>
      </c>
      <c r="O711">
        <v>0</v>
      </c>
      <c r="P711" t="s">
        <v>32</v>
      </c>
      <c r="R711">
        <v>4</v>
      </c>
      <c r="S711" t="s">
        <v>33</v>
      </c>
      <c r="T711" t="s">
        <v>34</v>
      </c>
      <c r="U711" t="s">
        <v>55</v>
      </c>
    </row>
    <row r="712" spans="1:22" x14ac:dyDescent="0.3">
      <c r="A712" t="s">
        <v>901</v>
      </c>
      <c r="B712" s="1">
        <v>45796</v>
      </c>
      <c r="C712" t="s">
        <v>57</v>
      </c>
      <c r="D712" t="s">
        <v>24</v>
      </c>
      <c r="E712" t="s">
        <v>109</v>
      </c>
      <c r="F712" t="s">
        <v>62</v>
      </c>
      <c r="G712" t="s">
        <v>63</v>
      </c>
      <c r="H712" t="s">
        <v>64</v>
      </c>
      <c r="I712" t="s">
        <v>65</v>
      </c>
      <c r="J712" t="s">
        <v>66</v>
      </c>
      <c r="K712" t="s">
        <v>81</v>
      </c>
      <c r="P712" t="s">
        <v>135</v>
      </c>
      <c r="S712" t="s">
        <v>92</v>
      </c>
      <c r="T712" t="s">
        <v>68</v>
      </c>
      <c r="U712" t="s">
        <v>47</v>
      </c>
    </row>
    <row r="713" spans="1:22" x14ac:dyDescent="0.3">
      <c r="A713" t="s">
        <v>902</v>
      </c>
      <c r="B713" s="3">
        <v>45756</v>
      </c>
      <c r="C713" t="s">
        <v>37</v>
      </c>
      <c r="D713" t="s">
        <v>24</v>
      </c>
      <c r="E713" t="s">
        <v>51</v>
      </c>
      <c r="F713" t="s">
        <v>201</v>
      </c>
      <c r="G713" t="s">
        <v>202</v>
      </c>
      <c r="H713" t="s">
        <v>112</v>
      </c>
      <c r="I713" t="s">
        <v>113</v>
      </c>
      <c r="J713" t="s">
        <v>66</v>
      </c>
      <c r="K713" t="s">
        <v>31</v>
      </c>
      <c r="P713" t="s">
        <v>135</v>
      </c>
      <c r="S713" t="s">
        <v>33</v>
      </c>
      <c r="T713" t="s">
        <v>114</v>
      </c>
      <c r="U713" t="s">
        <v>55</v>
      </c>
      <c r="V713" t="s">
        <v>35</v>
      </c>
    </row>
    <row r="714" spans="1:22" x14ac:dyDescent="0.3">
      <c r="A714" t="s">
        <v>903</v>
      </c>
      <c r="B714" s="3">
        <v>45733</v>
      </c>
      <c r="C714" t="s">
        <v>71</v>
      </c>
      <c r="D714" t="s">
        <v>50</v>
      </c>
      <c r="E714" t="s">
        <v>109</v>
      </c>
      <c r="F714" t="s">
        <v>127</v>
      </c>
      <c r="G714" t="s">
        <v>128</v>
      </c>
      <c r="H714" t="s">
        <v>90</v>
      </c>
      <c r="I714" t="s">
        <v>91</v>
      </c>
      <c r="J714" t="s">
        <v>66</v>
      </c>
      <c r="K714" t="s">
        <v>31</v>
      </c>
      <c r="M714" s="2">
        <v>0.75</v>
      </c>
      <c r="N714">
        <v>8</v>
      </c>
      <c r="O714">
        <v>0</v>
      </c>
      <c r="P714" t="s">
        <v>32</v>
      </c>
      <c r="R714">
        <v>5</v>
      </c>
      <c r="S714" t="s">
        <v>67</v>
      </c>
      <c r="T714" t="s">
        <v>93</v>
      </c>
    </row>
    <row r="715" spans="1:22" x14ac:dyDescent="0.3">
      <c r="A715" t="s">
        <v>904</v>
      </c>
      <c r="B715" s="3">
        <v>45766</v>
      </c>
      <c r="C715" t="s">
        <v>37</v>
      </c>
      <c r="D715" t="s">
        <v>24</v>
      </c>
      <c r="E715" t="s">
        <v>38</v>
      </c>
      <c r="F715" t="s">
        <v>148</v>
      </c>
      <c r="G715" t="s">
        <v>149</v>
      </c>
      <c r="H715" t="s">
        <v>112</v>
      </c>
      <c r="I715" t="s">
        <v>113</v>
      </c>
      <c r="J715" t="s">
        <v>43</v>
      </c>
      <c r="K715" t="s">
        <v>31</v>
      </c>
      <c r="L715" s="2">
        <v>0.39930555555555558</v>
      </c>
      <c r="M715" s="2">
        <v>0.75</v>
      </c>
      <c r="N715">
        <v>8</v>
      </c>
      <c r="O715">
        <v>0</v>
      </c>
      <c r="P715" t="s">
        <v>32</v>
      </c>
      <c r="R715">
        <v>4</v>
      </c>
      <c r="S715" t="s">
        <v>92</v>
      </c>
      <c r="T715" t="s">
        <v>114</v>
      </c>
      <c r="U715" t="s">
        <v>47</v>
      </c>
      <c r="V715" t="s">
        <v>60</v>
      </c>
    </row>
    <row r="716" spans="1:22" x14ac:dyDescent="0.3">
      <c r="A716" t="s">
        <v>905</v>
      </c>
      <c r="B716" s="3">
        <v>45672</v>
      </c>
      <c r="C716" t="s">
        <v>49</v>
      </c>
      <c r="D716" t="s">
        <v>50</v>
      </c>
      <c r="E716" t="s">
        <v>51</v>
      </c>
      <c r="F716" t="s">
        <v>275</v>
      </c>
      <c r="G716" t="s">
        <v>276</v>
      </c>
      <c r="H716" t="s">
        <v>64</v>
      </c>
      <c r="I716" t="s">
        <v>65</v>
      </c>
      <c r="J716" t="s">
        <v>100</v>
      </c>
      <c r="K716" t="s">
        <v>75</v>
      </c>
      <c r="L716" s="2">
        <v>0.375</v>
      </c>
      <c r="M716" s="2">
        <v>0.75</v>
      </c>
      <c r="N716">
        <v>9.5</v>
      </c>
      <c r="O716">
        <v>1.5</v>
      </c>
      <c r="P716" t="s">
        <v>32</v>
      </c>
      <c r="R716">
        <v>4</v>
      </c>
      <c r="S716" t="s">
        <v>67</v>
      </c>
      <c r="T716" t="s">
        <v>68</v>
      </c>
      <c r="U716" t="s">
        <v>47</v>
      </c>
      <c r="V716" t="s">
        <v>60</v>
      </c>
    </row>
    <row r="717" spans="1:22" x14ac:dyDescent="0.3">
      <c r="A717" t="s">
        <v>906</v>
      </c>
      <c r="B717" s="1">
        <v>45745</v>
      </c>
      <c r="C717" t="s">
        <v>71</v>
      </c>
      <c r="D717" t="s">
        <v>50</v>
      </c>
      <c r="E717" t="s">
        <v>38</v>
      </c>
      <c r="F717" t="s">
        <v>354</v>
      </c>
      <c r="G717" t="s">
        <v>355</v>
      </c>
      <c r="H717" t="s">
        <v>28</v>
      </c>
      <c r="I717" t="s">
        <v>29</v>
      </c>
      <c r="J717" t="s">
        <v>100</v>
      </c>
      <c r="K717" t="s">
        <v>54</v>
      </c>
      <c r="L717" s="2">
        <v>0.375</v>
      </c>
      <c r="M717" s="2">
        <v>0.75</v>
      </c>
      <c r="N717">
        <v>8</v>
      </c>
      <c r="O717">
        <v>0</v>
      </c>
      <c r="P717" t="s">
        <v>32</v>
      </c>
      <c r="S717" t="s">
        <v>67</v>
      </c>
      <c r="T717" t="s">
        <v>34</v>
      </c>
    </row>
    <row r="718" spans="1:22" x14ac:dyDescent="0.3">
      <c r="A718" t="s">
        <v>907</v>
      </c>
      <c r="B718" s="3">
        <v>45789</v>
      </c>
      <c r="C718" t="s">
        <v>57</v>
      </c>
      <c r="D718" t="s">
        <v>24</v>
      </c>
      <c r="E718" t="s">
        <v>109</v>
      </c>
      <c r="F718" t="s">
        <v>182</v>
      </c>
      <c r="G718" t="s">
        <v>183</v>
      </c>
      <c r="H718" t="s">
        <v>112</v>
      </c>
      <c r="I718" t="s">
        <v>113</v>
      </c>
      <c r="J718" t="s">
        <v>30</v>
      </c>
      <c r="K718" t="s">
        <v>54</v>
      </c>
      <c r="L718" s="2">
        <v>0.39930555555555558</v>
      </c>
      <c r="M718" s="2">
        <v>0.75</v>
      </c>
      <c r="N718">
        <v>8</v>
      </c>
      <c r="O718">
        <v>0</v>
      </c>
      <c r="P718" t="s">
        <v>32</v>
      </c>
      <c r="R718">
        <v>4</v>
      </c>
      <c r="S718" t="s">
        <v>33</v>
      </c>
      <c r="T718" t="s">
        <v>114</v>
      </c>
      <c r="U718" t="s">
        <v>47</v>
      </c>
    </row>
    <row r="719" spans="1:22" x14ac:dyDescent="0.3">
      <c r="A719" t="s">
        <v>908</v>
      </c>
      <c r="B719" s="3">
        <v>45706</v>
      </c>
      <c r="C719" t="s">
        <v>95</v>
      </c>
      <c r="D719" t="s">
        <v>50</v>
      </c>
      <c r="E719" t="s">
        <v>87</v>
      </c>
      <c r="F719" t="s">
        <v>148</v>
      </c>
      <c r="G719" t="s">
        <v>149</v>
      </c>
      <c r="H719" t="s">
        <v>112</v>
      </c>
      <c r="I719" t="s">
        <v>113</v>
      </c>
      <c r="J719" t="s">
        <v>43</v>
      </c>
      <c r="K719" t="s">
        <v>75</v>
      </c>
      <c r="L719" s="2">
        <v>0.3888888888888889</v>
      </c>
      <c r="M719" s="2">
        <v>0.75</v>
      </c>
      <c r="N719">
        <v>8</v>
      </c>
      <c r="O719">
        <v>0</v>
      </c>
      <c r="P719" t="s">
        <v>32</v>
      </c>
      <c r="R719">
        <v>3</v>
      </c>
      <c r="S719" t="s">
        <v>67</v>
      </c>
      <c r="T719" t="s">
        <v>114</v>
      </c>
      <c r="U719" t="s">
        <v>47</v>
      </c>
      <c r="V719" t="s">
        <v>35</v>
      </c>
    </row>
    <row r="720" spans="1:22" x14ac:dyDescent="0.3">
      <c r="A720" t="s">
        <v>909</v>
      </c>
      <c r="B720" s="3">
        <v>45723</v>
      </c>
      <c r="C720" t="s">
        <v>71</v>
      </c>
      <c r="D720" t="s">
        <v>50</v>
      </c>
      <c r="E720" t="s">
        <v>119</v>
      </c>
      <c r="F720" t="s">
        <v>26</v>
      </c>
      <c r="G720" t="s">
        <v>27</v>
      </c>
      <c r="H720" t="s">
        <v>28</v>
      </c>
      <c r="I720" t="s">
        <v>29</v>
      </c>
      <c r="J720" t="s">
        <v>30</v>
      </c>
      <c r="K720" t="s">
        <v>54</v>
      </c>
      <c r="L720" s="2">
        <v>0.375</v>
      </c>
      <c r="M720" s="2">
        <v>0.75</v>
      </c>
      <c r="N720">
        <v>8</v>
      </c>
      <c r="O720">
        <v>0</v>
      </c>
      <c r="P720" t="s">
        <v>32</v>
      </c>
      <c r="R720">
        <v>3</v>
      </c>
      <c r="S720" t="s">
        <v>92</v>
      </c>
      <c r="T720" t="s">
        <v>34</v>
      </c>
      <c r="U720" t="s">
        <v>85</v>
      </c>
      <c r="V720" t="s">
        <v>35</v>
      </c>
    </row>
    <row r="721" spans="1:22" x14ac:dyDescent="0.3">
      <c r="A721" t="s">
        <v>910</v>
      </c>
      <c r="B721" s="3">
        <v>45741</v>
      </c>
      <c r="C721" t="s">
        <v>71</v>
      </c>
      <c r="D721" t="s">
        <v>50</v>
      </c>
      <c r="E721" t="s">
        <v>87</v>
      </c>
      <c r="F721" t="s">
        <v>231</v>
      </c>
      <c r="G721" t="s">
        <v>232</v>
      </c>
      <c r="H721" t="s">
        <v>98</v>
      </c>
      <c r="I721" t="s">
        <v>99</v>
      </c>
      <c r="J721" t="s">
        <v>74</v>
      </c>
      <c r="K721" t="s">
        <v>81</v>
      </c>
      <c r="L721" s="2">
        <v>0.91666666666666663</v>
      </c>
      <c r="M721" s="2">
        <v>0.29166666666666669</v>
      </c>
      <c r="N721">
        <v>10</v>
      </c>
      <c r="O721">
        <v>2</v>
      </c>
      <c r="P721" t="s">
        <v>32</v>
      </c>
      <c r="R721">
        <v>3</v>
      </c>
      <c r="S721" t="s">
        <v>33</v>
      </c>
      <c r="T721" t="s">
        <v>101</v>
      </c>
      <c r="U721" t="s">
        <v>47</v>
      </c>
      <c r="V721" t="s">
        <v>35</v>
      </c>
    </row>
    <row r="722" spans="1:22" x14ac:dyDescent="0.3">
      <c r="A722" t="s">
        <v>911</v>
      </c>
      <c r="B722" s="3">
        <v>45817</v>
      </c>
      <c r="C722" t="s">
        <v>23</v>
      </c>
      <c r="D722" t="s">
        <v>24</v>
      </c>
      <c r="E722" t="s">
        <v>109</v>
      </c>
      <c r="F722" t="s">
        <v>142</v>
      </c>
      <c r="G722" t="s">
        <v>143</v>
      </c>
      <c r="H722" t="s">
        <v>64</v>
      </c>
      <c r="I722" t="s">
        <v>65</v>
      </c>
      <c r="J722" t="s">
        <v>43</v>
      </c>
      <c r="K722" t="s">
        <v>81</v>
      </c>
      <c r="L722" s="2">
        <v>0.91666666666666663</v>
      </c>
      <c r="M722" s="2">
        <v>0.29166666666666669</v>
      </c>
      <c r="N722">
        <v>9.5</v>
      </c>
      <c r="O722">
        <v>1.5</v>
      </c>
      <c r="P722" t="s">
        <v>32</v>
      </c>
      <c r="R722">
        <v>5</v>
      </c>
      <c r="S722" t="s">
        <v>33</v>
      </c>
      <c r="T722" t="s">
        <v>68</v>
      </c>
      <c r="U722" t="s">
        <v>55</v>
      </c>
      <c r="V722" t="s">
        <v>35</v>
      </c>
    </row>
    <row r="723" spans="1:22" x14ac:dyDescent="0.3">
      <c r="A723" t="s">
        <v>912</v>
      </c>
      <c r="B723" s="3">
        <v>45765</v>
      </c>
      <c r="C723" t="s">
        <v>37</v>
      </c>
      <c r="D723" t="s">
        <v>24</v>
      </c>
      <c r="E723" t="s">
        <v>119</v>
      </c>
      <c r="F723" t="s">
        <v>120</v>
      </c>
      <c r="G723" t="s">
        <v>121</v>
      </c>
      <c r="H723" t="s">
        <v>41</v>
      </c>
      <c r="I723" t="s">
        <v>42</v>
      </c>
      <c r="J723" t="s">
        <v>74</v>
      </c>
      <c r="K723" t="s">
        <v>44</v>
      </c>
      <c r="L723" s="2">
        <v>0.375</v>
      </c>
      <c r="M723" s="2">
        <v>0.75</v>
      </c>
      <c r="N723">
        <v>8</v>
      </c>
      <c r="O723">
        <v>0</v>
      </c>
      <c r="P723" t="s">
        <v>32</v>
      </c>
      <c r="R723">
        <v>4</v>
      </c>
      <c r="S723" t="s">
        <v>45</v>
      </c>
      <c r="T723" t="s">
        <v>46</v>
      </c>
      <c r="V723" t="s">
        <v>35</v>
      </c>
    </row>
    <row r="724" spans="1:22" x14ac:dyDescent="0.3">
      <c r="A724" t="s">
        <v>913</v>
      </c>
      <c r="B724" s="3">
        <v>45666</v>
      </c>
      <c r="C724" t="s">
        <v>49</v>
      </c>
      <c r="D724" t="s">
        <v>50</v>
      </c>
      <c r="E724" t="s">
        <v>25</v>
      </c>
      <c r="F724" t="s">
        <v>192</v>
      </c>
      <c r="G724" t="s">
        <v>193</v>
      </c>
      <c r="H724" t="s">
        <v>79</v>
      </c>
      <c r="I724" t="s">
        <v>80</v>
      </c>
      <c r="J724" t="s">
        <v>66</v>
      </c>
      <c r="K724" t="s">
        <v>44</v>
      </c>
      <c r="L724" s="2">
        <v>0.375</v>
      </c>
      <c r="M724" s="2">
        <v>0.75</v>
      </c>
      <c r="N724">
        <v>8</v>
      </c>
      <c r="O724">
        <v>0</v>
      </c>
      <c r="P724" t="s">
        <v>32</v>
      </c>
      <c r="R724">
        <v>3</v>
      </c>
      <c r="S724" t="s">
        <v>33</v>
      </c>
      <c r="T724" t="s">
        <v>84</v>
      </c>
      <c r="U724" t="s">
        <v>85</v>
      </c>
      <c r="V724" t="s">
        <v>60</v>
      </c>
    </row>
    <row r="725" spans="1:22" x14ac:dyDescent="0.3">
      <c r="A725" t="s">
        <v>914</v>
      </c>
      <c r="B725" s="3">
        <v>45711</v>
      </c>
      <c r="C725" t="s">
        <v>95</v>
      </c>
      <c r="D725" t="s">
        <v>50</v>
      </c>
      <c r="E725" t="s">
        <v>103</v>
      </c>
      <c r="F725" t="s">
        <v>62</v>
      </c>
      <c r="G725" t="s">
        <v>63</v>
      </c>
      <c r="H725" t="s">
        <v>64</v>
      </c>
      <c r="I725" t="s">
        <v>65</v>
      </c>
      <c r="J725" t="s">
        <v>66</v>
      </c>
      <c r="K725" t="s">
        <v>81</v>
      </c>
      <c r="L725" s="2">
        <v>0.91666666666666663</v>
      </c>
      <c r="M725" s="2">
        <v>0.29166666666666669</v>
      </c>
      <c r="N725">
        <v>10</v>
      </c>
      <c r="O725">
        <v>2</v>
      </c>
      <c r="P725" t="s">
        <v>32</v>
      </c>
      <c r="R725">
        <v>4</v>
      </c>
      <c r="S725" t="s">
        <v>92</v>
      </c>
      <c r="T725" t="s">
        <v>68</v>
      </c>
      <c r="U725" t="s">
        <v>55</v>
      </c>
    </row>
    <row r="726" spans="1:22" x14ac:dyDescent="0.3">
      <c r="A726" t="s">
        <v>915</v>
      </c>
      <c r="B726" s="3">
        <v>45694</v>
      </c>
      <c r="C726" t="s">
        <v>95</v>
      </c>
      <c r="D726" t="s">
        <v>50</v>
      </c>
      <c r="E726" t="s">
        <v>25</v>
      </c>
      <c r="F726" t="s">
        <v>170</v>
      </c>
      <c r="G726" t="s">
        <v>171</v>
      </c>
      <c r="H726" t="s">
        <v>64</v>
      </c>
      <c r="I726" t="s">
        <v>65</v>
      </c>
      <c r="J726" t="s">
        <v>43</v>
      </c>
      <c r="K726" t="s">
        <v>75</v>
      </c>
      <c r="L726" s="2">
        <v>0.375</v>
      </c>
      <c r="M726" s="2">
        <v>0.75</v>
      </c>
      <c r="N726">
        <v>8.5</v>
      </c>
      <c r="O726">
        <v>0.5</v>
      </c>
      <c r="P726" t="s">
        <v>32</v>
      </c>
      <c r="R726">
        <v>4</v>
      </c>
      <c r="S726" t="s">
        <v>67</v>
      </c>
      <c r="T726" t="s">
        <v>68</v>
      </c>
      <c r="U726" t="s">
        <v>47</v>
      </c>
    </row>
    <row r="727" spans="1:22" x14ac:dyDescent="0.3">
      <c r="A727" t="s">
        <v>916</v>
      </c>
      <c r="B727" s="3">
        <v>45709</v>
      </c>
      <c r="C727" t="s">
        <v>95</v>
      </c>
      <c r="D727" t="s">
        <v>50</v>
      </c>
      <c r="E727" t="s">
        <v>119</v>
      </c>
      <c r="F727" t="s">
        <v>195</v>
      </c>
      <c r="G727" t="s">
        <v>196</v>
      </c>
      <c r="H727" t="s">
        <v>98</v>
      </c>
      <c r="I727" t="s">
        <v>99</v>
      </c>
      <c r="J727" t="s">
        <v>43</v>
      </c>
      <c r="K727" t="s">
        <v>44</v>
      </c>
      <c r="L727" s="2">
        <v>0.375</v>
      </c>
      <c r="M727" s="2">
        <v>0.75</v>
      </c>
      <c r="N727">
        <v>8</v>
      </c>
      <c r="O727">
        <v>0</v>
      </c>
      <c r="P727" t="s">
        <v>32</v>
      </c>
      <c r="S727" t="s">
        <v>92</v>
      </c>
      <c r="T727" t="s">
        <v>101</v>
      </c>
    </row>
    <row r="728" spans="1:22" x14ac:dyDescent="0.3">
      <c r="A728" t="s">
        <v>917</v>
      </c>
      <c r="B728" s="3">
        <v>45679</v>
      </c>
      <c r="C728" t="s">
        <v>49</v>
      </c>
      <c r="D728" t="s">
        <v>50</v>
      </c>
      <c r="E728" t="s">
        <v>51</v>
      </c>
      <c r="F728" t="s">
        <v>77</v>
      </c>
      <c r="G728" t="s">
        <v>78</v>
      </c>
      <c r="H728" t="s">
        <v>79</v>
      </c>
      <c r="I728" t="s">
        <v>80</v>
      </c>
      <c r="J728" t="s">
        <v>30</v>
      </c>
      <c r="K728" t="s">
        <v>54</v>
      </c>
      <c r="L728" s="2">
        <v>0.375</v>
      </c>
      <c r="N728">
        <v>8</v>
      </c>
      <c r="O728">
        <v>0</v>
      </c>
      <c r="P728" t="s">
        <v>32</v>
      </c>
      <c r="R728">
        <v>4</v>
      </c>
      <c r="S728" t="s">
        <v>33</v>
      </c>
      <c r="T728" t="s">
        <v>84</v>
      </c>
      <c r="V728" t="s">
        <v>35</v>
      </c>
    </row>
    <row r="729" spans="1:22" x14ac:dyDescent="0.3">
      <c r="A729" t="s">
        <v>918</v>
      </c>
      <c r="B729" s="3">
        <v>45807</v>
      </c>
      <c r="C729" t="s">
        <v>57</v>
      </c>
      <c r="D729" t="s">
        <v>24</v>
      </c>
      <c r="E729" t="s">
        <v>119</v>
      </c>
      <c r="F729" t="s">
        <v>88</v>
      </c>
      <c r="G729" t="s">
        <v>89</v>
      </c>
      <c r="H729" t="s">
        <v>90</v>
      </c>
      <c r="I729" t="s">
        <v>91</v>
      </c>
      <c r="J729" t="s">
        <v>43</v>
      </c>
      <c r="K729" t="s">
        <v>44</v>
      </c>
      <c r="L729" s="2">
        <v>0.375</v>
      </c>
      <c r="M729" s="2">
        <v>0.75</v>
      </c>
      <c r="N729">
        <v>8</v>
      </c>
      <c r="O729">
        <v>0</v>
      </c>
      <c r="P729" t="s">
        <v>32</v>
      </c>
      <c r="S729" t="s">
        <v>92</v>
      </c>
      <c r="T729" t="s">
        <v>93</v>
      </c>
      <c r="U729" t="s">
        <v>55</v>
      </c>
      <c r="V729" t="s">
        <v>60</v>
      </c>
    </row>
    <row r="730" spans="1:22" x14ac:dyDescent="0.3">
      <c r="A730" t="s">
        <v>919</v>
      </c>
      <c r="B730" s="3">
        <v>45683</v>
      </c>
      <c r="C730" t="s">
        <v>49</v>
      </c>
      <c r="D730" t="s">
        <v>50</v>
      </c>
      <c r="E730" t="s">
        <v>103</v>
      </c>
      <c r="F730" t="s">
        <v>166</v>
      </c>
      <c r="G730" t="s">
        <v>167</v>
      </c>
      <c r="H730" t="s">
        <v>41</v>
      </c>
      <c r="I730" t="s">
        <v>42</v>
      </c>
      <c r="J730" t="s">
        <v>100</v>
      </c>
      <c r="K730" t="s">
        <v>31</v>
      </c>
      <c r="L730" s="2">
        <v>0.375</v>
      </c>
      <c r="M730" s="2">
        <v>0.75</v>
      </c>
      <c r="N730">
        <v>8</v>
      </c>
      <c r="O730">
        <v>0</v>
      </c>
      <c r="P730" t="s">
        <v>32</v>
      </c>
      <c r="S730" t="s">
        <v>92</v>
      </c>
      <c r="T730" t="s">
        <v>46</v>
      </c>
      <c r="U730" t="s">
        <v>55</v>
      </c>
      <c r="V730" t="s">
        <v>60</v>
      </c>
    </row>
    <row r="731" spans="1:22" x14ac:dyDescent="0.3">
      <c r="A731" t="s">
        <v>920</v>
      </c>
      <c r="B731" s="1">
        <v>45706</v>
      </c>
      <c r="C731" t="s">
        <v>95</v>
      </c>
      <c r="D731" t="s">
        <v>50</v>
      </c>
      <c r="E731" t="s">
        <v>87</v>
      </c>
      <c r="F731" t="s">
        <v>163</v>
      </c>
      <c r="G731" t="s">
        <v>164</v>
      </c>
      <c r="H731" t="s">
        <v>112</v>
      </c>
      <c r="I731" t="s">
        <v>113</v>
      </c>
      <c r="J731" t="s">
        <v>100</v>
      </c>
      <c r="K731" t="s">
        <v>31</v>
      </c>
      <c r="L731" s="2">
        <v>0.3888888888888889</v>
      </c>
      <c r="M731" s="2">
        <v>0.75</v>
      </c>
      <c r="N731">
        <v>8</v>
      </c>
      <c r="O731">
        <v>0</v>
      </c>
      <c r="P731" t="s">
        <v>32</v>
      </c>
      <c r="R731">
        <v>4</v>
      </c>
      <c r="S731" t="s">
        <v>67</v>
      </c>
      <c r="T731" t="s">
        <v>114</v>
      </c>
      <c r="U731" t="s">
        <v>47</v>
      </c>
    </row>
    <row r="732" spans="1:22" x14ac:dyDescent="0.3">
      <c r="A732" t="s">
        <v>921</v>
      </c>
      <c r="B732" s="1">
        <v>45751</v>
      </c>
      <c r="C732" t="s">
        <v>37</v>
      </c>
      <c r="D732" t="s">
        <v>24</v>
      </c>
      <c r="E732" t="s">
        <v>119</v>
      </c>
      <c r="F732" t="s">
        <v>275</v>
      </c>
      <c r="G732" t="s">
        <v>276</v>
      </c>
      <c r="H732" t="s">
        <v>64</v>
      </c>
      <c r="I732" t="s">
        <v>65</v>
      </c>
      <c r="J732" t="s">
        <v>100</v>
      </c>
      <c r="K732" t="s">
        <v>31</v>
      </c>
      <c r="L732" s="2">
        <v>0.375</v>
      </c>
      <c r="M732" s="2">
        <v>0.75</v>
      </c>
      <c r="N732">
        <v>8.5</v>
      </c>
      <c r="O732">
        <v>0.5</v>
      </c>
      <c r="P732" t="s">
        <v>32</v>
      </c>
      <c r="R732">
        <v>4</v>
      </c>
      <c r="S732" t="s">
        <v>92</v>
      </c>
      <c r="T732" t="s">
        <v>68</v>
      </c>
      <c r="U732" t="s">
        <v>47</v>
      </c>
      <c r="V732" t="s">
        <v>69</v>
      </c>
    </row>
    <row r="733" spans="1:22" x14ac:dyDescent="0.3">
      <c r="A733" t="s">
        <v>922</v>
      </c>
      <c r="B733" s="3">
        <v>45771</v>
      </c>
      <c r="C733" t="s">
        <v>37</v>
      </c>
      <c r="D733" t="s">
        <v>24</v>
      </c>
      <c r="E733" t="s">
        <v>25</v>
      </c>
      <c r="F733" t="s">
        <v>77</v>
      </c>
      <c r="G733" t="s">
        <v>78</v>
      </c>
      <c r="H733" t="s">
        <v>79</v>
      </c>
      <c r="I733" t="s">
        <v>80</v>
      </c>
      <c r="J733" t="s">
        <v>30</v>
      </c>
      <c r="K733" t="s">
        <v>44</v>
      </c>
      <c r="P733" t="s">
        <v>82</v>
      </c>
      <c r="S733" t="s">
        <v>67</v>
      </c>
      <c r="T733" t="s">
        <v>84</v>
      </c>
      <c r="U733" t="s">
        <v>47</v>
      </c>
    </row>
    <row r="734" spans="1:22" x14ac:dyDescent="0.3">
      <c r="A734" t="s">
        <v>923</v>
      </c>
      <c r="B734" s="3">
        <v>45736</v>
      </c>
      <c r="C734" t="s">
        <v>71</v>
      </c>
      <c r="D734" t="s">
        <v>50</v>
      </c>
      <c r="E734" t="s">
        <v>25</v>
      </c>
      <c r="F734" t="s">
        <v>215</v>
      </c>
      <c r="G734" t="s">
        <v>216</v>
      </c>
      <c r="H734" t="s">
        <v>79</v>
      </c>
      <c r="I734" t="s">
        <v>80</v>
      </c>
      <c r="J734" t="s">
        <v>30</v>
      </c>
      <c r="K734" t="s">
        <v>81</v>
      </c>
      <c r="L734" s="2">
        <v>0.91666666666666663</v>
      </c>
      <c r="M734" s="2">
        <v>0.29166666666666669</v>
      </c>
      <c r="N734">
        <v>9.5</v>
      </c>
      <c r="O734">
        <v>1.5</v>
      </c>
      <c r="P734" t="s">
        <v>32</v>
      </c>
      <c r="R734">
        <v>4</v>
      </c>
      <c r="S734" t="s">
        <v>92</v>
      </c>
      <c r="T734" t="s">
        <v>84</v>
      </c>
      <c r="U734" t="s">
        <v>55</v>
      </c>
      <c r="V734" t="s">
        <v>60</v>
      </c>
    </row>
    <row r="735" spans="1:22" x14ac:dyDescent="0.3">
      <c r="A735" t="s">
        <v>924</v>
      </c>
      <c r="B735" s="3">
        <v>45789</v>
      </c>
      <c r="C735" t="s">
        <v>57</v>
      </c>
      <c r="D735" t="s">
        <v>24</v>
      </c>
      <c r="E735" t="s">
        <v>109</v>
      </c>
      <c r="F735" t="s">
        <v>142</v>
      </c>
      <c r="G735" t="s">
        <v>143</v>
      </c>
      <c r="H735" t="s">
        <v>64</v>
      </c>
      <c r="I735" t="s">
        <v>65</v>
      </c>
      <c r="J735" t="s">
        <v>43</v>
      </c>
      <c r="K735" t="s">
        <v>44</v>
      </c>
      <c r="L735" s="2">
        <v>0.375</v>
      </c>
      <c r="M735" s="2">
        <v>0.75</v>
      </c>
      <c r="N735">
        <v>8</v>
      </c>
      <c r="O735">
        <v>0</v>
      </c>
      <c r="P735" t="s">
        <v>32</v>
      </c>
      <c r="R735">
        <v>4</v>
      </c>
      <c r="S735" t="s">
        <v>67</v>
      </c>
      <c r="T735" t="s">
        <v>68</v>
      </c>
      <c r="U735" t="s">
        <v>55</v>
      </c>
      <c r="V735" t="s">
        <v>60</v>
      </c>
    </row>
    <row r="736" spans="1:22" x14ac:dyDescent="0.3">
      <c r="A736" t="s">
        <v>925</v>
      </c>
      <c r="B736" s="3">
        <v>45752</v>
      </c>
      <c r="C736" t="s">
        <v>37</v>
      </c>
      <c r="D736" t="s">
        <v>24</v>
      </c>
      <c r="E736" t="s">
        <v>38</v>
      </c>
      <c r="F736" t="s">
        <v>163</v>
      </c>
      <c r="G736" t="s">
        <v>164</v>
      </c>
      <c r="H736" t="s">
        <v>112</v>
      </c>
      <c r="I736" t="s">
        <v>113</v>
      </c>
      <c r="J736" t="s">
        <v>100</v>
      </c>
      <c r="K736" t="s">
        <v>31</v>
      </c>
      <c r="L736" s="2">
        <v>0.39930555555555558</v>
      </c>
      <c r="M736" s="2">
        <v>0.75</v>
      </c>
      <c r="N736">
        <v>8</v>
      </c>
      <c r="O736">
        <v>0</v>
      </c>
      <c r="P736" t="s">
        <v>32</v>
      </c>
      <c r="S736" t="s">
        <v>33</v>
      </c>
      <c r="T736" t="s">
        <v>114</v>
      </c>
      <c r="U736" t="s">
        <v>47</v>
      </c>
      <c r="V736" t="s">
        <v>60</v>
      </c>
    </row>
    <row r="737" spans="1:22" x14ac:dyDescent="0.3">
      <c r="A737" t="s">
        <v>926</v>
      </c>
      <c r="B737" s="1">
        <v>45680</v>
      </c>
      <c r="C737" t="s">
        <v>49</v>
      </c>
      <c r="D737" t="s">
        <v>50</v>
      </c>
      <c r="E737" t="s">
        <v>25</v>
      </c>
      <c r="F737" t="s">
        <v>142</v>
      </c>
      <c r="G737" t="s">
        <v>143</v>
      </c>
      <c r="H737" t="s">
        <v>64</v>
      </c>
      <c r="I737" t="s">
        <v>65</v>
      </c>
      <c r="J737" t="s">
        <v>43</v>
      </c>
      <c r="K737" t="s">
        <v>81</v>
      </c>
      <c r="L737" s="2">
        <v>0.91666666666666663</v>
      </c>
      <c r="M737" s="2">
        <v>0.29166666666666669</v>
      </c>
      <c r="N737">
        <v>8.5</v>
      </c>
      <c r="O737">
        <v>0.5</v>
      </c>
      <c r="P737" t="s">
        <v>32</v>
      </c>
      <c r="S737" t="s">
        <v>92</v>
      </c>
      <c r="T737" t="s">
        <v>68</v>
      </c>
      <c r="U737" t="s">
        <v>55</v>
      </c>
      <c r="V737" t="s">
        <v>60</v>
      </c>
    </row>
    <row r="738" spans="1:22" x14ac:dyDescent="0.3">
      <c r="A738" t="s">
        <v>927</v>
      </c>
      <c r="B738" s="1">
        <v>45831</v>
      </c>
      <c r="C738" t="s">
        <v>23</v>
      </c>
      <c r="D738" t="s">
        <v>24</v>
      </c>
      <c r="E738" t="s">
        <v>109</v>
      </c>
      <c r="F738" t="s">
        <v>116</v>
      </c>
      <c r="G738" t="s">
        <v>117</v>
      </c>
      <c r="H738" t="s">
        <v>112</v>
      </c>
      <c r="I738" t="s">
        <v>113</v>
      </c>
      <c r="J738" t="s">
        <v>100</v>
      </c>
      <c r="K738" t="s">
        <v>44</v>
      </c>
      <c r="L738" s="2">
        <v>0.38194444444444442</v>
      </c>
      <c r="M738" s="2">
        <v>0.75</v>
      </c>
      <c r="N738">
        <v>8</v>
      </c>
      <c r="O738">
        <v>0</v>
      </c>
      <c r="P738" t="s">
        <v>32</v>
      </c>
      <c r="R738">
        <v>4</v>
      </c>
      <c r="S738" t="s">
        <v>33</v>
      </c>
      <c r="T738" t="s">
        <v>114</v>
      </c>
    </row>
    <row r="739" spans="1:22" x14ac:dyDescent="0.3">
      <c r="A739" t="s">
        <v>928</v>
      </c>
      <c r="B739" s="3">
        <v>45740</v>
      </c>
      <c r="C739" t="s">
        <v>71</v>
      </c>
      <c r="D739" t="s">
        <v>50</v>
      </c>
      <c r="E739" t="s">
        <v>109</v>
      </c>
      <c r="F739" t="s">
        <v>266</v>
      </c>
      <c r="G739" t="s">
        <v>267</v>
      </c>
      <c r="H739" t="s">
        <v>98</v>
      </c>
      <c r="I739" t="s">
        <v>99</v>
      </c>
      <c r="J739" t="s">
        <v>66</v>
      </c>
      <c r="K739" t="s">
        <v>44</v>
      </c>
      <c r="P739" t="s">
        <v>135</v>
      </c>
      <c r="S739" t="s">
        <v>67</v>
      </c>
      <c r="T739" t="s">
        <v>101</v>
      </c>
      <c r="U739" t="s">
        <v>55</v>
      </c>
    </row>
    <row r="740" spans="1:22" x14ac:dyDescent="0.3">
      <c r="A740" t="s">
        <v>929</v>
      </c>
      <c r="B740" s="3">
        <v>45781</v>
      </c>
      <c r="C740" t="s">
        <v>57</v>
      </c>
      <c r="D740" t="s">
        <v>24</v>
      </c>
      <c r="E740" t="s">
        <v>103</v>
      </c>
      <c r="F740" t="s">
        <v>77</v>
      </c>
      <c r="G740" t="s">
        <v>78</v>
      </c>
      <c r="H740" t="s">
        <v>79</v>
      </c>
      <c r="I740" t="s">
        <v>80</v>
      </c>
      <c r="J740" t="s">
        <v>30</v>
      </c>
      <c r="K740" t="s">
        <v>31</v>
      </c>
      <c r="L740" s="2">
        <v>0.375</v>
      </c>
      <c r="M740" s="2">
        <v>0.75</v>
      </c>
      <c r="N740">
        <v>8</v>
      </c>
      <c r="O740">
        <v>0</v>
      </c>
      <c r="P740" t="s">
        <v>32</v>
      </c>
      <c r="R740">
        <v>4</v>
      </c>
      <c r="S740" t="s">
        <v>67</v>
      </c>
      <c r="T740" t="s">
        <v>84</v>
      </c>
      <c r="U740" t="s">
        <v>47</v>
      </c>
    </row>
    <row r="741" spans="1:22" x14ac:dyDescent="0.3">
      <c r="A741" t="s">
        <v>930</v>
      </c>
      <c r="B741" s="1">
        <v>45828</v>
      </c>
      <c r="C741" t="s">
        <v>23</v>
      </c>
      <c r="D741" t="s">
        <v>24</v>
      </c>
      <c r="E741" t="s">
        <v>119</v>
      </c>
      <c r="F741" t="s">
        <v>116</v>
      </c>
      <c r="G741" t="s">
        <v>117</v>
      </c>
      <c r="H741" t="s">
        <v>112</v>
      </c>
      <c r="I741" t="s">
        <v>113</v>
      </c>
      <c r="J741" t="s">
        <v>100</v>
      </c>
      <c r="K741" t="s">
        <v>31</v>
      </c>
      <c r="P741" t="s">
        <v>82</v>
      </c>
      <c r="Q741" t="s">
        <v>83</v>
      </c>
      <c r="S741" t="s">
        <v>45</v>
      </c>
      <c r="T741" t="s">
        <v>114</v>
      </c>
      <c r="U741" t="s">
        <v>55</v>
      </c>
      <c r="V741" t="s">
        <v>35</v>
      </c>
    </row>
    <row r="742" spans="1:22" x14ac:dyDescent="0.3">
      <c r="A742" t="s">
        <v>931</v>
      </c>
      <c r="B742" s="3">
        <v>45784</v>
      </c>
      <c r="C742" t="s">
        <v>57</v>
      </c>
      <c r="D742" t="s">
        <v>24</v>
      </c>
      <c r="E742" t="s">
        <v>51</v>
      </c>
      <c r="F742" t="s">
        <v>110</v>
      </c>
      <c r="G742" t="s">
        <v>111</v>
      </c>
      <c r="H742" t="s">
        <v>112</v>
      </c>
      <c r="I742" t="s">
        <v>113</v>
      </c>
      <c r="J742" t="s">
        <v>43</v>
      </c>
      <c r="K742" t="s">
        <v>81</v>
      </c>
      <c r="P742" t="s">
        <v>135</v>
      </c>
      <c r="S742" t="s">
        <v>92</v>
      </c>
      <c r="T742" t="s">
        <v>114</v>
      </c>
      <c r="U742" t="s">
        <v>47</v>
      </c>
      <c r="V742" t="s">
        <v>35</v>
      </c>
    </row>
    <row r="743" spans="1:22" x14ac:dyDescent="0.3">
      <c r="A743" t="s">
        <v>932</v>
      </c>
      <c r="B743" s="3">
        <v>45815</v>
      </c>
      <c r="C743" t="s">
        <v>23</v>
      </c>
      <c r="D743" t="s">
        <v>24</v>
      </c>
      <c r="E743" t="s">
        <v>38</v>
      </c>
      <c r="F743" t="s">
        <v>173</v>
      </c>
      <c r="G743" t="s">
        <v>174</v>
      </c>
      <c r="H743" t="s">
        <v>90</v>
      </c>
      <c r="I743" t="s">
        <v>91</v>
      </c>
      <c r="J743" t="s">
        <v>74</v>
      </c>
      <c r="K743" t="s">
        <v>54</v>
      </c>
      <c r="L743" s="2">
        <v>0.375</v>
      </c>
      <c r="M743" s="2">
        <v>0.75</v>
      </c>
      <c r="N743">
        <v>8</v>
      </c>
      <c r="O743">
        <v>0</v>
      </c>
      <c r="P743" t="s">
        <v>32</v>
      </c>
      <c r="S743" t="s">
        <v>92</v>
      </c>
      <c r="T743" t="s">
        <v>93</v>
      </c>
      <c r="U743" t="s">
        <v>85</v>
      </c>
      <c r="V743" t="s">
        <v>60</v>
      </c>
    </row>
    <row r="744" spans="1:22" x14ac:dyDescent="0.3">
      <c r="A744" t="s">
        <v>933</v>
      </c>
      <c r="B744" s="3">
        <v>45813</v>
      </c>
      <c r="C744" t="s">
        <v>23</v>
      </c>
      <c r="D744" t="s">
        <v>24</v>
      </c>
      <c r="E744" t="s">
        <v>25</v>
      </c>
      <c r="F744" t="s">
        <v>77</v>
      </c>
      <c r="G744" t="s">
        <v>78</v>
      </c>
      <c r="H744" t="s">
        <v>79</v>
      </c>
      <c r="I744" t="s">
        <v>80</v>
      </c>
      <c r="J744" t="s">
        <v>30</v>
      </c>
      <c r="K744" t="s">
        <v>54</v>
      </c>
      <c r="L744" s="2">
        <v>0.375</v>
      </c>
      <c r="M744" s="2">
        <v>0.75</v>
      </c>
      <c r="N744">
        <v>8</v>
      </c>
      <c r="O744">
        <v>0</v>
      </c>
      <c r="P744" t="s">
        <v>32</v>
      </c>
      <c r="R744">
        <v>3</v>
      </c>
      <c r="S744" t="s">
        <v>33</v>
      </c>
      <c r="T744" t="s">
        <v>84</v>
      </c>
      <c r="V744" t="s">
        <v>69</v>
      </c>
    </row>
    <row r="745" spans="1:22" x14ac:dyDescent="0.3">
      <c r="A745" t="s">
        <v>934</v>
      </c>
      <c r="B745" s="3">
        <v>45820</v>
      </c>
      <c r="C745" t="s">
        <v>23</v>
      </c>
      <c r="D745" t="s">
        <v>24</v>
      </c>
      <c r="E745" t="s">
        <v>25</v>
      </c>
      <c r="F745" t="s">
        <v>96</v>
      </c>
      <c r="G745" t="s">
        <v>97</v>
      </c>
      <c r="H745" t="s">
        <v>98</v>
      </c>
      <c r="I745" t="s">
        <v>99</v>
      </c>
      <c r="J745" t="s">
        <v>100</v>
      </c>
      <c r="K745" t="s">
        <v>75</v>
      </c>
      <c r="L745" s="2">
        <v>0.375</v>
      </c>
      <c r="M745" s="2">
        <v>0.75</v>
      </c>
      <c r="N745">
        <v>8</v>
      </c>
      <c r="O745">
        <v>0</v>
      </c>
      <c r="P745" t="s">
        <v>32</v>
      </c>
      <c r="R745">
        <v>4</v>
      </c>
      <c r="S745" t="s">
        <v>92</v>
      </c>
      <c r="T745" t="s">
        <v>101</v>
      </c>
      <c r="V745" t="s">
        <v>60</v>
      </c>
    </row>
    <row r="746" spans="1:22" x14ac:dyDescent="0.3">
      <c r="A746" t="s">
        <v>935</v>
      </c>
      <c r="B746" s="3">
        <v>45704</v>
      </c>
      <c r="C746" t="s">
        <v>95</v>
      </c>
      <c r="D746" t="s">
        <v>50</v>
      </c>
      <c r="E746" t="s">
        <v>103</v>
      </c>
      <c r="F746" t="s">
        <v>201</v>
      </c>
      <c r="G746" t="s">
        <v>202</v>
      </c>
      <c r="H746" t="s">
        <v>112</v>
      </c>
      <c r="I746" t="s">
        <v>113</v>
      </c>
      <c r="J746" t="s">
        <v>66</v>
      </c>
      <c r="K746" t="s">
        <v>54</v>
      </c>
      <c r="P746" t="s">
        <v>82</v>
      </c>
      <c r="Q746" t="s">
        <v>83</v>
      </c>
      <c r="S746" t="s">
        <v>67</v>
      </c>
      <c r="T746" t="s">
        <v>114</v>
      </c>
      <c r="V746" t="s">
        <v>69</v>
      </c>
    </row>
    <row r="747" spans="1:22" x14ac:dyDescent="0.3">
      <c r="A747" t="s">
        <v>936</v>
      </c>
      <c r="B747" s="3">
        <v>45724</v>
      </c>
      <c r="C747" t="s">
        <v>71</v>
      </c>
      <c r="D747" t="s">
        <v>50</v>
      </c>
      <c r="E747" t="s">
        <v>38</v>
      </c>
      <c r="F747" t="s">
        <v>305</v>
      </c>
      <c r="G747" t="s">
        <v>306</v>
      </c>
      <c r="H747" t="s">
        <v>79</v>
      </c>
      <c r="I747" t="s">
        <v>80</v>
      </c>
      <c r="J747" t="s">
        <v>74</v>
      </c>
      <c r="K747" t="s">
        <v>75</v>
      </c>
      <c r="L747" s="2">
        <v>0.375</v>
      </c>
      <c r="M747" s="2">
        <v>0.75</v>
      </c>
      <c r="N747">
        <v>8</v>
      </c>
      <c r="O747">
        <v>0</v>
      </c>
      <c r="P747" t="s">
        <v>32</v>
      </c>
      <c r="R747">
        <v>5</v>
      </c>
      <c r="S747" t="s">
        <v>33</v>
      </c>
      <c r="T747" t="s">
        <v>84</v>
      </c>
      <c r="U747" t="s">
        <v>47</v>
      </c>
      <c r="V747" t="s">
        <v>60</v>
      </c>
    </row>
    <row r="748" spans="1:22" x14ac:dyDescent="0.3">
      <c r="A748" t="s">
        <v>937</v>
      </c>
      <c r="B748" s="3">
        <v>45742</v>
      </c>
      <c r="C748" t="s">
        <v>71</v>
      </c>
      <c r="D748" t="s">
        <v>50</v>
      </c>
      <c r="E748" t="s">
        <v>51</v>
      </c>
      <c r="F748" t="s">
        <v>207</v>
      </c>
      <c r="G748" t="s">
        <v>208</v>
      </c>
      <c r="H748" t="s">
        <v>64</v>
      </c>
      <c r="I748" t="s">
        <v>65</v>
      </c>
      <c r="J748" t="s">
        <v>30</v>
      </c>
      <c r="K748" t="s">
        <v>75</v>
      </c>
      <c r="L748" s="2">
        <v>0.375</v>
      </c>
      <c r="M748" s="2">
        <v>0.75</v>
      </c>
      <c r="N748">
        <v>9</v>
      </c>
      <c r="O748">
        <v>1</v>
      </c>
      <c r="P748" t="s">
        <v>32</v>
      </c>
      <c r="R748">
        <v>5</v>
      </c>
      <c r="S748" t="s">
        <v>45</v>
      </c>
      <c r="T748" t="s">
        <v>68</v>
      </c>
      <c r="V748" t="s">
        <v>60</v>
      </c>
    </row>
    <row r="749" spans="1:22" x14ac:dyDescent="0.3">
      <c r="A749" t="s">
        <v>938</v>
      </c>
      <c r="B749" s="1">
        <v>45714</v>
      </c>
      <c r="C749" t="s">
        <v>95</v>
      </c>
      <c r="D749" t="s">
        <v>50</v>
      </c>
      <c r="E749" t="s">
        <v>51</v>
      </c>
      <c r="F749" t="s">
        <v>288</v>
      </c>
      <c r="G749" t="s">
        <v>289</v>
      </c>
      <c r="H749" t="s">
        <v>28</v>
      </c>
      <c r="I749" t="s">
        <v>29</v>
      </c>
      <c r="J749" t="s">
        <v>74</v>
      </c>
      <c r="K749" t="s">
        <v>81</v>
      </c>
      <c r="L749" s="2">
        <v>0.91666666666666663</v>
      </c>
      <c r="M749" s="2">
        <v>0.29166666666666669</v>
      </c>
      <c r="N749">
        <v>9.5</v>
      </c>
      <c r="O749">
        <v>1.5</v>
      </c>
      <c r="P749" t="s">
        <v>32</v>
      </c>
      <c r="R749">
        <v>4</v>
      </c>
      <c r="S749" t="s">
        <v>45</v>
      </c>
      <c r="T749" t="s">
        <v>34</v>
      </c>
      <c r="U749" t="s">
        <v>47</v>
      </c>
      <c r="V749" t="s">
        <v>35</v>
      </c>
    </row>
    <row r="750" spans="1:22" x14ac:dyDescent="0.3">
      <c r="A750" t="s">
        <v>939</v>
      </c>
      <c r="B750" s="3">
        <v>45750</v>
      </c>
      <c r="C750" t="s">
        <v>37</v>
      </c>
      <c r="D750" t="s">
        <v>24</v>
      </c>
      <c r="E750" t="s">
        <v>25</v>
      </c>
      <c r="F750" t="s">
        <v>148</v>
      </c>
      <c r="G750" t="s">
        <v>149</v>
      </c>
      <c r="H750" t="s">
        <v>112</v>
      </c>
      <c r="I750" t="s">
        <v>113</v>
      </c>
      <c r="J750" t="s">
        <v>43</v>
      </c>
      <c r="K750" t="s">
        <v>75</v>
      </c>
      <c r="L750" s="2">
        <v>0.3888888888888889</v>
      </c>
      <c r="M750" s="2">
        <v>0.75</v>
      </c>
      <c r="N750">
        <v>8</v>
      </c>
      <c r="O750">
        <v>0</v>
      </c>
      <c r="P750" t="s">
        <v>32</v>
      </c>
      <c r="R750">
        <v>4</v>
      </c>
      <c r="S750" t="s">
        <v>92</v>
      </c>
      <c r="T750" t="s">
        <v>114</v>
      </c>
      <c r="U750" t="s">
        <v>85</v>
      </c>
    </row>
    <row r="751" spans="1:22" x14ac:dyDescent="0.3">
      <c r="A751" t="s">
        <v>940</v>
      </c>
      <c r="B751" s="3">
        <v>45725</v>
      </c>
      <c r="C751" t="s">
        <v>71</v>
      </c>
      <c r="D751" t="s">
        <v>50</v>
      </c>
      <c r="E751" t="s">
        <v>103</v>
      </c>
      <c r="F751" t="s">
        <v>281</v>
      </c>
      <c r="G751" t="s">
        <v>282</v>
      </c>
      <c r="H751" t="s">
        <v>90</v>
      </c>
      <c r="I751" t="s">
        <v>91</v>
      </c>
      <c r="J751" t="s">
        <v>30</v>
      </c>
      <c r="K751" t="s">
        <v>54</v>
      </c>
      <c r="L751" s="2">
        <v>0.375</v>
      </c>
      <c r="M751" s="2">
        <v>0.75</v>
      </c>
      <c r="N751">
        <v>8</v>
      </c>
      <c r="O751">
        <v>0</v>
      </c>
      <c r="P751" t="s">
        <v>32</v>
      </c>
      <c r="R751">
        <v>4</v>
      </c>
      <c r="S751" t="s">
        <v>92</v>
      </c>
      <c r="T751" t="s">
        <v>93</v>
      </c>
      <c r="U751" t="s">
        <v>85</v>
      </c>
      <c r="V751" t="s">
        <v>60</v>
      </c>
    </row>
    <row r="752" spans="1:22" x14ac:dyDescent="0.3">
      <c r="A752" t="s">
        <v>941</v>
      </c>
      <c r="B752" s="1">
        <v>45665</v>
      </c>
      <c r="C752" t="s">
        <v>49</v>
      </c>
      <c r="D752" t="s">
        <v>50</v>
      </c>
      <c r="E752" t="s">
        <v>51</v>
      </c>
      <c r="F752" t="s">
        <v>243</v>
      </c>
      <c r="G752" t="s">
        <v>244</v>
      </c>
      <c r="H752" t="s">
        <v>90</v>
      </c>
      <c r="I752" t="s">
        <v>91</v>
      </c>
      <c r="J752" t="s">
        <v>30</v>
      </c>
      <c r="K752" t="s">
        <v>54</v>
      </c>
      <c r="L752" s="2">
        <v>0.375</v>
      </c>
      <c r="M752" s="2">
        <v>0.75</v>
      </c>
      <c r="N752">
        <v>8</v>
      </c>
      <c r="O752">
        <v>0</v>
      </c>
      <c r="P752" t="s">
        <v>32</v>
      </c>
      <c r="R752">
        <v>5</v>
      </c>
      <c r="S752" t="s">
        <v>67</v>
      </c>
      <c r="T752" t="s">
        <v>93</v>
      </c>
      <c r="V752" t="s">
        <v>60</v>
      </c>
    </row>
    <row r="753" spans="1:22" x14ac:dyDescent="0.3">
      <c r="A753" t="s">
        <v>942</v>
      </c>
      <c r="B753" s="1">
        <v>45768</v>
      </c>
      <c r="C753" t="s">
        <v>37</v>
      </c>
      <c r="D753" t="s">
        <v>24</v>
      </c>
      <c r="E753" t="s">
        <v>109</v>
      </c>
      <c r="F753" t="s">
        <v>207</v>
      </c>
      <c r="G753" t="s">
        <v>208</v>
      </c>
      <c r="H753" t="s">
        <v>421</v>
      </c>
      <c r="I753" t="s">
        <v>65</v>
      </c>
      <c r="J753" t="s">
        <v>30</v>
      </c>
      <c r="K753" t="s">
        <v>31</v>
      </c>
      <c r="L753" s="2">
        <v>0.375</v>
      </c>
      <c r="M753" s="2">
        <v>0.75</v>
      </c>
      <c r="N753">
        <v>9.5</v>
      </c>
      <c r="O753">
        <v>1.5</v>
      </c>
      <c r="P753" t="s">
        <v>32</v>
      </c>
      <c r="S753" t="s">
        <v>92</v>
      </c>
      <c r="T753" t="s">
        <v>68</v>
      </c>
      <c r="U753" t="s">
        <v>47</v>
      </c>
    </row>
    <row r="754" spans="1:22" x14ac:dyDescent="0.3">
      <c r="A754" t="s">
        <v>943</v>
      </c>
      <c r="B754" s="3">
        <v>45768</v>
      </c>
      <c r="C754" t="s">
        <v>37</v>
      </c>
      <c r="D754" t="s">
        <v>24</v>
      </c>
      <c r="E754" t="s">
        <v>109</v>
      </c>
      <c r="F754" t="s">
        <v>204</v>
      </c>
      <c r="G754" t="s">
        <v>205</v>
      </c>
      <c r="H754" t="s">
        <v>90</v>
      </c>
      <c r="I754" t="s">
        <v>91</v>
      </c>
      <c r="J754" t="s">
        <v>74</v>
      </c>
      <c r="K754" t="s">
        <v>75</v>
      </c>
      <c r="L754" s="2">
        <v>0.375</v>
      </c>
      <c r="M754" s="2">
        <v>0.75</v>
      </c>
      <c r="N754">
        <v>8</v>
      </c>
      <c r="O754">
        <v>0</v>
      </c>
      <c r="P754" t="s">
        <v>32</v>
      </c>
      <c r="S754" t="s">
        <v>92</v>
      </c>
      <c r="T754" t="s">
        <v>93</v>
      </c>
      <c r="U754" t="s">
        <v>85</v>
      </c>
    </row>
    <row r="755" spans="1:22" x14ac:dyDescent="0.3">
      <c r="A755" t="s">
        <v>944</v>
      </c>
      <c r="B755" s="3">
        <v>45802</v>
      </c>
      <c r="C755" t="s">
        <v>57</v>
      </c>
      <c r="D755" t="s">
        <v>24</v>
      </c>
      <c r="E755" t="s">
        <v>103</v>
      </c>
      <c r="F755" t="s">
        <v>96</v>
      </c>
      <c r="G755" t="s">
        <v>97</v>
      </c>
      <c r="H755" t="s">
        <v>98</v>
      </c>
      <c r="I755" t="s">
        <v>99</v>
      </c>
      <c r="J755" t="s">
        <v>100</v>
      </c>
      <c r="K755" t="s">
        <v>44</v>
      </c>
      <c r="L755" s="2">
        <v>0.375</v>
      </c>
      <c r="M755" s="2">
        <v>0.75</v>
      </c>
      <c r="N755">
        <v>8</v>
      </c>
      <c r="O755">
        <v>0</v>
      </c>
      <c r="P755" t="s">
        <v>32</v>
      </c>
      <c r="R755">
        <v>5</v>
      </c>
      <c r="S755" t="s">
        <v>33</v>
      </c>
      <c r="T755" t="s">
        <v>101</v>
      </c>
      <c r="U755" t="s">
        <v>55</v>
      </c>
      <c r="V755" t="s">
        <v>35</v>
      </c>
    </row>
    <row r="756" spans="1:22" x14ac:dyDescent="0.3">
      <c r="A756" t="s">
        <v>945</v>
      </c>
      <c r="B756" s="3">
        <v>45829</v>
      </c>
      <c r="C756" t="s">
        <v>23</v>
      </c>
      <c r="D756" t="s">
        <v>24</v>
      </c>
      <c r="E756" t="s">
        <v>38</v>
      </c>
      <c r="F756" t="s">
        <v>163</v>
      </c>
      <c r="G756" t="s">
        <v>164</v>
      </c>
      <c r="H756" t="s">
        <v>112</v>
      </c>
      <c r="I756" t="s">
        <v>113</v>
      </c>
      <c r="J756" t="s">
        <v>100</v>
      </c>
      <c r="K756" t="s">
        <v>31</v>
      </c>
      <c r="L756" s="2">
        <v>0.38194444444444442</v>
      </c>
      <c r="M756" s="2">
        <v>0.75</v>
      </c>
      <c r="N756">
        <v>8</v>
      </c>
      <c r="O756">
        <v>0</v>
      </c>
      <c r="P756" t="s">
        <v>32</v>
      </c>
      <c r="R756">
        <v>3</v>
      </c>
      <c r="S756" t="s">
        <v>45</v>
      </c>
      <c r="T756" t="s">
        <v>114</v>
      </c>
      <c r="U756" t="s">
        <v>85</v>
      </c>
      <c r="V756" t="s">
        <v>35</v>
      </c>
    </row>
    <row r="757" spans="1:22" x14ac:dyDescent="0.3">
      <c r="A757" t="s">
        <v>946</v>
      </c>
      <c r="B757" s="1">
        <v>45663</v>
      </c>
      <c r="C757" t="s">
        <v>49</v>
      </c>
      <c r="D757" t="s">
        <v>50</v>
      </c>
      <c r="E757" t="s">
        <v>109</v>
      </c>
      <c r="F757" t="s">
        <v>116</v>
      </c>
      <c r="G757" t="s">
        <v>117</v>
      </c>
      <c r="H757" t="s">
        <v>112</v>
      </c>
      <c r="I757" t="s">
        <v>113</v>
      </c>
      <c r="J757" t="s">
        <v>100</v>
      </c>
      <c r="K757" t="s">
        <v>75</v>
      </c>
      <c r="L757" s="2">
        <v>0.39930555555555558</v>
      </c>
      <c r="M757" s="2">
        <v>0.75</v>
      </c>
      <c r="N757">
        <v>8</v>
      </c>
      <c r="O757">
        <v>0</v>
      </c>
      <c r="P757" t="s">
        <v>32</v>
      </c>
      <c r="R757">
        <v>4</v>
      </c>
      <c r="S757" t="s">
        <v>92</v>
      </c>
      <c r="T757" t="s">
        <v>114</v>
      </c>
      <c r="U757" t="s">
        <v>47</v>
      </c>
      <c r="V757" t="s">
        <v>69</v>
      </c>
    </row>
    <row r="758" spans="1:22" x14ac:dyDescent="0.3">
      <c r="A758" t="s">
        <v>947</v>
      </c>
      <c r="B758" s="3">
        <v>45703</v>
      </c>
      <c r="C758" t="s">
        <v>95</v>
      </c>
      <c r="D758" t="s">
        <v>50</v>
      </c>
      <c r="E758" t="s">
        <v>38</v>
      </c>
      <c r="F758" t="s">
        <v>58</v>
      </c>
      <c r="G758" t="s">
        <v>59</v>
      </c>
      <c r="H758" t="s">
        <v>41</v>
      </c>
      <c r="I758" t="s">
        <v>42</v>
      </c>
      <c r="J758" t="s">
        <v>30</v>
      </c>
      <c r="K758" t="s">
        <v>75</v>
      </c>
      <c r="L758" s="2">
        <v>0.375</v>
      </c>
      <c r="M758" s="2">
        <v>0.75</v>
      </c>
      <c r="N758">
        <v>8</v>
      </c>
      <c r="O758">
        <v>0</v>
      </c>
      <c r="P758" t="s">
        <v>32</v>
      </c>
      <c r="R758">
        <v>4</v>
      </c>
      <c r="S758" t="s">
        <v>33</v>
      </c>
      <c r="T758" t="s">
        <v>46</v>
      </c>
      <c r="U758" t="s">
        <v>55</v>
      </c>
      <c r="V758" t="s">
        <v>69</v>
      </c>
    </row>
    <row r="759" spans="1:22" x14ac:dyDescent="0.3">
      <c r="A759" t="s">
        <v>948</v>
      </c>
      <c r="B759" s="3">
        <v>45739</v>
      </c>
      <c r="C759" t="s">
        <v>71</v>
      </c>
      <c r="D759" t="s">
        <v>50</v>
      </c>
      <c r="E759" t="s">
        <v>103</v>
      </c>
      <c r="F759" t="s">
        <v>243</v>
      </c>
      <c r="G759" t="s">
        <v>244</v>
      </c>
      <c r="H759" t="s">
        <v>90</v>
      </c>
      <c r="I759" t="s">
        <v>91</v>
      </c>
      <c r="J759" t="s">
        <v>30</v>
      </c>
      <c r="K759" t="s">
        <v>44</v>
      </c>
      <c r="L759" s="2">
        <v>0.375</v>
      </c>
      <c r="M759" s="2">
        <v>0.75</v>
      </c>
      <c r="N759">
        <v>8</v>
      </c>
      <c r="O759">
        <v>0</v>
      </c>
      <c r="P759" t="s">
        <v>32</v>
      </c>
      <c r="R759">
        <v>4</v>
      </c>
      <c r="S759" t="s">
        <v>67</v>
      </c>
      <c r="T759" t="s">
        <v>93</v>
      </c>
      <c r="U759" t="s">
        <v>55</v>
      </c>
      <c r="V759" t="s">
        <v>60</v>
      </c>
    </row>
    <row r="760" spans="1:22" x14ac:dyDescent="0.3">
      <c r="A760" t="s">
        <v>949</v>
      </c>
      <c r="B760" s="1">
        <v>45784</v>
      </c>
      <c r="C760" t="s">
        <v>57</v>
      </c>
      <c r="D760" t="s">
        <v>24</v>
      </c>
      <c r="E760" t="s">
        <v>51</v>
      </c>
      <c r="F760" t="s">
        <v>127</v>
      </c>
      <c r="G760" t="s">
        <v>128</v>
      </c>
      <c r="H760" t="s">
        <v>137</v>
      </c>
      <c r="I760" t="s">
        <v>91</v>
      </c>
      <c r="J760" t="s">
        <v>66</v>
      </c>
      <c r="K760" t="s">
        <v>81</v>
      </c>
      <c r="L760" s="2">
        <v>0.91666666666666663</v>
      </c>
      <c r="M760" s="2">
        <v>0.29166666666666669</v>
      </c>
      <c r="N760">
        <v>9</v>
      </c>
      <c r="O760">
        <v>1</v>
      </c>
      <c r="P760" t="s">
        <v>32</v>
      </c>
      <c r="R760">
        <v>5</v>
      </c>
      <c r="S760" t="s">
        <v>67</v>
      </c>
      <c r="T760" t="s">
        <v>93</v>
      </c>
      <c r="U760" t="s">
        <v>85</v>
      </c>
      <c r="V760" t="s">
        <v>69</v>
      </c>
    </row>
    <row r="761" spans="1:22" x14ac:dyDescent="0.3">
      <c r="A761" t="s">
        <v>950</v>
      </c>
      <c r="B761" s="3">
        <v>45804</v>
      </c>
      <c r="C761" t="s">
        <v>57</v>
      </c>
      <c r="D761" t="s">
        <v>24</v>
      </c>
      <c r="E761" t="s">
        <v>87</v>
      </c>
      <c r="F761" t="s">
        <v>110</v>
      </c>
      <c r="G761" t="s">
        <v>111</v>
      </c>
      <c r="H761" t="s">
        <v>112</v>
      </c>
      <c r="I761" t="s">
        <v>113</v>
      </c>
      <c r="J761" t="s">
        <v>43</v>
      </c>
      <c r="K761" t="s">
        <v>75</v>
      </c>
      <c r="L761" s="2">
        <v>0.3888888888888889</v>
      </c>
      <c r="M761" s="2">
        <v>0.75</v>
      </c>
      <c r="N761">
        <v>8</v>
      </c>
      <c r="O761">
        <v>0</v>
      </c>
      <c r="P761" t="s">
        <v>32</v>
      </c>
      <c r="R761">
        <v>4</v>
      </c>
      <c r="S761" t="s">
        <v>92</v>
      </c>
      <c r="T761" t="s">
        <v>114</v>
      </c>
      <c r="V761" t="s">
        <v>60</v>
      </c>
    </row>
    <row r="762" spans="1:22" x14ac:dyDescent="0.3">
      <c r="A762" t="s">
        <v>951</v>
      </c>
      <c r="B762" s="3">
        <v>45807</v>
      </c>
      <c r="C762" t="s">
        <v>57</v>
      </c>
      <c r="D762" t="s">
        <v>24</v>
      </c>
      <c r="E762" t="s">
        <v>119</v>
      </c>
      <c r="F762" t="s">
        <v>182</v>
      </c>
      <c r="G762" t="s">
        <v>183</v>
      </c>
      <c r="H762" t="s">
        <v>112</v>
      </c>
      <c r="I762" t="s">
        <v>113</v>
      </c>
      <c r="J762" t="s">
        <v>30</v>
      </c>
      <c r="K762" t="s">
        <v>54</v>
      </c>
      <c r="L762" s="2">
        <v>0.38194444444444442</v>
      </c>
      <c r="M762" s="2">
        <v>0.75</v>
      </c>
      <c r="N762">
        <v>8</v>
      </c>
      <c r="O762">
        <v>0</v>
      </c>
      <c r="P762" t="s">
        <v>32</v>
      </c>
      <c r="R762">
        <v>3</v>
      </c>
      <c r="S762" t="s">
        <v>92</v>
      </c>
      <c r="T762" t="s">
        <v>114</v>
      </c>
      <c r="U762" t="s">
        <v>47</v>
      </c>
      <c r="V762" t="s">
        <v>35</v>
      </c>
    </row>
    <row r="763" spans="1:22" x14ac:dyDescent="0.3">
      <c r="A763" t="s">
        <v>952</v>
      </c>
      <c r="B763" s="3">
        <v>45749</v>
      </c>
      <c r="C763" t="s">
        <v>37</v>
      </c>
      <c r="D763" t="s">
        <v>24</v>
      </c>
      <c r="E763" t="s">
        <v>51</v>
      </c>
      <c r="F763" t="s">
        <v>309</v>
      </c>
      <c r="G763" t="s">
        <v>310</v>
      </c>
      <c r="H763" t="s">
        <v>28</v>
      </c>
      <c r="I763" t="s">
        <v>29</v>
      </c>
      <c r="J763" t="s">
        <v>43</v>
      </c>
      <c r="K763" t="s">
        <v>54</v>
      </c>
      <c r="P763" t="s">
        <v>82</v>
      </c>
      <c r="Q763" t="s">
        <v>83</v>
      </c>
      <c r="S763" t="s">
        <v>45</v>
      </c>
      <c r="T763" t="s">
        <v>34</v>
      </c>
      <c r="U763" t="s">
        <v>85</v>
      </c>
    </row>
    <row r="764" spans="1:22" x14ac:dyDescent="0.3">
      <c r="A764" t="s">
        <v>953</v>
      </c>
      <c r="B764" s="1">
        <v>45696</v>
      </c>
      <c r="C764" t="s">
        <v>95</v>
      </c>
      <c r="D764" t="s">
        <v>50</v>
      </c>
      <c r="E764" t="s">
        <v>38</v>
      </c>
      <c r="F764" t="s">
        <v>240</v>
      </c>
      <c r="G764" t="s">
        <v>241</v>
      </c>
      <c r="H764" t="s">
        <v>41</v>
      </c>
      <c r="I764" t="s">
        <v>42</v>
      </c>
      <c r="J764" t="s">
        <v>66</v>
      </c>
      <c r="K764" t="s">
        <v>31</v>
      </c>
      <c r="L764" s="2">
        <v>0.375</v>
      </c>
      <c r="M764" s="2">
        <v>0.75</v>
      </c>
      <c r="N764">
        <v>8</v>
      </c>
      <c r="O764">
        <v>0</v>
      </c>
      <c r="P764" t="s">
        <v>32</v>
      </c>
      <c r="R764">
        <v>4</v>
      </c>
      <c r="S764" t="s">
        <v>92</v>
      </c>
      <c r="T764" t="s">
        <v>46</v>
      </c>
      <c r="U764" t="s">
        <v>85</v>
      </c>
      <c r="V764" t="s">
        <v>69</v>
      </c>
    </row>
    <row r="765" spans="1:22" x14ac:dyDescent="0.3">
      <c r="A765" t="s">
        <v>954</v>
      </c>
      <c r="B765" s="3">
        <v>45671</v>
      </c>
      <c r="C765" t="s">
        <v>49</v>
      </c>
      <c r="D765" t="s">
        <v>50</v>
      </c>
      <c r="E765" t="s">
        <v>87</v>
      </c>
      <c r="F765" t="s">
        <v>104</v>
      </c>
      <c r="G765" t="s">
        <v>105</v>
      </c>
      <c r="H765" t="s">
        <v>28</v>
      </c>
      <c r="I765" t="s">
        <v>29</v>
      </c>
      <c r="J765" t="s">
        <v>30</v>
      </c>
      <c r="K765" t="s">
        <v>75</v>
      </c>
      <c r="L765" s="2">
        <v>0.375</v>
      </c>
      <c r="M765" s="2">
        <v>0.75</v>
      </c>
      <c r="N765">
        <v>8</v>
      </c>
      <c r="O765">
        <v>0</v>
      </c>
      <c r="P765" t="s">
        <v>32</v>
      </c>
      <c r="R765">
        <v>3</v>
      </c>
      <c r="S765" t="s">
        <v>67</v>
      </c>
      <c r="T765" t="s">
        <v>34</v>
      </c>
      <c r="V765" t="s">
        <v>69</v>
      </c>
    </row>
    <row r="766" spans="1:22" x14ac:dyDescent="0.3">
      <c r="A766" t="s">
        <v>955</v>
      </c>
      <c r="B766" s="3">
        <v>45744</v>
      </c>
      <c r="C766" t="s">
        <v>71</v>
      </c>
      <c r="D766" t="s">
        <v>50</v>
      </c>
      <c r="E766" t="s">
        <v>119</v>
      </c>
      <c r="F766" t="s">
        <v>154</v>
      </c>
      <c r="G766" t="s">
        <v>155</v>
      </c>
      <c r="H766" t="s">
        <v>41</v>
      </c>
      <c r="I766" t="s">
        <v>42</v>
      </c>
      <c r="J766" t="s">
        <v>74</v>
      </c>
      <c r="K766" t="s">
        <v>54</v>
      </c>
      <c r="L766" s="2">
        <v>0.375</v>
      </c>
      <c r="M766" s="2">
        <v>0.75</v>
      </c>
      <c r="N766">
        <v>8</v>
      </c>
      <c r="O766">
        <v>0</v>
      </c>
      <c r="P766" t="s">
        <v>32</v>
      </c>
      <c r="R766">
        <v>5</v>
      </c>
      <c r="S766" t="s">
        <v>33</v>
      </c>
      <c r="T766" t="s">
        <v>46</v>
      </c>
      <c r="U766" t="s">
        <v>55</v>
      </c>
      <c r="V766" t="s">
        <v>69</v>
      </c>
    </row>
    <row r="767" spans="1:22" x14ac:dyDescent="0.3">
      <c r="A767" t="s">
        <v>956</v>
      </c>
      <c r="B767" s="3">
        <v>45776</v>
      </c>
      <c r="C767" t="s">
        <v>37</v>
      </c>
      <c r="D767" t="s">
        <v>24</v>
      </c>
      <c r="E767" t="s">
        <v>87</v>
      </c>
      <c r="F767" t="s">
        <v>96</v>
      </c>
      <c r="G767" t="s">
        <v>97</v>
      </c>
      <c r="H767" t="s">
        <v>98</v>
      </c>
      <c r="I767" t="s">
        <v>99</v>
      </c>
      <c r="J767" t="s">
        <v>100</v>
      </c>
      <c r="K767" t="s">
        <v>81</v>
      </c>
      <c r="P767" t="s">
        <v>82</v>
      </c>
      <c r="S767" t="s">
        <v>33</v>
      </c>
      <c r="T767" t="s">
        <v>101</v>
      </c>
      <c r="U767" t="s">
        <v>85</v>
      </c>
      <c r="V767" t="s">
        <v>35</v>
      </c>
    </row>
    <row r="768" spans="1:22" x14ac:dyDescent="0.3">
      <c r="A768" t="s">
        <v>957</v>
      </c>
      <c r="B768" s="3">
        <v>45747</v>
      </c>
      <c r="C768" t="s">
        <v>71</v>
      </c>
      <c r="D768" t="s">
        <v>50</v>
      </c>
      <c r="E768" t="s">
        <v>109</v>
      </c>
      <c r="F768" t="s">
        <v>154</v>
      </c>
      <c r="G768" t="s">
        <v>155</v>
      </c>
      <c r="H768" t="s">
        <v>41</v>
      </c>
      <c r="I768" t="s">
        <v>42</v>
      </c>
      <c r="J768" t="s">
        <v>74</v>
      </c>
      <c r="K768" t="s">
        <v>81</v>
      </c>
      <c r="L768" s="2">
        <v>0.91666666666666663</v>
      </c>
      <c r="M768" s="2">
        <v>0.29166666666666669</v>
      </c>
      <c r="N768">
        <v>9.5</v>
      </c>
      <c r="O768">
        <v>1.5</v>
      </c>
      <c r="P768" t="s">
        <v>32</v>
      </c>
      <c r="R768">
        <v>3</v>
      </c>
      <c r="S768" t="s">
        <v>92</v>
      </c>
      <c r="T768" t="s">
        <v>46</v>
      </c>
      <c r="U768" t="s">
        <v>55</v>
      </c>
      <c r="V768" t="s">
        <v>35</v>
      </c>
    </row>
    <row r="769" spans="1:22" x14ac:dyDescent="0.3">
      <c r="A769" t="s">
        <v>958</v>
      </c>
      <c r="B769" s="3">
        <v>45795</v>
      </c>
      <c r="C769" t="s">
        <v>57</v>
      </c>
      <c r="D769" t="s">
        <v>24</v>
      </c>
      <c r="E769" t="s">
        <v>103</v>
      </c>
      <c r="F769" t="s">
        <v>182</v>
      </c>
      <c r="G769" t="s">
        <v>183</v>
      </c>
      <c r="H769" t="s">
        <v>112</v>
      </c>
      <c r="I769" t="s">
        <v>113</v>
      </c>
      <c r="J769" t="s">
        <v>30</v>
      </c>
      <c r="K769" t="s">
        <v>81</v>
      </c>
      <c r="L769" s="2">
        <v>0.375</v>
      </c>
      <c r="M769" s="2">
        <v>0.29166666666666669</v>
      </c>
      <c r="N769">
        <v>9</v>
      </c>
      <c r="O769">
        <v>1</v>
      </c>
      <c r="P769" t="s">
        <v>32</v>
      </c>
      <c r="R769">
        <v>4</v>
      </c>
      <c r="S769" t="s">
        <v>67</v>
      </c>
      <c r="T769" t="s">
        <v>114</v>
      </c>
      <c r="U769" t="s">
        <v>55</v>
      </c>
      <c r="V769" t="s">
        <v>35</v>
      </c>
    </row>
    <row r="770" spans="1:22" x14ac:dyDescent="0.3">
      <c r="A770" t="s">
        <v>959</v>
      </c>
      <c r="B770" s="3">
        <v>45721</v>
      </c>
      <c r="C770" t="s">
        <v>71</v>
      </c>
      <c r="D770" t="s">
        <v>50</v>
      </c>
      <c r="E770" t="s">
        <v>51</v>
      </c>
      <c r="F770" t="s">
        <v>151</v>
      </c>
      <c r="G770" t="s">
        <v>152</v>
      </c>
      <c r="H770" t="s">
        <v>98</v>
      </c>
      <c r="I770" t="s">
        <v>99</v>
      </c>
      <c r="J770" t="s">
        <v>30</v>
      </c>
      <c r="K770" t="s">
        <v>54</v>
      </c>
      <c r="L770" s="2">
        <v>0.375</v>
      </c>
      <c r="M770" s="2">
        <v>0.75</v>
      </c>
      <c r="N770">
        <v>8</v>
      </c>
      <c r="O770">
        <v>0</v>
      </c>
      <c r="P770" t="s">
        <v>32</v>
      </c>
      <c r="S770" t="s">
        <v>45</v>
      </c>
      <c r="T770" t="s">
        <v>101</v>
      </c>
      <c r="U770" t="s">
        <v>85</v>
      </c>
      <c r="V770" t="s">
        <v>60</v>
      </c>
    </row>
    <row r="771" spans="1:22" x14ac:dyDescent="0.3">
      <c r="A771" t="s">
        <v>960</v>
      </c>
      <c r="B771" s="3">
        <v>45704</v>
      </c>
      <c r="C771" t="s">
        <v>95</v>
      </c>
      <c r="D771" t="s">
        <v>50</v>
      </c>
      <c r="E771" t="s">
        <v>103</v>
      </c>
      <c r="F771" t="s">
        <v>39</v>
      </c>
      <c r="G771" t="s">
        <v>40</v>
      </c>
      <c r="H771" t="s">
        <v>41</v>
      </c>
      <c r="I771" t="s">
        <v>42</v>
      </c>
      <c r="J771" t="s">
        <v>43</v>
      </c>
      <c r="K771" t="s">
        <v>44</v>
      </c>
      <c r="L771" s="2">
        <v>0.375</v>
      </c>
      <c r="M771" s="2">
        <v>0.75</v>
      </c>
      <c r="N771">
        <v>8</v>
      </c>
      <c r="O771">
        <v>0</v>
      </c>
      <c r="P771" t="s">
        <v>32</v>
      </c>
      <c r="R771">
        <v>3</v>
      </c>
      <c r="S771" t="s">
        <v>67</v>
      </c>
      <c r="T771" t="s">
        <v>46</v>
      </c>
      <c r="V771" t="s">
        <v>69</v>
      </c>
    </row>
    <row r="772" spans="1:22" x14ac:dyDescent="0.3">
      <c r="A772" t="s">
        <v>961</v>
      </c>
      <c r="B772" s="3">
        <v>45721</v>
      </c>
      <c r="C772" t="s">
        <v>71</v>
      </c>
      <c r="D772" t="s">
        <v>50</v>
      </c>
      <c r="E772" t="s">
        <v>51</v>
      </c>
      <c r="F772" t="s">
        <v>201</v>
      </c>
      <c r="G772" t="s">
        <v>202</v>
      </c>
      <c r="H772" t="s">
        <v>112</v>
      </c>
      <c r="I772" t="s">
        <v>113</v>
      </c>
      <c r="J772" t="s">
        <v>66</v>
      </c>
      <c r="K772" t="s">
        <v>81</v>
      </c>
      <c r="L772" s="2">
        <v>0.38194444444444442</v>
      </c>
      <c r="M772" s="2">
        <v>0.29166666666666669</v>
      </c>
      <c r="N772">
        <v>8.5</v>
      </c>
      <c r="O772">
        <v>0.5</v>
      </c>
      <c r="P772" t="s">
        <v>32</v>
      </c>
      <c r="R772">
        <v>4</v>
      </c>
      <c r="S772" t="s">
        <v>92</v>
      </c>
      <c r="T772" t="s">
        <v>114</v>
      </c>
      <c r="U772" t="s">
        <v>85</v>
      </c>
    </row>
    <row r="773" spans="1:22" x14ac:dyDescent="0.3">
      <c r="A773" t="s">
        <v>962</v>
      </c>
      <c r="B773" s="3">
        <v>45679</v>
      </c>
      <c r="C773" t="s">
        <v>49</v>
      </c>
      <c r="D773" t="s">
        <v>50</v>
      </c>
      <c r="E773" t="s">
        <v>51</v>
      </c>
      <c r="F773" t="s">
        <v>58</v>
      </c>
      <c r="G773" t="s">
        <v>59</v>
      </c>
      <c r="H773" t="s">
        <v>41</v>
      </c>
      <c r="I773" t="s">
        <v>42</v>
      </c>
      <c r="J773" t="s">
        <v>30</v>
      </c>
      <c r="K773" t="s">
        <v>81</v>
      </c>
      <c r="L773" s="2">
        <v>0.91666666666666663</v>
      </c>
      <c r="N773">
        <v>10</v>
      </c>
      <c r="O773">
        <v>2</v>
      </c>
      <c r="P773" t="s">
        <v>32</v>
      </c>
      <c r="S773" t="s">
        <v>33</v>
      </c>
      <c r="T773" t="s">
        <v>46</v>
      </c>
      <c r="U773" t="s">
        <v>47</v>
      </c>
      <c r="V773" t="s">
        <v>69</v>
      </c>
    </row>
    <row r="774" spans="1:22" x14ac:dyDescent="0.3">
      <c r="A774" t="s">
        <v>963</v>
      </c>
      <c r="B774" s="3">
        <v>45661</v>
      </c>
      <c r="C774" t="s">
        <v>49</v>
      </c>
      <c r="D774" t="s">
        <v>50</v>
      </c>
      <c r="E774" t="s">
        <v>38</v>
      </c>
      <c r="F774" t="s">
        <v>96</v>
      </c>
      <c r="G774" t="s">
        <v>97</v>
      </c>
      <c r="H774" t="s">
        <v>98</v>
      </c>
      <c r="I774" t="s">
        <v>99</v>
      </c>
      <c r="J774" t="s">
        <v>100</v>
      </c>
      <c r="K774" t="s">
        <v>44</v>
      </c>
      <c r="L774" s="2">
        <v>0.375</v>
      </c>
      <c r="M774" s="2">
        <v>0.75</v>
      </c>
      <c r="N774">
        <v>8</v>
      </c>
      <c r="O774">
        <v>0</v>
      </c>
      <c r="P774" t="s">
        <v>32</v>
      </c>
      <c r="S774" t="s">
        <v>33</v>
      </c>
      <c r="T774" t="s">
        <v>101</v>
      </c>
      <c r="U774" t="s">
        <v>47</v>
      </c>
      <c r="V774" t="s">
        <v>35</v>
      </c>
    </row>
    <row r="775" spans="1:22" x14ac:dyDescent="0.3">
      <c r="A775" t="s">
        <v>964</v>
      </c>
      <c r="B775" s="1">
        <v>45660</v>
      </c>
      <c r="C775" t="s">
        <v>49</v>
      </c>
      <c r="D775" t="s">
        <v>50</v>
      </c>
      <c r="E775" t="s">
        <v>119</v>
      </c>
      <c r="F775" t="s">
        <v>120</v>
      </c>
      <c r="G775" t="s">
        <v>121</v>
      </c>
      <c r="H775" t="s">
        <v>41</v>
      </c>
      <c r="I775" t="s">
        <v>42</v>
      </c>
      <c r="J775" t="s">
        <v>74</v>
      </c>
      <c r="K775" t="s">
        <v>44</v>
      </c>
      <c r="L775" s="2">
        <v>0.375</v>
      </c>
      <c r="M775" s="2">
        <v>0.75</v>
      </c>
      <c r="N775">
        <v>8</v>
      </c>
      <c r="O775">
        <v>0</v>
      </c>
      <c r="P775" t="s">
        <v>32</v>
      </c>
      <c r="R775">
        <v>3</v>
      </c>
      <c r="S775" t="s">
        <v>92</v>
      </c>
      <c r="T775" t="s">
        <v>46</v>
      </c>
      <c r="U775" t="s">
        <v>47</v>
      </c>
    </row>
    <row r="776" spans="1:22" x14ac:dyDescent="0.3">
      <c r="A776" t="s">
        <v>965</v>
      </c>
      <c r="B776" s="3">
        <v>45803</v>
      </c>
      <c r="C776" t="s">
        <v>57</v>
      </c>
      <c r="D776" t="s">
        <v>24</v>
      </c>
      <c r="E776" t="s">
        <v>109</v>
      </c>
      <c r="F776" t="s">
        <v>309</v>
      </c>
      <c r="G776" t="s">
        <v>310</v>
      </c>
      <c r="H776" t="s">
        <v>28</v>
      </c>
      <c r="I776" t="s">
        <v>29</v>
      </c>
      <c r="J776" t="s">
        <v>43</v>
      </c>
      <c r="K776" t="s">
        <v>31</v>
      </c>
      <c r="L776" s="2">
        <v>0.375</v>
      </c>
      <c r="M776" s="2">
        <v>0.75</v>
      </c>
      <c r="N776">
        <v>8</v>
      </c>
      <c r="O776">
        <v>0</v>
      </c>
      <c r="P776" t="s">
        <v>32</v>
      </c>
      <c r="R776">
        <v>4</v>
      </c>
      <c r="S776" t="s">
        <v>45</v>
      </c>
      <c r="T776" t="s">
        <v>34</v>
      </c>
      <c r="U776" t="s">
        <v>55</v>
      </c>
      <c r="V776" t="s">
        <v>69</v>
      </c>
    </row>
    <row r="777" spans="1:22" x14ac:dyDescent="0.3">
      <c r="A777" t="s">
        <v>966</v>
      </c>
      <c r="B777" s="1">
        <v>45767</v>
      </c>
      <c r="C777" t="s">
        <v>37</v>
      </c>
      <c r="D777" t="s">
        <v>24</v>
      </c>
      <c r="E777" t="s">
        <v>103</v>
      </c>
      <c r="F777" t="s">
        <v>142</v>
      </c>
      <c r="G777" t="s">
        <v>143</v>
      </c>
      <c r="H777" t="s">
        <v>64</v>
      </c>
      <c r="I777" t="s">
        <v>65</v>
      </c>
      <c r="J777" t="s">
        <v>43</v>
      </c>
      <c r="K777" t="s">
        <v>31</v>
      </c>
      <c r="L777" s="2">
        <v>0.375</v>
      </c>
      <c r="M777" s="2">
        <v>0.75</v>
      </c>
      <c r="N777">
        <v>8.5</v>
      </c>
      <c r="O777">
        <v>0.5</v>
      </c>
      <c r="P777" t="s">
        <v>32</v>
      </c>
      <c r="R777">
        <v>4</v>
      </c>
      <c r="S777" t="s">
        <v>92</v>
      </c>
      <c r="T777" t="s">
        <v>68</v>
      </c>
      <c r="U777" t="s">
        <v>85</v>
      </c>
      <c r="V777" t="s">
        <v>35</v>
      </c>
    </row>
    <row r="778" spans="1:22" x14ac:dyDescent="0.3">
      <c r="A778" t="s">
        <v>967</v>
      </c>
      <c r="B778" s="3">
        <v>45706</v>
      </c>
      <c r="C778" t="s">
        <v>95</v>
      </c>
      <c r="D778" t="s">
        <v>50</v>
      </c>
      <c r="E778" t="s">
        <v>87</v>
      </c>
      <c r="F778" t="s">
        <v>182</v>
      </c>
      <c r="G778" t="s">
        <v>183</v>
      </c>
      <c r="H778" t="s">
        <v>112</v>
      </c>
      <c r="I778" t="s">
        <v>113</v>
      </c>
      <c r="J778" t="s">
        <v>30</v>
      </c>
      <c r="K778" t="s">
        <v>81</v>
      </c>
      <c r="L778" s="2">
        <v>0.39930555555555558</v>
      </c>
      <c r="M778" s="2">
        <v>0.29166666666666669</v>
      </c>
      <c r="N778">
        <v>9.5</v>
      </c>
      <c r="O778">
        <v>1.5</v>
      </c>
      <c r="P778" t="s">
        <v>32</v>
      </c>
      <c r="R778">
        <v>4</v>
      </c>
      <c r="S778" t="s">
        <v>67</v>
      </c>
      <c r="T778" t="s">
        <v>114</v>
      </c>
      <c r="V778" t="s">
        <v>35</v>
      </c>
    </row>
    <row r="779" spans="1:22" x14ac:dyDescent="0.3">
      <c r="A779" t="s">
        <v>968</v>
      </c>
      <c r="B779" s="3">
        <v>45667</v>
      </c>
      <c r="C779" t="s">
        <v>49</v>
      </c>
      <c r="D779" t="s">
        <v>50</v>
      </c>
      <c r="E779" t="s">
        <v>119</v>
      </c>
      <c r="F779" t="s">
        <v>243</v>
      </c>
      <c r="G779" t="s">
        <v>244</v>
      </c>
      <c r="H779" t="s">
        <v>90</v>
      </c>
      <c r="I779" t="s">
        <v>91</v>
      </c>
      <c r="J779" t="s">
        <v>30</v>
      </c>
      <c r="K779" t="s">
        <v>54</v>
      </c>
      <c r="L779" s="2">
        <v>0.375</v>
      </c>
      <c r="M779" s="2">
        <v>0.75</v>
      </c>
      <c r="N779">
        <v>8</v>
      </c>
      <c r="O779">
        <v>0</v>
      </c>
      <c r="P779" t="s">
        <v>32</v>
      </c>
      <c r="R779">
        <v>4</v>
      </c>
      <c r="S779" t="s">
        <v>45</v>
      </c>
      <c r="T779" t="s">
        <v>93</v>
      </c>
      <c r="V779" t="s">
        <v>35</v>
      </c>
    </row>
    <row r="780" spans="1:22" x14ac:dyDescent="0.3">
      <c r="A780" t="s">
        <v>969</v>
      </c>
      <c r="B780" s="3">
        <v>45688</v>
      </c>
      <c r="C780" t="s">
        <v>49</v>
      </c>
      <c r="D780" t="s">
        <v>50</v>
      </c>
      <c r="E780" t="s">
        <v>119</v>
      </c>
      <c r="F780" t="s">
        <v>166</v>
      </c>
      <c r="G780" t="s">
        <v>167</v>
      </c>
      <c r="H780" t="s">
        <v>41</v>
      </c>
      <c r="I780" t="s">
        <v>42</v>
      </c>
      <c r="J780" t="s">
        <v>100</v>
      </c>
      <c r="K780" t="s">
        <v>54</v>
      </c>
      <c r="L780" s="2">
        <v>0.375</v>
      </c>
      <c r="M780" s="2">
        <v>0.75</v>
      </c>
      <c r="N780">
        <v>8</v>
      </c>
      <c r="O780">
        <v>0</v>
      </c>
      <c r="P780" t="s">
        <v>32</v>
      </c>
      <c r="R780">
        <v>4</v>
      </c>
      <c r="S780" t="s">
        <v>67</v>
      </c>
      <c r="T780" t="s">
        <v>46</v>
      </c>
      <c r="U780" t="s">
        <v>85</v>
      </c>
      <c r="V780" t="s">
        <v>35</v>
      </c>
    </row>
    <row r="781" spans="1:22" x14ac:dyDescent="0.3">
      <c r="A781" t="s">
        <v>970</v>
      </c>
      <c r="B781" s="3">
        <v>45766</v>
      </c>
      <c r="C781" t="s">
        <v>37</v>
      </c>
      <c r="D781" t="s">
        <v>24</v>
      </c>
      <c r="E781" t="s">
        <v>38</v>
      </c>
      <c r="F781" t="s">
        <v>228</v>
      </c>
      <c r="G781" t="s">
        <v>229</v>
      </c>
      <c r="H781" t="s">
        <v>79</v>
      </c>
      <c r="I781" t="s">
        <v>80</v>
      </c>
      <c r="J781" t="s">
        <v>43</v>
      </c>
      <c r="K781" t="s">
        <v>31</v>
      </c>
      <c r="L781" s="2">
        <v>0.375</v>
      </c>
      <c r="M781" s="2">
        <v>0.75</v>
      </c>
      <c r="N781">
        <v>8</v>
      </c>
      <c r="O781">
        <v>0</v>
      </c>
      <c r="P781" t="s">
        <v>32</v>
      </c>
      <c r="R781">
        <v>3</v>
      </c>
      <c r="S781" t="s">
        <v>92</v>
      </c>
      <c r="T781" t="s">
        <v>84</v>
      </c>
      <c r="V781" t="s">
        <v>60</v>
      </c>
    </row>
    <row r="782" spans="1:22" x14ac:dyDescent="0.3">
      <c r="A782" t="s">
        <v>971</v>
      </c>
      <c r="B782" s="1">
        <v>45676</v>
      </c>
      <c r="C782" t="s">
        <v>49</v>
      </c>
      <c r="D782" t="s">
        <v>50</v>
      </c>
      <c r="E782" t="s">
        <v>103</v>
      </c>
      <c r="F782" t="s">
        <v>116</v>
      </c>
      <c r="G782" t="s">
        <v>117</v>
      </c>
      <c r="H782" t="s">
        <v>112</v>
      </c>
      <c r="I782" t="s">
        <v>113</v>
      </c>
      <c r="J782" t="s">
        <v>100</v>
      </c>
      <c r="K782" t="s">
        <v>54</v>
      </c>
      <c r="L782" s="2">
        <v>0.3888888888888889</v>
      </c>
      <c r="M782" s="2">
        <v>0.75</v>
      </c>
      <c r="N782">
        <v>8</v>
      </c>
      <c r="O782">
        <v>0</v>
      </c>
      <c r="P782" t="s">
        <v>32</v>
      </c>
      <c r="R782">
        <v>5</v>
      </c>
      <c r="S782" t="s">
        <v>92</v>
      </c>
      <c r="T782" t="s">
        <v>114</v>
      </c>
      <c r="V782" t="s">
        <v>60</v>
      </c>
    </row>
    <row r="783" spans="1:22" x14ac:dyDescent="0.3">
      <c r="A783" t="s">
        <v>972</v>
      </c>
      <c r="B783" s="3">
        <v>45704</v>
      </c>
      <c r="C783" t="s">
        <v>95</v>
      </c>
      <c r="D783" t="s">
        <v>50</v>
      </c>
      <c r="E783" t="s">
        <v>103</v>
      </c>
      <c r="F783" t="s">
        <v>204</v>
      </c>
      <c r="G783" t="s">
        <v>205</v>
      </c>
      <c r="H783" t="s">
        <v>90</v>
      </c>
      <c r="I783" t="s">
        <v>91</v>
      </c>
      <c r="J783" t="s">
        <v>74</v>
      </c>
      <c r="K783" t="s">
        <v>31</v>
      </c>
      <c r="L783" s="2">
        <v>0.375</v>
      </c>
      <c r="M783" s="2">
        <v>0.75</v>
      </c>
      <c r="N783">
        <v>8</v>
      </c>
      <c r="O783">
        <v>0</v>
      </c>
      <c r="P783" t="s">
        <v>32</v>
      </c>
      <c r="R783">
        <v>5</v>
      </c>
      <c r="S783" t="s">
        <v>67</v>
      </c>
      <c r="T783" t="s">
        <v>93</v>
      </c>
      <c r="U783" t="s">
        <v>47</v>
      </c>
      <c r="V783" t="s">
        <v>35</v>
      </c>
    </row>
    <row r="784" spans="1:22" x14ac:dyDescent="0.3">
      <c r="A784" t="s">
        <v>973</v>
      </c>
      <c r="B784" s="1">
        <v>45785</v>
      </c>
      <c r="C784" t="s">
        <v>57</v>
      </c>
      <c r="D784" t="s">
        <v>24</v>
      </c>
      <c r="E784" t="s">
        <v>25</v>
      </c>
      <c r="F784" t="s">
        <v>26</v>
      </c>
      <c r="G784" t="s">
        <v>27</v>
      </c>
      <c r="H784" t="s">
        <v>28</v>
      </c>
      <c r="I784" t="s">
        <v>29</v>
      </c>
      <c r="J784" t="s">
        <v>30</v>
      </c>
      <c r="K784" t="s">
        <v>44</v>
      </c>
      <c r="L784" s="2">
        <v>0.375</v>
      </c>
      <c r="M784" s="2">
        <v>0.75</v>
      </c>
      <c r="N784">
        <v>8</v>
      </c>
      <c r="O784">
        <v>0</v>
      </c>
      <c r="P784" t="s">
        <v>32</v>
      </c>
      <c r="S784" t="s">
        <v>33</v>
      </c>
      <c r="T784" t="s">
        <v>34</v>
      </c>
      <c r="U784" t="s">
        <v>85</v>
      </c>
      <c r="V784" t="s">
        <v>60</v>
      </c>
    </row>
    <row r="785" spans="1:22" x14ac:dyDescent="0.3">
      <c r="A785" t="s">
        <v>974</v>
      </c>
      <c r="B785" s="3">
        <v>45812</v>
      </c>
      <c r="C785" t="s">
        <v>23</v>
      </c>
      <c r="D785" t="s">
        <v>24</v>
      </c>
      <c r="E785" t="s">
        <v>51</v>
      </c>
      <c r="F785" t="s">
        <v>220</v>
      </c>
      <c r="G785" t="s">
        <v>221</v>
      </c>
      <c r="H785" t="s">
        <v>79</v>
      </c>
      <c r="I785" t="s">
        <v>80</v>
      </c>
      <c r="J785" t="s">
        <v>100</v>
      </c>
      <c r="K785" t="s">
        <v>81</v>
      </c>
      <c r="L785" s="2">
        <v>0.91666666666666663</v>
      </c>
      <c r="N785">
        <v>10</v>
      </c>
      <c r="O785">
        <v>2</v>
      </c>
      <c r="P785" t="s">
        <v>32</v>
      </c>
      <c r="S785" t="s">
        <v>33</v>
      </c>
      <c r="T785" t="s">
        <v>84</v>
      </c>
      <c r="U785" t="s">
        <v>47</v>
      </c>
      <c r="V785" t="s">
        <v>35</v>
      </c>
    </row>
    <row r="786" spans="1:22" x14ac:dyDescent="0.3">
      <c r="A786" t="s">
        <v>975</v>
      </c>
      <c r="B786" s="3">
        <v>45788</v>
      </c>
      <c r="C786" t="s">
        <v>57</v>
      </c>
      <c r="D786" t="s">
        <v>24</v>
      </c>
      <c r="E786" t="s">
        <v>103</v>
      </c>
      <c r="F786" t="s">
        <v>243</v>
      </c>
      <c r="G786" t="s">
        <v>244</v>
      </c>
      <c r="H786" t="s">
        <v>90</v>
      </c>
      <c r="I786" t="s">
        <v>91</v>
      </c>
      <c r="J786" t="s">
        <v>30</v>
      </c>
      <c r="K786" t="s">
        <v>31</v>
      </c>
      <c r="L786" s="2">
        <v>0.375</v>
      </c>
      <c r="M786" s="2">
        <v>0.75</v>
      </c>
      <c r="N786">
        <v>8</v>
      </c>
      <c r="O786">
        <v>0</v>
      </c>
      <c r="P786" t="s">
        <v>32</v>
      </c>
      <c r="R786">
        <v>5</v>
      </c>
      <c r="S786" t="s">
        <v>67</v>
      </c>
      <c r="T786" t="s">
        <v>93</v>
      </c>
      <c r="U786" t="s">
        <v>55</v>
      </c>
      <c r="V786" t="s">
        <v>69</v>
      </c>
    </row>
    <row r="787" spans="1:22" x14ac:dyDescent="0.3">
      <c r="A787" t="s">
        <v>976</v>
      </c>
      <c r="B787" s="3">
        <v>45832</v>
      </c>
      <c r="C787" t="s">
        <v>23</v>
      </c>
      <c r="D787" t="s">
        <v>24</v>
      </c>
      <c r="E787" t="s">
        <v>87</v>
      </c>
      <c r="F787" t="s">
        <v>504</v>
      </c>
      <c r="G787" t="s">
        <v>505</v>
      </c>
      <c r="H787" t="s">
        <v>98</v>
      </c>
      <c r="I787" t="s">
        <v>99</v>
      </c>
      <c r="J787" t="s">
        <v>100</v>
      </c>
      <c r="K787" t="s">
        <v>81</v>
      </c>
      <c r="L787" s="2">
        <v>0.91666666666666663</v>
      </c>
      <c r="M787" s="2">
        <v>0.29166666666666669</v>
      </c>
      <c r="N787">
        <v>8.5</v>
      </c>
      <c r="O787">
        <v>0.5</v>
      </c>
      <c r="P787" t="s">
        <v>32</v>
      </c>
      <c r="R787">
        <v>4</v>
      </c>
      <c r="S787" t="s">
        <v>33</v>
      </c>
      <c r="T787" t="s">
        <v>101</v>
      </c>
      <c r="U787" t="s">
        <v>47</v>
      </c>
      <c r="V787" t="s">
        <v>69</v>
      </c>
    </row>
    <row r="788" spans="1:22" x14ac:dyDescent="0.3">
      <c r="A788" t="s">
        <v>977</v>
      </c>
      <c r="B788" s="3">
        <v>45826</v>
      </c>
      <c r="C788" t="s">
        <v>23</v>
      </c>
      <c r="D788" t="s">
        <v>24</v>
      </c>
      <c r="E788" t="s">
        <v>51</v>
      </c>
      <c r="F788" t="s">
        <v>185</v>
      </c>
      <c r="G788" t="s">
        <v>186</v>
      </c>
      <c r="H788" t="s">
        <v>79</v>
      </c>
      <c r="I788" t="s">
        <v>80</v>
      </c>
      <c r="J788" t="s">
        <v>66</v>
      </c>
      <c r="K788" t="s">
        <v>44</v>
      </c>
      <c r="L788" s="2">
        <v>0.375</v>
      </c>
      <c r="M788" s="2">
        <v>0.75</v>
      </c>
      <c r="N788">
        <v>8</v>
      </c>
      <c r="O788">
        <v>0</v>
      </c>
      <c r="P788" t="s">
        <v>32</v>
      </c>
      <c r="R788">
        <v>4</v>
      </c>
      <c r="S788" t="s">
        <v>45</v>
      </c>
      <c r="T788" t="s">
        <v>84</v>
      </c>
      <c r="U788" t="s">
        <v>85</v>
      </c>
      <c r="V788" t="s">
        <v>69</v>
      </c>
    </row>
    <row r="789" spans="1:22" x14ac:dyDescent="0.3">
      <c r="A789" t="s">
        <v>978</v>
      </c>
      <c r="B789" s="3">
        <v>45835</v>
      </c>
      <c r="C789" t="s">
        <v>23</v>
      </c>
      <c r="D789" t="s">
        <v>24</v>
      </c>
      <c r="E789" t="s">
        <v>119</v>
      </c>
      <c r="F789" t="s">
        <v>145</v>
      </c>
      <c r="G789" t="s">
        <v>146</v>
      </c>
      <c r="H789" t="s">
        <v>90</v>
      </c>
      <c r="I789" t="s">
        <v>91</v>
      </c>
      <c r="J789" t="s">
        <v>100</v>
      </c>
      <c r="K789" t="s">
        <v>75</v>
      </c>
      <c r="L789" s="2">
        <v>0.375</v>
      </c>
      <c r="M789" s="2">
        <v>0.75</v>
      </c>
      <c r="N789">
        <v>8</v>
      </c>
      <c r="O789">
        <v>0</v>
      </c>
      <c r="P789" t="s">
        <v>32</v>
      </c>
      <c r="R789">
        <v>3</v>
      </c>
      <c r="S789" t="s">
        <v>92</v>
      </c>
      <c r="T789" t="s">
        <v>93</v>
      </c>
      <c r="U789" t="s">
        <v>47</v>
      </c>
    </row>
    <row r="790" spans="1:22" x14ac:dyDescent="0.3">
      <c r="A790" t="s">
        <v>979</v>
      </c>
      <c r="B790" s="1">
        <v>45779</v>
      </c>
      <c r="C790" t="s">
        <v>57</v>
      </c>
      <c r="D790" t="s">
        <v>24</v>
      </c>
      <c r="E790" t="s">
        <v>119</v>
      </c>
      <c r="F790" t="s">
        <v>39</v>
      </c>
      <c r="G790" t="s">
        <v>40</v>
      </c>
      <c r="H790" t="s">
        <v>41</v>
      </c>
      <c r="I790" t="s">
        <v>42</v>
      </c>
      <c r="J790" t="s">
        <v>43</v>
      </c>
      <c r="K790" t="s">
        <v>81</v>
      </c>
      <c r="L790" s="2">
        <v>0.91666666666666663</v>
      </c>
      <c r="M790" s="2">
        <v>0.29166666666666669</v>
      </c>
      <c r="N790">
        <v>9.5</v>
      </c>
      <c r="O790">
        <v>1.5</v>
      </c>
      <c r="P790" t="s">
        <v>32</v>
      </c>
      <c r="R790">
        <v>3</v>
      </c>
      <c r="S790" t="s">
        <v>92</v>
      </c>
      <c r="T790" t="s">
        <v>46</v>
      </c>
      <c r="U790" t="s">
        <v>55</v>
      </c>
      <c r="V790" t="s">
        <v>60</v>
      </c>
    </row>
    <row r="791" spans="1:22" x14ac:dyDescent="0.3">
      <c r="A791" t="s">
        <v>980</v>
      </c>
      <c r="B791" s="3">
        <v>45685</v>
      </c>
      <c r="C791" t="s">
        <v>49</v>
      </c>
      <c r="D791" t="s">
        <v>50</v>
      </c>
      <c r="E791" t="s">
        <v>87</v>
      </c>
      <c r="F791" t="s">
        <v>96</v>
      </c>
      <c r="G791" t="s">
        <v>97</v>
      </c>
      <c r="H791" t="s">
        <v>98</v>
      </c>
      <c r="I791" t="s">
        <v>99</v>
      </c>
      <c r="J791" t="s">
        <v>100</v>
      </c>
      <c r="K791" t="s">
        <v>31</v>
      </c>
      <c r="M791" s="2">
        <v>0.75</v>
      </c>
      <c r="N791">
        <v>8</v>
      </c>
      <c r="O791">
        <v>0</v>
      </c>
      <c r="P791" t="s">
        <v>32</v>
      </c>
      <c r="R791">
        <v>4</v>
      </c>
      <c r="S791" t="s">
        <v>67</v>
      </c>
      <c r="T791" t="s">
        <v>101</v>
      </c>
      <c r="V791" t="s">
        <v>60</v>
      </c>
    </row>
    <row r="792" spans="1:22" x14ac:dyDescent="0.3">
      <c r="A792" t="s">
        <v>981</v>
      </c>
      <c r="B792" s="3">
        <v>45739</v>
      </c>
      <c r="C792" t="s">
        <v>71</v>
      </c>
      <c r="D792" t="s">
        <v>50</v>
      </c>
      <c r="E792" t="s">
        <v>103</v>
      </c>
      <c r="F792" t="s">
        <v>77</v>
      </c>
      <c r="G792" t="s">
        <v>78</v>
      </c>
      <c r="H792" t="s">
        <v>79</v>
      </c>
      <c r="I792" t="s">
        <v>80</v>
      </c>
      <c r="J792" t="s">
        <v>30</v>
      </c>
      <c r="K792" t="s">
        <v>81</v>
      </c>
      <c r="L792" s="2">
        <v>0.91666666666666663</v>
      </c>
      <c r="M792" s="2">
        <v>0.29166666666666669</v>
      </c>
      <c r="N792">
        <v>9.5</v>
      </c>
      <c r="O792">
        <v>1.5</v>
      </c>
      <c r="P792" t="s">
        <v>32</v>
      </c>
      <c r="R792">
        <v>4</v>
      </c>
      <c r="S792" t="s">
        <v>45</v>
      </c>
      <c r="T792" t="s">
        <v>84</v>
      </c>
      <c r="U792" t="s">
        <v>55</v>
      </c>
      <c r="V792" t="s">
        <v>69</v>
      </c>
    </row>
    <row r="793" spans="1:22" x14ac:dyDescent="0.3">
      <c r="A793" t="s">
        <v>982</v>
      </c>
      <c r="B793" s="3">
        <v>45776</v>
      </c>
      <c r="C793" t="s">
        <v>37</v>
      </c>
      <c r="D793" t="s">
        <v>24</v>
      </c>
      <c r="E793" t="s">
        <v>87</v>
      </c>
      <c r="F793" t="s">
        <v>243</v>
      </c>
      <c r="G793" t="s">
        <v>244</v>
      </c>
      <c r="H793" t="s">
        <v>90</v>
      </c>
      <c r="I793" t="s">
        <v>91</v>
      </c>
      <c r="J793" t="s">
        <v>30</v>
      </c>
      <c r="K793" t="s">
        <v>54</v>
      </c>
      <c r="L793" s="2">
        <v>0.375</v>
      </c>
      <c r="M793" s="2">
        <v>0.75</v>
      </c>
      <c r="N793">
        <v>8</v>
      </c>
      <c r="O793">
        <v>0</v>
      </c>
      <c r="P793" t="s">
        <v>32</v>
      </c>
      <c r="R793">
        <v>4</v>
      </c>
      <c r="S793" t="s">
        <v>33</v>
      </c>
      <c r="T793" t="s">
        <v>93</v>
      </c>
    </row>
    <row r="794" spans="1:22" x14ac:dyDescent="0.3">
      <c r="A794" t="s">
        <v>983</v>
      </c>
      <c r="B794" s="1">
        <v>45758</v>
      </c>
      <c r="C794" t="s">
        <v>37</v>
      </c>
      <c r="D794" t="s">
        <v>24</v>
      </c>
      <c r="E794" t="s">
        <v>119</v>
      </c>
      <c r="F794" t="s">
        <v>185</v>
      </c>
      <c r="G794" t="s">
        <v>186</v>
      </c>
      <c r="H794" t="s">
        <v>79</v>
      </c>
      <c r="I794" t="s">
        <v>80</v>
      </c>
      <c r="J794" t="s">
        <v>66</v>
      </c>
      <c r="K794" t="s">
        <v>31</v>
      </c>
      <c r="L794" s="2">
        <v>0.375</v>
      </c>
      <c r="M794" s="2">
        <v>0.75</v>
      </c>
      <c r="N794">
        <v>8</v>
      </c>
      <c r="O794">
        <v>0</v>
      </c>
      <c r="P794" t="s">
        <v>32</v>
      </c>
      <c r="R794">
        <v>5</v>
      </c>
      <c r="S794" t="s">
        <v>33</v>
      </c>
      <c r="T794" t="s">
        <v>84</v>
      </c>
      <c r="U794" t="s">
        <v>47</v>
      </c>
      <c r="V794" t="s">
        <v>35</v>
      </c>
    </row>
    <row r="795" spans="1:22" x14ac:dyDescent="0.3">
      <c r="A795" t="s">
        <v>984</v>
      </c>
      <c r="B795" s="1">
        <v>45727</v>
      </c>
      <c r="C795" t="s">
        <v>71</v>
      </c>
      <c r="D795" t="s">
        <v>50</v>
      </c>
      <c r="E795" t="s">
        <v>87</v>
      </c>
      <c r="F795" t="s">
        <v>163</v>
      </c>
      <c r="G795" t="s">
        <v>164</v>
      </c>
      <c r="H795" t="s">
        <v>112</v>
      </c>
      <c r="I795" t="s">
        <v>113</v>
      </c>
      <c r="J795" t="s">
        <v>100</v>
      </c>
      <c r="K795" t="s">
        <v>31</v>
      </c>
      <c r="L795" s="2">
        <v>0.375</v>
      </c>
      <c r="M795" s="2">
        <v>0.75</v>
      </c>
      <c r="N795">
        <v>8</v>
      </c>
      <c r="O795">
        <v>0</v>
      </c>
      <c r="P795" t="s">
        <v>32</v>
      </c>
      <c r="R795">
        <v>3</v>
      </c>
      <c r="S795" t="s">
        <v>67</v>
      </c>
      <c r="T795" t="s">
        <v>114</v>
      </c>
      <c r="U795" t="s">
        <v>55</v>
      </c>
      <c r="V795" t="s">
        <v>35</v>
      </c>
    </row>
    <row r="796" spans="1:22" x14ac:dyDescent="0.3">
      <c r="A796" t="s">
        <v>985</v>
      </c>
      <c r="B796" s="1">
        <v>45777</v>
      </c>
      <c r="C796" t="s">
        <v>37</v>
      </c>
      <c r="D796" t="s">
        <v>24</v>
      </c>
      <c r="E796" t="s">
        <v>51</v>
      </c>
      <c r="F796" t="s">
        <v>231</v>
      </c>
      <c r="G796" t="s">
        <v>232</v>
      </c>
      <c r="H796" t="s">
        <v>98</v>
      </c>
      <c r="I796" t="s">
        <v>99</v>
      </c>
      <c r="J796" t="s">
        <v>74</v>
      </c>
      <c r="K796" t="s">
        <v>31</v>
      </c>
      <c r="P796" t="s">
        <v>135</v>
      </c>
      <c r="S796" t="s">
        <v>67</v>
      </c>
      <c r="T796" t="s">
        <v>101</v>
      </c>
      <c r="V796" t="s">
        <v>60</v>
      </c>
    </row>
    <row r="797" spans="1:22" x14ac:dyDescent="0.3">
      <c r="A797" t="s">
        <v>986</v>
      </c>
      <c r="B797" s="3">
        <v>45733</v>
      </c>
      <c r="C797" t="s">
        <v>71</v>
      </c>
      <c r="D797" t="s">
        <v>50</v>
      </c>
      <c r="E797" t="s">
        <v>109</v>
      </c>
      <c r="F797" t="s">
        <v>275</v>
      </c>
      <c r="G797" t="s">
        <v>276</v>
      </c>
      <c r="H797" t="s">
        <v>64</v>
      </c>
      <c r="I797" t="s">
        <v>65</v>
      </c>
      <c r="J797" t="s">
        <v>100</v>
      </c>
      <c r="K797" t="s">
        <v>81</v>
      </c>
      <c r="L797" s="2">
        <v>0.91666666666666663</v>
      </c>
      <c r="M797" s="2">
        <v>0.29166666666666669</v>
      </c>
      <c r="N797">
        <v>10</v>
      </c>
      <c r="O797">
        <v>2</v>
      </c>
      <c r="P797" t="s">
        <v>32</v>
      </c>
      <c r="R797">
        <v>5</v>
      </c>
      <c r="S797" t="s">
        <v>33</v>
      </c>
      <c r="T797" t="s">
        <v>68</v>
      </c>
      <c r="U797" t="s">
        <v>85</v>
      </c>
    </row>
    <row r="798" spans="1:22" x14ac:dyDescent="0.3">
      <c r="A798" t="s">
        <v>987</v>
      </c>
      <c r="B798" s="1">
        <v>45766</v>
      </c>
      <c r="C798" t="s">
        <v>37</v>
      </c>
      <c r="D798" t="s">
        <v>24</v>
      </c>
      <c r="E798" t="s">
        <v>38</v>
      </c>
      <c r="F798" t="s">
        <v>258</v>
      </c>
      <c r="G798" t="s">
        <v>259</v>
      </c>
      <c r="H798" t="s">
        <v>314</v>
      </c>
      <c r="I798" t="s">
        <v>113</v>
      </c>
      <c r="J798" t="s">
        <v>74</v>
      </c>
      <c r="K798" t="s">
        <v>44</v>
      </c>
      <c r="L798" s="2">
        <v>0.3888888888888889</v>
      </c>
      <c r="M798" s="2">
        <v>0.75</v>
      </c>
      <c r="N798">
        <v>8</v>
      </c>
      <c r="O798">
        <v>0</v>
      </c>
      <c r="P798" t="s">
        <v>32</v>
      </c>
      <c r="R798">
        <v>5</v>
      </c>
      <c r="S798" t="s">
        <v>45</v>
      </c>
      <c r="T798" t="s">
        <v>114</v>
      </c>
      <c r="U798" t="s">
        <v>85</v>
      </c>
      <c r="V798" t="s">
        <v>60</v>
      </c>
    </row>
    <row r="799" spans="1:22" x14ac:dyDescent="0.3">
      <c r="A799" t="s">
        <v>988</v>
      </c>
      <c r="B799" s="1">
        <v>45676</v>
      </c>
      <c r="C799" t="s">
        <v>49</v>
      </c>
      <c r="D799" t="s">
        <v>50</v>
      </c>
      <c r="E799" t="s">
        <v>103</v>
      </c>
      <c r="F799" t="s">
        <v>62</v>
      </c>
      <c r="G799" t="s">
        <v>63</v>
      </c>
      <c r="H799" t="s">
        <v>421</v>
      </c>
      <c r="I799" t="s">
        <v>65</v>
      </c>
      <c r="J799" t="s">
        <v>66</v>
      </c>
      <c r="K799" t="s">
        <v>81</v>
      </c>
      <c r="L799" s="2">
        <v>0.91666666666666663</v>
      </c>
      <c r="M799" s="2">
        <v>0.29166666666666669</v>
      </c>
      <c r="N799">
        <v>9.5</v>
      </c>
      <c r="O799">
        <v>1.5</v>
      </c>
      <c r="P799" t="s">
        <v>32</v>
      </c>
      <c r="R799">
        <v>3</v>
      </c>
      <c r="S799" t="s">
        <v>92</v>
      </c>
      <c r="T799" t="s">
        <v>68</v>
      </c>
      <c r="U799" t="s">
        <v>47</v>
      </c>
      <c r="V799" t="s">
        <v>35</v>
      </c>
    </row>
    <row r="800" spans="1:22" x14ac:dyDescent="0.3">
      <c r="A800" t="s">
        <v>989</v>
      </c>
      <c r="B800" s="1">
        <v>45698</v>
      </c>
      <c r="C800" t="s">
        <v>95</v>
      </c>
      <c r="D800" t="s">
        <v>50</v>
      </c>
      <c r="E800" t="s">
        <v>109</v>
      </c>
      <c r="F800" t="s">
        <v>77</v>
      </c>
      <c r="G800" t="s">
        <v>78</v>
      </c>
      <c r="H800" t="s">
        <v>79</v>
      </c>
      <c r="I800" t="s">
        <v>80</v>
      </c>
      <c r="J800" t="s">
        <v>30</v>
      </c>
      <c r="K800" t="s">
        <v>75</v>
      </c>
      <c r="L800" s="2">
        <v>0.375</v>
      </c>
      <c r="M800" s="2">
        <v>0.75</v>
      </c>
      <c r="N800">
        <v>8</v>
      </c>
      <c r="O800">
        <v>0</v>
      </c>
      <c r="P800" t="s">
        <v>32</v>
      </c>
      <c r="R800">
        <v>5</v>
      </c>
      <c r="S800" t="s">
        <v>92</v>
      </c>
      <c r="T800" t="s">
        <v>84</v>
      </c>
      <c r="U800" t="s">
        <v>85</v>
      </c>
    </row>
    <row r="801" spans="1:22" x14ac:dyDescent="0.3">
      <c r="A801" t="s">
        <v>990</v>
      </c>
      <c r="B801" s="1">
        <v>45772</v>
      </c>
      <c r="C801" t="s">
        <v>37</v>
      </c>
      <c r="D801" t="s">
        <v>24</v>
      </c>
      <c r="E801" t="s">
        <v>119</v>
      </c>
      <c r="F801" t="s">
        <v>154</v>
      </c>
      <c r="G801" t="s">
        <v>155</v>
      </c>
      <c r="H801" t="s">
        <v>41</v>
      </c>
      <c r="I801" t="s">
        <v>42</v>
      </c>
      <c r="J801" t="s">
        <v>74</v>
      </c>
      <c r="K801" t="s">
        <v>81</v>
      </c>
      <c r="P801" t="s">
        <v>135</v>
      </c>
      <c r="S801" t="s">
        <v>45</v>
      </c>
      <c r="T801" t="s">
        <v>46</v>
      </c>
      <c r="U801" t="s">
        <v>47</v>
      </c>
      <c r="V801" t="s">
        <v>60</v>
      </c>
    </row>
    <row r="802" spans="1:22" x14ac:dyDescent="0.3">
      <c r="A802" t="s">
        <v>22</v>
      </c>
      <c r="B802" s="1">
        <v>45827</v>
      </c>
      <c r="C802" t="s">
        <v>23</v>
      </c>
      <c r="D802" t="s">
        <v>24</v>
      </c>
      <c r="E802" t="s">
        <v>25</v>
      </c>
      <c r="F802" t="s">
        <v>26</v>
      </c>
      <c r="G802" t="s">
        <v>27</v>
      </c>
      <c r="H802" t="s">
        <v>28</v>
      </c>
      <c r="I802" t="s">
        <v>29</v>
      </c>
      <c r="J802" t="s">
        <v>30</v>
      </c>
      <c r="K802" t="s">
        <v>31</v>
      </c>
      <c r="L802" s="2">
        <v>0.375</v>
      </c>
      <c r="M802" s="2">
        <v>0.75</v>
      </c>
      <c r="N802">
        <v>8</v>
      </c>
      <c r="O802">
        <v>0</v>
      </c>
      <c r="P802" t="s">
        <v>32</v>
      </c>
      <c r="R802">
        <v>4</v>
      </c>
      <c r="S802" t="s">
        <v>33</v>
      </c>
      <c r="T802" t="s">
        <v>34</v>
      </c>
      <c r="V802" t="s">
        <v>35</v>
      </c>
    </row>
    <row r="803" spans="1:22" x14ac:dyDescent="0.3">
      <c r="A803" t="s">
        <v>36</v>
      </c>
      <c r="B803" s="3">
        <v>45766</v>
      </c>
      <c r="C803" t="s">
        <v>37</v>
      </c>
      <c r="D803" t="s">
        <v>24</v>
      </c>
      <c r="E803" t="s">
        <v>38</v>
      </c>
      <c r="F803" t="s">
        <v>39</v>
      </c>
      <c r="G803" t="s">
        <v>40</v>
      </c>
      <c r="H803" t="s">
        <v>41</v>
      </c>
      <c r="I803" t="s">
        <v>42</v>
      </c>
      <c r="J803" t="s">
        <v>43</v>
      </c>
      <c r="K803" t="s">
        <v>44</v>
      </c>
      <c r="L803" s="2">
        <v>0.375</v>
      </c>
      <c r="M803" s="2">
        <v>0.75</v>
      </c>
      <c r="N803">
        <v>8</v>
      </c>
      <c r="O803">
        <v>0</v>
      </c>
      <c r="P803" t="s">
        <v>32</v>
      </c>
      <c r="R803">
        <v>5</v>
      </c>
      <c r="S803" t="s">
        <v>45</v>
      </c>
      <c r="T803" t="s">
        <v>46</v>
      </c>
      <c r="U803" t="s">
        <v>47</v>
      </c>
    </row>
    <row r="804" spans="1:22" x14ac:dyDescent="0.3">
      <c r="A804" t="s">
        <v>48</v>
      </c>
      <c r="B804" s="1">
        <v>45658</v>
      </c>
      <c r="C804" t="s">
        <v>49</v>
      </c>
      <c r="D804" t="s">
        <v>50</v>
      </c>
      <c r="E804" t="s">
        <v>51</v>
      </c>
      <c r="F804" t="s">
        <v>52</v>
      </c>
      <c r="G804" t="s">
        <v>53</v>
      </c>
      <c r="H804" t="s">
        <v>41</v>
      </c>
      <c r="I804" t="s">
        <v>42</v>
      </c>
      <c r="J804" t="s">
        <v>43</v>
      </c>
      <c r="K804" t="s">
        <v>54</v>
      </c>
      <c r="L804" s="2">
        <v>0.375</v>
      </c>
      <c r="M804" s="2">
        <v>0.75</v>
      </c>
      <c r="N804">
        <v>8</v>
      </c>
      <c r="O804">
        <v>0</v>
      </c>
      <c r="P804" t="s">
        <v>32</v>
      </c>
      <c r="R804">
        <v>4</v>
      </c>
      <c r="S804" t="s">
        <v>45</v>
      </c>
      <c r="T804" t="s">
        <v>46</v>
      </c>
      <c r="U804" t="s">
        <v>55</v>
      </c>
    </row>
    <row r="805" spans="1:22" x14ac:dyDescent="0.3">
      <c r="A805" t="s">
        <v>56</v>
      </c>
      <c r="B805" s="1">
        <v>45780</v>
      </c>
      <c r="C805" t="s">
        <v>57</v>
      </c>
      <c r="D805" t="s">
        <v>24</v>
      </c>
      <c r="E805" t="s">
        <v>38</v>
      </c>
      <c r="F805" t="s">
        <v>58</v>
      </c>
      <c r="G805" t="s">
        <v>59</v>
      </c>
      <c r="H805" t="s">
        <v>41</v>
      </c>
      <c r="I805" t="s">
        <v>42</v>
      </c>
      <c r="J805" t="s">
        <v>30</v>
      </c>
      <c r="K805" t="s">
        <v>54</v>
      </c>
      <c r="L805" s="2">
        <v>0.375</v>
      </c>
      <c r="M805" s="2">
        <v>0.75</v>
      </c>
      <c r="N805">
        <v>8</v>
      </c>
      <c r="O805">
        <v>0</v>
      </c>
      <c r="P805" t="s">
        <v>32</v>
      </c>
      <c r="S805" t="s">
        <v>45</v>
      </c>
      <c r="T805" t="s">
        <v>46</v>
      </c>
      <c r="U805" t="s">
        <v>47</v>
      </c>
      <c r="V805" t="s">
        <v>60</v>
      </c>
    </row>
    <row r="806" spans="1:22" x14ac:dyDescent="0.3">
      <c r="A806" t="s">
        <v>61</v>
      </c>
      <c r="B806" s="3">
        <v>45658</v>
      </c>
      <c r="C806" t="s">
        <v>49</v>
      </c>
      <c r="D806" t="s">
        <v>50</v>
      </c>
      <c r="E806" t="s">
        <v>51</v>
      </c>
      <c r="F806" t="s">
        <v>62</v>
      </c>
      <c r="G806" t="s">
        <v>63</v>
      </c>
      <c r="H806" t="s">
        <v>64</v>
      </c>
      <c r="I806" t="s">
        <v>65</v>
      </c>
      <c r="J806" t="s">
        <v>66</v>
      </c>
      <c r="K806" t="s">
        <v>31</v>
      </c>
      <c r="L806" s="2">
        <v>0.375</v>
      </c>
      <c r="M806" s="2">
        <v>0.75</v>
      </c>
      <c r="N806">
        <v>9</v>
      </c>
      <c r="O806">
        <v>1</v>
      </c>
      <c r="P806" t="s">
        <v>32</v>
      </c>
      <c r="R806">
        <v>4</v>
      </c>
      <c r="S806" t="s">
        <v>67</v>
      </c>
      <c r="T806" t="s">
        <v>68</v>
      </c>
      <c r="V806" t="s">
        <v>69</v>
      </c>
    </row>
    <row r="807" spans="1:22" x14ac:dyDescent="0.3">
      <c r="A807" t="s">
        <v>70</v>
      </c>
      <c r="B807" s="3">
        <v>45722</v>
      </c>
      <c r="C807" t="s">
        <v>71</v>
      </c>
      <c r="D807" t="s">
        <v>50</v>
      </c>
      <c r="E807" t="s">
        <v>25</v>
      </c>
      <c r="F807" t="s">
        <v>72</v>
      </c>
      <c r="G807" t="s">
        <v>73</v>
      </c>
      <c r="H807" t="s">
        <v>28</v>
      </c>
      <c r="I807" t="s">
        <v>29</v>
      </c>
      <c r="J807" t="s">
        <v>74</v>
      </c>
      <c r="K807" t="s">
        <v>75</v>
      </c>
      <c r="L807" s="2">
        <v>0.375</v>
      </c>
      <c r="M807" s="2">
        <v>0.75</v>
      </c>
      <c r="N807">
        <v>8</v>
      </c>
      <c r="O807">
        <v>0</v>
      </c>
      <c r="P807" t="s">
        <v>32</v>
      </c>
      <c r="R807">
        <v>5</v>
      </c>
      <c r="S807" t="s">
        <v>67</v>
      </c>
      <c r="T807" t="s">
        <v>34</v>
      </c>
      <c r="U807" t="s">
        <v>55</v>
      </c>
    </row>
    <row r="808" spans="1:22" x14ac:dyDescent="0.3">
      <c r="A808" t="s">
        <v>76</v>
      </c>
      <c r="B808" s="3">
        <v>45687</v>
      </c>
      <c r="C808" t="s">
        <v>49</v>
      </c>
      <c r="D808" t="s">
        <v>50</v>
      </c>
      <c r="E808" t="s">
        <v>25</v>
      </c>
      <c r="F808" t="s">
        <v>77</v>
      </c>
      <c r="G808" t="s">
        <v>78</v>
      </c>
      <c r="H808" t="s">
        <v>79</v>
      </c>
      <c r="I808" t="s">
        <v>80</v>
      </c>
      <c r="J808" t="s">
        <v>30</v>
      </c>
      <c r="K808" t="s">
        <v>81</v>
      </c>
      <c r="P808" t="s">
        <v>82</v>
      </c>
      <c r="Q808" t="s">
        <v>83</v>
      </c>
      <c r="S808" t="s">
        <v>45</v>
      </c>
      <c r="T808" t="s">
        <v>84</v>
      </c>
      <c r="U808" t="s">
        <v>85</v>
      </c>
    </row>
    <row r="809" spans="1:22" x14ac:dyDescent="0.3">
      <c r="A809" t="s">
        <v>86</v>
      </c>
      <c r="B809" s="3">
        <v>45832</v>
      </c>
      <c r="C809" t="s">
        <v>23</v>
      </c>
      <c r="D809" t="s">
        <v>24</v>
      </c>
      <c r="E809" t="s">
        <v>87</v>
      </c>
      <c r="F809" t="s">
        <v>88</v>
      </c>
      <c r="G809" t="s">
        <v>89</v>
      </c>
      <c r="H809" t="s">
        <v>90</v>
      </c>
      <c r="I809" t="s">
        <v>91</v>
      </c>
      <c r="J809" t="s">
        <v>43</v>
      </c>
      <c r="K809" t="s">
        <v>31</v>
      </c>
      <c r="L809" s="2">
        <v>0.375</v>
      </c>
      <c r="M809" s="2">
        <v>0.75</v>
      </c>
      <c r="N809">
        <v>8</v>
      </c>
      <c r="O809">
        <v>0</v>
      </c>
      <c r="P809" t="s">
        <v>32</v>
      </c>
      <c r="R809">
        <v>4</v>
      </c>
      <c r="S809" t="s">
        <v>92</v>
      </c>
      <c r="T809" t="s">
        <v>93</v>
      </c>
      <c r="V809"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F482-E1DC-4610-A1B6-700A7C0A54AF}">
  <dimension ref="A1:N51"/>
  <sheetViews>
    <sheetView zoomScale="50" workbookViewId="0">
      <selection activeCell="J23" sqref="J23"/>
    </sheetView>
  </sheetViews>
  <sheetFormatPr defaultRowHeight="14.4" x14ac:dyDescent="0.3"/>
  <cols>
    <col min="1" max="1" width="13.875" customWidth="1"/>
    <col min="2" max="2" width="17.125" customWidth="1"/>
    <col min="3" max="3" width="8.875" customWidth="1"/>
    <col min="5" max="5" width="12.875" customWidth="1"/>
    <col min="6" max="6" width="12.625" customWidth="1"/>
    <col min="8" max="8" width="13.5" customWidth="1"/>
    <col min="9" max="9" width="11.875" customWidth="1"/>
    <col min="10" max="10" width="17.25" customWidth="1"/>
    <col min="11" max="11" width="10.25" customWidth="1"/>
    <col min="12" max="12" width="18.625" customWidth="1"/>
    <col min="13" max="13" width="20" customWidth="1"/>
  </cols>
  <sheetData>
    <row r="1" spans="1:14" x14ac:dyDescent="0.3">
      <c r="A1" t="s">
        <v>5</v>
      </c>
      <c r="B1" t="s">
        <v>6</v>
      </c>
      <c r="C1" t="s">
        <v>991</v>
      </c>
      <c r="D1" t="s">
        <v>992</v>
      </c>
      <c r="E1" t="s">
        <v>7</v>
      </c>
      <c r="F1" t="s">
        <v>8</v>
      </c>
      <c r="G1" t="s">
        <v>9</v>
      </c>
      <c r="H1" t="s">
        <v>993</v>
      </c>
      <c r="I1" t="s">
        <v>994</v>
      </c>
      <c r="J1" t="s">
        <v>995</v>
      </c>
      <c r="K1" t="s">
        <v>19</v>
      </c>
      <c r="L1" t="s">
        <v>996</v>
      </c>
      <c r="M1" t="s">
        <v>20</v>
      </c>
      <c r="N1" t="s">
        <v>997</v>
      </c>
    </row>
    <row r="2" spans="1:14" x14ac:dyDescent="0.3">
      <c r="A2" t="s">
        <v>62</v>
      </c>
      <c r="B2" t="s">
        <v>998</v>
      </c>
      <c r="C2" t="s">
        <v>999</v>
      </c>
      <c r="D2">
        <v>23</v>
      </c>
      <c r="E2" t="s">
        <v>64</v>
      </c>
      <c r="F2" t="s">
        <v>65</v>
      </c>
      <c r="G2" t="s">
        <v>66</v>
      </c>
      <c r="H2" s="3">
        <v>43511</v>
      </c>
      <c r="I2">
        <v>650000</v>
      </c>
      <c r="J2">
        <v>2</v>
      </c>
      <c r="K2" t="s">
        <v>68</v>
      </c>
      <c r="L2" t="s">
        <v>1000</v>
      </c>
      <c r="M2" t="s">
        <v>47</v>
      </c>
      <c r="N2" t="s">
        <v>1001</v>
      </c>
    </row>
    <row r="3" spans="1:14" x14ac:dyDescent="0.3">
      <c r="A3" t="s">
        <v>204</v>
      </c>
      <c r="B3" t="s">
        <v>1002</v>
      </c>
      <c r="C3" t="s">
        <v>1003</v>
      </c>
      <c r="D3">
        <v>24</v>
      </c>
      <c r="E3" t="s">
        <v>90</v>
      </c>
      <c r="F3" t="s">
        <v>91</v>
      </c>
      <c r="G3" t="s">
        <v>74</v>
      </c>
      <c r="H3" s="3">
        <v>43905</v>
      </c>
      <c r="I3">
        <v>495000</v>
      </c>
      <c r="J3">
        <v>3</v>
      </c>
      <c r="K3" t="s">
        <v>93</v>
      </c>
      <c r="L3" t="s">
        <v>1000</v>
      </c>
      <c r="M3" t="s">
        <v>85</v>
      </c>
      <c r="N3" t="s">
        <v>1001</v>
      </c>
    </row>
    <row r="4" spans="1:14" x14ac:dyDescent="0.3">
      <c r="A4" t="s">
        <v>163</v>
      </c>
      <c r="B4" t="s">
        <v>1004</v>
      </c>
      <c r="C4" t="s">
        <v>999</v>
      </c>
      <c r="D4">
        <v>25</v>
      </c>
      <c r="E4" t="s">
        <v>112</v>
      </c>
      <c r="F4" t="s">
        <v>113</v>
      </c>
      <c r="G4" t="s">
        <v>100</v>
      </c>
      <c r="H4" s="3">
        <v>44301</v>
      </c>
      <c r="I4">
        <v>520000</v>
      </c>
      <c r="J4">
        <v>4</v>
      </c>
      <c r="K4" t="s">
        <v>114</v>
      </c>
      <c r="L4" t="s">
        <v>1000</v>
      </c>
      <c r="M4" t="s">
        <v>55</v>
      </c>
      <c r="N4" t="s">
        <v>1001</v>
      </c>
    </row>
    <row r="5" spans="1:14" x14ac:dyDescent="0.3">
      <c r="A5" t="s">
        <v>77</v>
      </c>
      <c r="B5" t="s">
        <v>1005</v>
      </c>
      <c r="C5" t="s">
        <v>1003</v>
      </c>
      <c r="D5">
        <v>26</v>
      </c>
      <c r="E5" t="s">
        <v>79</v>
      </c>
      <c r="F5" t="s">
        <v>80</v>
      </c>
      <c r="G5" t="s">
        <v>30</v>
      </c>
      <c r="H5" s="3">
        <v>44696</v>
      </c>
      <c r="I5">
        <v>545000</v>
      </c>
      <c r="J5">
        <v>5</v>
      </c>
      <c r="K5" t="s">
        <v>84</v>
      </c>
      <c r="L5" t="s">
        <v>1000</v>
      </c>
      <c r="M5" t="s">
        <v>47</v>
      </c>
      <c r="N5" t="s">
        <v>1001</v>
      </c>
    </row>
    <row r="6" spans="1:14" x14ac:dyDescent="0.3">
      <c r="A6" t="s">
        <v>52</v>
      </c>
      <c r="B6" t="s">
        <v>1006</v>
      </c>
      <c r="C6" t="s">
        <v>999</v>
      </c>
      <c r="D6">
        <v>27</v>
      </c>
      <c r="E6" t="s">
        <v>41</v>
      </c>
      <c r="F6" t="s">
        <v>42</v>
      </c>
      <c r="G6" t="s">
        <v>43</v>
      </c>
      <c r="H6" s="3">
        <v>45092</v>
      </c>
      <c r="I6">
        <v>570000</v>
      </c>
      <c r="J6">
        <v>6</v>
      </c>
      <c r="K6" t="s">
        <v>46</v>
      </c>
      <c r="L6" t="s">
        <v>1007</v>
      </c>
      <c r="M6" t="s">
        <v>85</v>
      </c>
      <c r="N6" t="s">
        <v>1001</v>
      </c>
    </row>
    <row r="7" spans="1:14" x14ac:dyDescent="0.3">
      <c r="A7" t="s">
        <v>266</v>
      </c>
      <c r="B7" t="s">
        <v>1008</v>
      </c>
      <c r="C7" t="s">
        <v>1003</v>
      </c>
      <c r="D7">
        <v>28</v>
      </c>
      <c r="E7" t="s">
        <v>64</v>
      </c>
      <c r="F7" t="s">
        <v>1009</v>
      </c>
      <c r="G7" t="s">
        <v>66</v>
      </c>
      <c r="H7" s="3">
        <v>45488</v>
      </c>
      <c r="I7">
        <v>600000</v>
      </c>
      <c r="J7">
        <v>7</v>
      </c>
      <c r="K7" t="s">
        <v>68</v>
      </c>
      <c r="L7" t="s">
        <v>1000</v>
      </c>
      <c r="M7" t="s">
        <v>55</v>
      </c>
      <c r="N7" t="s">
        <v>1001</v>
      </c>
    </row>
    <row r="8" spans="1:14" x14ac:dyDescent="0.3">
      <c r="A8" t="s">
        <v>288</v>
      </c>
      <c r="B8" t="s">
        <v>1010</v>
      </c>
      <c r="C8" t="s">
        <v>999</v>
      </c>
      <c r="D8">
        <v>29</v>
      </c>
      <c r="E8" t="s">
        <v>98</v>
      </c>
      <c r="F8" t="s">
        <v>99</v>
      </c>
      <c r="G8" t="s">
        <v>74</v>
      </c>
      <c r="H8" s="3">
        <v>43327</v>
      </c>
      <c r="I8">
        <v>620000</v>
      </c>
      <c r="J8">
        <v>8</v>
      </c>
      <c r="K8" t="s">
        <v>101</v>
      </c>
      <c r="L8" t="s">
        <v>1000</v>
      </c>
      <c r="M8" t="s">
        <v>47</v>
      </c>
      <c r="N8" t="s">
        <v>1001</v>
      </c>
    </row>
    <row r="9" spans="1:14" x14ac:dyDescent="0.3">
      <c r="A9" t="s">
        <v>159</v>
      </c>
      <c r="B9" t="s">
        <v>1011</v>
      </c>
      <c r="C9" t="s">
        <v>1003</v>
      </c>
      <c r="D9">
        <v>30</v>
      </c>
      <c r="E9" t="s">
        <v>28</v>
      </c>
      <c r="F9" t="s">
        <v>29</v>
      </c>
      <c r="G9" t="s">
        <v>100</v>
      </c>
      <c r="H9" s="3">
        <v>43723</v>
      </c>
      <c r="I9">
        <v>645000</v>
      </c>
      <c r="J9">
        <v>9</v>
      </c>
      <c r="K9" t="s">
        <v>34</v>
      </c>
      <c r="L9" t="s">
        <v>1000</v>
      </c>
      <c r="M9" t="s">
        <v>85</v>
      </c>
      <c r="N9" t="s">
        <v>1001</v>
      </c>
    </row>
    <row r="10" spans="1:14" x14ac:dyDescent="0.3">
      <c r="A10" t="s">
        <v>281</v>
      </c>
      <c r="B10" t="s">
        <v>1012</v>
      </c>
      <c r="C10" t="s">
        <v>999</v>
      </c>
      <c r="D10">
        <v>31</v>
      </c>
      <c r="E10" t="s">
        <v>64</v>
      </c>
      <c r="F10" t="s">
        <v>65</v>
      </c>
      <c r="G10" t="s">
        <v>30</v>
      </c>
      <c r="H10" s="3">
        <v>44119</v>
      </c>
      <c r="I10">
        <v>650000</v>
      </c>
      <c r="J10">
        <v>10</v>
      </c>
      <c r="K10" t="s">
        <v>68</v>
      </c>
      <c r="L10" t="s">
        <v>1000</v>
      </c>
      <c r="M10" t="s">
        <v>55</v>
      </c>
      <c r="N10" t="s">
        <v>1001</v>
      </c>
    </row>
    <row r="11" spans="1:14" x14ac:dyDescent="0.3">
      <c r="A11" t="s">
        <v>110</v>
      </c>
      <c r="B11" t="s">
        <v>1013</v>
      </c>
      <c r="C11" t="s">
        <v>1003</v>
      </c>
      <c r="D11">
        <v>32</v>
      </c>
      <c r="E11" t="s">
        <v>90</v>
      </c>
      <c r="F11" t="s">
        <v>1014</v>
      </c>
      <c r="G11" t="s">
        <v>43</v>
      </c>
      <c r="H11" s="3">
        <v>44515</v>
      </c>
      <c r="I11">
        <v>695000</v>
      </c>
      <c r="J11">
        <v>11</v>
      </c>
      <c r="K11" t="s">
        <v>93</v>
      </c>
      <c r="L11" t="s">
        <v>1007</v>
      </c>
      <c r="M11" t="s">
        <v>47</v>
      </c>
      <c r="N11" t="s">
        <v>1001</v>
      </c>
    </row>
    <row r="12" spans="1:14" x14ac:dyDescent="0.3">
      <c r="A12" t="s">
        <v>185</v>
      </c>
      <c r="B12" t="s">
        <v>1015</v>
      </c>
      <c r="C12" t="s">
        <v>999</v>
      </c>
      <c r="D12">
        <v>33</v>
      </c>
      <c r="E12" t="s">
        <v>112</v>
      </c>
      <c r="F12" t="s">
        <v>1016</v>
      </c>
      <c r="G12" t="s">
        <v>66</v>
      </c>
      <c r="H12" s="3">
        <v>44910</v>
      </c>
      <c r="I12">
        <v>720000</v>
      </c>
      <c r="J12">
        <v>12</v>
      </c>
      <c r="K12" t="s">
        <v>114</v>
      </c>
      <c r="L12" t="s">
        <v>1000</v>
      </c>
      <c r="M12" t="s">
        <v>85</v>
      </c>
      <c r="N12" t="s">
        <v>1001</v>
      </c>
    </row>
    <row r="13" spans="1:14" x14ac:dyDescent="0.3">
      <c r="A13" t="s">
        <v>120</v>
      </c>
      <c r="B13" t="s">
        <v>1017</v>
      </c>
      <c r="C13" t="s">
        <v>1003</v>
      </c>
      <c r="D13">
        <v>34</v>
      </c>
      <c r="E13" t="s">
        <v>79</v>
      </c>
      <c r="F13" t="s">
        <v>1018</v>
      </c>
      <c r="G13" t="s">
        <v>74</v>
      </c>
      <c r="H13" s="3">
        <v>44941</v>
      </c>
      <c r="I13">
        <v>445000</v>
      </c>
      <c r="J13">
        <v>1</v>
      </c>
      <c r="K13" t="s">
        <v>84</v>
      </c>
      <c r="L13" t="s">
        <v>1000</v>
      </c>
      <c r="M13" t="s">
        <v>55</v>
      </c>
      <c r="N13" t="s">
        <v>1001</v>
      </c>
    </row>
    <row r="14" spans="1:14" x14ac:dyDescent="0.3">
      <c r="A14" t="s">
        <v>504</v>
      </c>
      <c r="B14" t="s">
        <v>1019</v>
      </c>
      <c r="C14" t="s">
        <v>999</v>
      </c>
      <c r="D14">
        <v>35</v>
      </c>
      <c r="E14" t="s">
        <v>41</v>
      </c>
      <c r="F14" t="s">
        <v>1020</v>
      </c>
      <c r="G14" t="s">
        <v>100</v>
      </c>
      <c r="H14" s="3">
        <v>45337</v>
      </c>
      <c r="I14">
        <v>470000</v>
      </c>
      <c r="J14">
        <v>2</v>
      </c>
      <c r="K14" t="s">
        <v>46</v>
      </c>
      <c r="L14" t="s">
        <v>1000</v>
      </c>
      <c r="M14" t="s">
        <v>47</v>
      </c>
      <c r="N14" t="s">
        <v>1001</v>
      </c>
    </row>
    <row r="15" spans="1:14" x14ac:dyDescent="0.3">
      <c r="A15" t="s">
        <v>26</v>
      </c>
      <c r="B15" t="s">
        <v>1021</v>
      </c>
      <c r="C15" t="s">
        <v>1003</v>
      </c>
      <c r="D15">
        <v>36</v>
      </c>
      <c r="E15" t="s">
        <v>98</v>
      </c>
      <c r="F15" t="s">
        <v>1022</v>
      </c>
      <c r="G15" t="s">
        <v>30</v>
      </c>
      <c r="H15" s="3">
        <v>43174</v>
      </c>
      <c r="I15">
        <v>495000</v>
      </c>
      <c r="J15">
        <v>3</v>
      </c>
      <c r="K15" t="s">
        <v>101</v>
      </c>
      <c r="L15" t="s">
        <v>1000</v>
      </c>
      <c r="M15" t="s">
        <v>85</v>
      </c>
      <c r="N15" t="s">
        <v>1001</v>
      </c>
    </row>
    <row r="16" spans="1:14" x14ac:dyDescent="0.3">
      <c r="A16" t="s">
        <v>142</v>
      </c>
      <c r="B16" t="s">
        <v>1023</v>
      </c>
      <c r="C16" t="s">
        <v>999</v>
      </c>
      <c r="D16">
        <v>37</v>
      </c>
      <c r="E16" t="s">
        <v>28</v>
      </c>
      <c r="F16" t="s">
        <v>1024</v>
      </c>
      <c r="G16" t="s">
        <v>43</v>
      </c>
      <c r="H16" s="3">
        <v>43570</v>
      </c>
      <c r="I16">
        <v>520000</v>
      </c>
      <c r="J16">
        <v>4</v>
      </c>
      <c r="K16" t="s">
        <v>34</v>
      </c>
      <c r="L16" t="s">
        <v>1007</v>
      </c>
      <c r="M16" t="s">
        <v>55</v>
      </c>
      <c r="N16" t="s">
        <v>1001</v>
      </c>
    </row>
    <row r="17" spans="1:14" x14ac:dyDescent="0.3">
      <c r="A17" t="s">
        <v>127</v>
      </c>
      <c r="B17" t="s">
        <v>1025</v>
      </c>
      <c r="C17" t="s">
        <v>1003</v>
      </c>
      <c r="D17">
        <v>38</v>
      </c>
      <c r="E17" t="s">
        <v>64</v>
      </c>
      <c r="F17" t="s">
        <v>1026</v>
      </c>
      <c r="G17" t="s">
        <v>66</v>
      </c>
      <c r="H17" s="3">
        <v>43966</v>
      </c>
      <c r="I17">
        <v>550000</v>
      </c>
      <c r="J17">
        <v>5</v>
      </c>
      <c r="K17" t="s">
        <v>68</v>
      </c>
      <c r="L17" t="s">
        <v>1000</v>
      </c>
      <c r="M17" t="s">
        <v>47</v>
      </c>
      <c r="N17" t="s">
        <v>1001</v>
      </c>
    </row>
    <row r="18" spans="1:14" x14ac:dyDescent="0.3">
      <c r="A18" t="s">
        <v>258</v>
      </c>
      <c r="B18" t="s">
        <v>1027</v>
      </c>
      <c r="C18" t="s">
        <v>999</v>
      </c>
      <c r="D18">
        <v>39</v>
      </c>
      <c r="E18" t="s">
        <v>64</v>
      </c>
      <c r="F18" t="s">
        <v>1028</v>
      </c>
      <c r="G18" t="s">
        <v>74</v>
      </c>
      <c r="H18" s="3">
        <v>44362</v>
      </c>
      <c r="I18">
        <v>580000</v>
      </c>
      <c r="J18">
        <v>6</v>
      </c>
      <c r="K18" t="s">
        <v>68</v>
      </c>
      <c r="L18" t="s">
        <v>1000</v>
      </c>
      <c r="M18" t="s">
        <v>85</v>
      </c>
      <c r="N18" t="s">
        <v>1001</v>
      </c>
    </row>
    <row r="19" spans="1:14" x14ac:dyDescent="0.3">
      <c r="A19" t="s">
        <v>220</v>
      </c>
      <c r="B19" t="s">
        <v>1029</v>
      </c>
      <c r="C19" t="s">
        <v>999</v>
      </c>
      <c r="D19">
        <v>22</v>
      </c>
      <c r="E19" t="s">
        <v>112</v>
      </c>
      <c r="F19" t="s">
        <v>1030</v>
      </c>
      <c r="G19" t="s">
        <v>100</v>
      </c>
      <c r="H19" s="3">
        <v>44757</v>
      </c>
      <c r="I19">
        <v>595000</v>
      </c>
      <c r="J19">
        <v>7</v>
      </c>
      <c r="K19" t="s">
        <v>114</v>
      </c>
      <c r="L19" t="s">
        <v>1000</v>
      </c>
      <c r="M19" t="s">
        <v>55</v>
      </c>
      <c r="N19" t="s">
        <v>1001</v>
      </c>
    </row>
    <row r="20" spans="1:14" x14ac:dyDescent="0.3">
      <c r="A20" t="s">
        <v>58</v>
      </c>
      <c r="B20" t="s">
        <v>1031</v>
      </c>
      <c r="C20" t="s">
        <v>1003</v>
      </c>
      <c r="D20">
        <v>23</v>
      </c>
      <c r="E20" t="s">
        <v>90</v>
      </c>
      <c r="F20" t="s">
        <v>91</v>
      </c>
      <c r="G20" t="s">
        <v>30</v>
      </c>
      <c r="H20" s="3">
        <v>45153</v>
      </c>
      <c r="I20">
        <v>620000</v>
      </c>
      <c r="J20">
        <v>8</v>
      </c>
      <c r="K20" t="s">
        <v>93</v>
      </c>
      <c r="L20" t="s">
        <v>1000</v>
      </c>
      <c r="M20" t="s">
        <v>47</v>
      </c>
      <c r="N20" t="s">
        <v>1001</v>
      </c>
    </row>
    <row r="21" spans="1:14" x14ac:dyDescent="0.3">
      <c r="A21" t="s">
        <v>195</v>
      </c>
      <c r="B21" t="s">
        <v>1032</v>
      </c>
      <c r="C21" t="s">
        <v>999</v>
      </c>
      <c r="D21">
        <v>24</v>
      </c>
      <c r="E21" t="s">
        <v>79</v>
      </c>
      <c r="F21" t="s">
        <v>80</v>
      </c>
      <c r="G21" t="s">
        <v>43</v>
      </c>
      <c r="H21" s="3">
        <v>45550</v>
      </c>
      <c r="I21">
        <v>645000</v>
      </c>
      <c r="J21">
        <v>9</v>
      </c>
      <c r="K21" t="s">
        <v>84</v>
      </c>
      <c r="L21" t="s">
        <v>1007</v>
      </c>
      <c r="M21" t="s">
        <v>85</v>
      </c>
      <c r="N21" t="s">
        <v>1001</v>
      </c>
    </row>
    <row r="22" spans="1:14" x14ac:dyDescent="0.3">
      <c r="A22" t="s">
        <v>124</v>
      </c>
      <c r="B22" t="s">
        <v>1033</v>
      </c>
      <c r="C22" t="s">
        <v>999</v>
      </c>
      <c r="D22">
        <v>25</v>
      </c>
      <c r="E22" t="s">
        <v>41</v>
      </c>
      <c r="F22" t="s">
        <v>42</v>
      </c>
      <c r="G22" t="s">
        <v>66</v>
      </c>
      <c r="H22" s="3">
        <v>43388</v>
      </c>
      <c r="I22">
        <v>670000</v>
      </c>
      <c r="J22">
        <v>10</v>
      </c>
      <c r="K22" t="s">
        <v>46</v>
      </c>
      <c r="L22" t="s">
        <v>1000</v>
      </c>
      <c r="M22" t="s">
        <v>55</v>
      </c>
      <c r="N22" t="s">
        <v>1001</v>
      </c>
    </row>
    <row r="23" spans="1:14" x14ac:dyDescent="0.3">
      <c r="A23" t="s">
        <v>211</v>
      </c>
      <c r="B23" t="s">
        <v>1034</v>
      </c>
      <c r="C23" t="s">
        <v>1003</v>
      </c>
      <c r="D23">
        <v>26</v>
      </c>
      <c r="E23" t="s">
        <v>98</v>
      </c>
      <c r="F23" t="s">
        <v>1035</v>
      </c>
      <c r="G23" t="s">
        <v>74</v>
      </c>
      <c r="H23" s="3">
        <v>43784</v>
      </c>
      <c r="I23">
        <v>695000</v>
      </c>
      <c r="J23">
        <v>11</v>
      </c>
      <c r="K23" t="s">
        <v>101</v>
      </c>
      <c r="L23" t="s">
        <v>1000</v>
      </c>
      <c r="M23" t="s">
        <v>47</v>
      </c>
      <c r="N23" t="s">
        <v>1001</v>
      </c>
    </row>
    <row r="24" spans="1:14" x14ac:dyDescent="0.3">
      <c r="A24" t="s">
        <v>145</v>
      </c>
      <c r="B24" t="s">
        <v>1036</v>
      </c>
      <c r="C24" t="s">
        <v>999</v>
      </c>
      <c r="D24">
        <v>27</v>
      </c>
      <c r="E24" t="s">
        <v>64</v>
      </c>
      <c r="F24" t="s">
        <v>1037</v>
      </c>
      <c r="G24" t="s">
        <v>100</v>
      </c>
      <c r="H24" s="3">
        <v>44180</v>
      </c>
      <c r="I24">
        <v>850000</v>
      </c>
      <c r="J24">
        <v>12</v>
      </c>
      <c r="K24" t="s">
        <v>68</v>
      </c>
      <c r="L24" t="s">
        <v>1000</v>
      </c>
      <c r="M24" t="s">
        <v>85</v>
      </c>
      <c r="N24" t="s">
        <v>1001</v>
      </c>
    </row>
    <row r="25" spans="1:14" x14ac:dyDescent="0.3">
      <c r="A25" t="s">
        <v>182</v>
      </c>
      <c r="B25" t="s">
        <v>1038</v>
      </c>
      <c r="C25" t="s">
        <v>999</v>
      </c>
      <c r="D25">
        <v>28</v>
      </c>
      <c r="E25" t="s">
        <v>64</v>
      </c>
      <c r="F25" t="s">
        <v>1039</v>
      </c>
      <c r="G25" t="s">
        <v>30</v>
      </c>
      <c r="H25" s="3">
        <v>44211</v>
      </c>
      <c r="I25">
        <v>700000</v>
      </c>
      <c r="J25">
        <v>1</v>
      </c>
      <c r="K25" t="s">
        <v>68</v>
      </c>
      <c r="L25" t="s">
        <v>1000</v>
      </c>
      <c r="M25" t="s">
        <v>55</v>
      </c>
      <c r="N25" t="s">
        <v>1001</v>
      </c>
    </row>
    <row r="26" spans="1:14" x14ac:dyDescent="0.3">
      <c r="A26" t="s">
        <v>228</v>
      </c>
      <c r="B26" t="s">
        <v>1040</v>
      </c>
      <c r="C26" t="s">
        <v>1003</v>
      </c>
      <c r="D26">
        <v>29</v>
      </c>
      <c r="E26" t="s">
        <v>28</v>
      </c>
      <c r="F26" t="s">
        <v>29</v>
      </c>
      <c r="G26" t="s">
        <v>43</v>
      </c>
      <c r="H26" s="3">
        <v>44607</v>
      </c>
      <c r="I26">
        <v>470000</v>
      </c>
      <c r="J26">
        <v>2</v>
      </c>
      <c r="K26" t="s">
        <v>34</v>
      </c>
      <c r="L26" t="s">
        <v>1007</v>
      </c>
      <c r="M26" t="s">
        <v>47</v>
      </c>
      <c r="N26" t="s">
        <v>1001</v>
      </c>
    </row>
    <row r="27" spans="1:14" x14ac:dyDescent="0.3">
      <c r="A27" t="s">
        <v>240</v>
      </c>
      <c r="B27" t="s">
        <v>1041</v>
      </c>
      <c r="C27" t="s">
        <v>1003</v>
      </c>
      <c r="D27">
        <v>30</v>
      </c>
      <c r="E27" t="s">
        <v>112</v>
      </c>
      <c r="F27" t="s">
        <v>113</v>
      </c>
      <c r="G27" t="s">
        <v>66</v>
      </c>
      <c r="H27" s="3">
        <v>45000</v>
      </c>
      <c r="I27">
        <v>495000</v>
      </c>
      <c r="J27">
        <v>3</v>
      </c>
      <c r="K27" t="s">
        <v>114</v>
      </c>
      <c r="L27" t="s">
        <v>1000</v>
      </c>
      <c r="M27" t="s">
        <v>85</v>
      </c>
      <c r="N27" t="s">
        <v>1001</v>
      </c>
    </row>
    <row r="28" spans="1:14" x14ac:dyDescent="0.3">
      <c r="A28" t="s">
        <v>231</v>
      </c>
      <c r="B28" t="s">
        <v>1042</v>
      </c>
      <c r="C28" t="s">
        <v>999</v>
      </c>
      <c r="D28">
        <v>31</v>
      </c>
      <c r="E28" t="s">
        <v>41</v>
      </c>
      <c r="F28" t="s">
        <v>1043</v>
      </c>
      <c r="G28" t="s">
        <v>74</v>
      </c>
      <c r="H28" s="3">
        <v>45397</v>
      </c>
      <c r="I28">
        <v>520000</v>
      </c>
      <c r="J28">
        <v>4</v>
      </c>
      <c r="K28" t="s">
        <v>46</v>
      </c>
      <c r="L28" t="s">
        <v>1000</v>
      </c>
      <c r="M28" t="s">
        <v>55</v>
      </c>
      <c r="N28" t="s">
        <v>1001</v>
      </c>
    </row>
    <row r="29" spans="1:14" x14ac:dyDescent="0.3">
      <c r="A29" t="s">
        <v>354</v>
      </c>
      <c r="B29" t="s">
        <v>1044</v>
      </c>
      <c r="C29" t="s">
        <v>1003</v>
      </c>
      <c r="D29">
        <v>32</v>
      </c>
      <c r="E29" t="s">
        <v>98</v>
      </c>
      <c r="F29" t="s">
        <v>1045</v>
      </c>
      <c r="G29" t="s">
        <v>100</v>
      </c>
      <c r="H29" s="3">
        <v>43235</v>
      </c>
      <c r="I29">
        <v>545000</v>
      </c>
      <c r="J29">
        <v>5</v>
      </c>
      <c r="K29" t="s">
        <v>101</v>
      </c>
      <c r="L29" t="s">
        <v>1000</v>
      </c>
      <c r="M29" t="s">
        <v>47</v>
      </c>
      <c r="N29" t="s">
        <v>1001</v>
      </c>
    </row>
    <row r="30" spans="1:14" x14ac:dyDescent="0.3">
      <c r="A30" t="s">
        <v>207</v>
      </c>
      <c r="B30" t="s">
        <v>1046</v>
      </c>
      <c r="C30" t="s">
        <v>999</v>
      </c>
      <c r="D30">
        <v>33</v>
      </c>
      <c r="E30" t="s">
        <v>79</v>
      </c>
      <c r="F30" t="s">
        <v>1047</v>
      </c>
      <c r="G30" t="s">
        <v>30</v>
      </c>
      <c r="H30" s="3">
        <v>43631</v>
      </c>
      <c r="I30">
        <v>570000</v>
      </c>
      <c r="J30">
        <v>6</v>
      </c>
      <c r="K30" t="s">
        <v>84</v>
      </c>
      <c r="L30" t="s">
        <v>1000</v>
      </c>
      <c r="M30" t="s">
        <v>85</v>
      </c>
      <c r="N30" t="s">
        <v>1001</v>
      </c>
    </row>
    <row r="31" spans="1:14" x14ac:dyDescent="0.3">
      <c r="A31" t="s">
        <v>88</v>
      </c>
      <c r="B31" t="s">
        <v>1048</v>
      </c>
      <c r="C31" t="s">
        <v>1003</v>
      </c>
      <c r="D31">
        <v>34</v>
      </c>
      <c r="E31" t="s">
        <v>90</v>
      </c>
      <c r="F31" t="s">
        <v>1049</v>
      </c>
      <c r="G31" t="s">
        <v>43</v>
      </c>
      <c r="H31" s="3">
        <v>44027</v>
      </c>
      <c r="I31">
        <v>595000</v>
      </c>
      <c r="J31">
        <v>7</v>
      </c>
      <c r="K31" t="s">
        <v>93</v>
      </c>
      <c r="L31" t="s">
        <v>1007</v>
      </c>
      <c r="M31" t="s">
        <v>55</v>
      </c>
      <c r="N31" t="s">
        <v>1001</v>
      </c>
    </row>
    <row r="32" spans="1:14" x14ac:dyDescent="0.3">
      <c r="A32" t="s">
        <v>201</v>
      </c>
      <c r="B32" t="s">
        <v>1050</v>
      </c>
      <c r="C32" t="s">
        <v>999</v>
      </c>
      <c r="D32">
        <v>35</v>
      </c>
      <c r="E32" t="s">
        <v>64</v>
      </c>
      <c r="F32" t="s">
        <v>1051</v>
      </c>
      <c r="G32" t="s">
        <v>66</v>
      </c>
      <c r="H32" s="3">
        <v>44423</v>
      </c>
      <c r="I32">
        <v>620000</v>
      </c>
      <c r="J32">
        <v>8</v>
      </c>
      <c r="K32" t="s">
        <v>68</v>
      </c>
      <c r="L32" t="s">
        <v>1000</v>
      </c>
      <c r="M32" t="s">
        <v>47</v>
      </c>
      <c r="N32" t="s">
        <v>1001</v>
      </c>
    </row>
    <row r="33" spans="1:14" x14ac:dyDescent="0.3">
      <c r="A33" t="s">
        <v>305</v>
      </c>
      <c r="B33" t="s">
        <v>1052</v>
      </c>
      <c r="C33" t="s">
        <v>1003</v>
      </c>
      <c r="D33">
        <v>36</v>
      </c>
      <c r="E33" t="s">
        <v>64</v>
      </c>
      <c r="F33" t="s">
        <v>1053</v>
      </c>
      <c r="G33" t="s">
        <v>74</v>
      </c>
      <c r="H33" s="3">
        <v>44819</v>
      </c>
      <c r="I33">
        <v>800000</v>
      </c>
      <c r="J33">
        <v>9</v>
      </c>
      <c r="K33" t="s">
        <v>68</v>
      </c>
      <c r="L33" t="s">
        <v>1000</v>
      </c>
      <c r="M33" t="s">
        <v>85</v>
      </c>
      <c r="N33" t="s">
        <v>1001</v>
      </c>
    </row>
    <row r="34" spans="1:14" x14ac:dyDescent="0.3">
      <c r="A34" t="s">
        <v>166</v>
      </c>
      <c r="B34" t="s">
        <v>1054</v>
      </c>
      <c r="C34" t="s">
        <v>999</v>
      </c>
      <c r="D34">
        <v>37</v>
      </c>
      <c r="E34" t="s">
        <v>112</v>
      </c>
      <c r="F34" t="s">
        <v>1055</v>
      </c>
      <c r="G34" t="s">
        <v>100</v>
      </c>
      <c r="H34" s="3">
        <v>45214</v>
      </c>
      <c r="I34">
        <v>670000</v>
      </c>
      <c r="J34">
        <v>10</v>
      </c>
      <c r="K34" t="s">
        <v>114</v>
      </c>
      <c r="L34" t="s">
        <v>1000</v>
      </c>
      <c r="M34" t="s">
        <v>55</v>
      </c>
      <c r="N34" t="s">
        <v>1001</v>
      </c>
    </row>
    <row r="35" spans="1:14" x14ac:dyDescent="0.3">
      <c r="A35" t="s">
        <v>151</v>
      </c>
      <c r="B35" t="s">
        <v>1056</v>
      </c>
      <c r="C35" t="s">
        <v>1003</v>
      </c>
      <c r="D35">
        <v>38</v>
      </c>
      <c r="E35" t="s">
        <v>28</v>
      </c>
      <c r="F35" t="s">
        <v>1057</v>
      </c>
      <c r="G35" t="s">
        <v>30</v>
      </c>
      <c r="H35" s="3">
        <v>45611</v>
      </c>
      <c r="I35">
        <v>695000</v>
      </c>
      <c r="J35">
        <v>11</v>
      </c>
      <c r="K35" t="s">
        <v>34</v>
      </c>
      <c r="L35" t="s">
        <v>1000</v>
      </c>
      <c r="M35" t="s">
        <v>47</v>
      </c>
      <c r="N35" t="s">
        <v>1001</v>
      </c>
    </row>
    <row r="36" spans="1:14" x14ac:dyDescent="0.3">
      <c r="A36" t="s">
        <v>309</v>
      </c>
      <c r="B36" t="s">
        <v>1058</v>
      </c>
      <c r="C36" t="s">
        <v>999</v>
      </c>
      <c r="D36">
        <v>39</v>
      </c>
      <c r="E36" t="s">
        <v>41</v>
      </c>
      <c r="F36" t="s">
        <v>1059</v>
      </c>
      <c r="G36" t="s">
        <v>43</v>
      </c>
      <c r="H36" s="3">
        <v>43449</v>
      </c>
      <c r="I36">
        <v>720000</v>
      </c>
      <c r="J36">
        <v>12</v>
      </c>
      <c r="K36" t="s">
        <v>46</v>
      </c>
      <c r="L36" t="s">
        <v>1007</v>
      </c>
      <c r="M36" t="s">
        <v>85</v>
      </c>
      <c r="N36" t="s">
        <v>1001</v>
      </c>
    </row>
    <row r="37" spans="1:14" x14ac:dyDescent="0.3">
      <c r="A37" t="s">
        <v>247</v>
      </c>
      <c r="B37" t="s">
        <v>1060</v>
      </c>
      <c r="C37" t="s">
        <v>999</v>
      </c>
      <c r="D37">
        <v>22</v>
      </c>
      <c r="E37" t="s">
        <v>79</v>
      </c>
      <c r="F37" t="s">
        <v>1061</v>
      </c>
      <c r="G37" t="s">
        <v>66</v>
      </c>
      <c r="H37" s="3">
        <v>43480</v>
      </c>
      <c r="I37">
        <v>445000</v>
      </c>
      <c r="J37">
        <v>1</v>
      </c>
      <c r="K37" t="s">
        <v>84</v>
      </c>
      <c r="L37" t="s">
        <v>1000</v>
      </c>
      <c r="M37" t="s">
        <v>55</v>
      </c>
      <c r="N37" t="s">
        <v>1001</v>
      </c>
    </row>
    <row r="38" spans="1:14" x14ac:dyDescent="0.3">
      <c r="A38" t="s">
        <v>173</v>
      </c>
      <c r="B38" t="s">
        <v>1062</v>
      </c>
      <c r="C38" t="s">
        <v>1003</v>
      </c>
      <c r="D38">
        <v>23</v>
      </c>
      <c r="E38" t="s">
        <v>98</v>
      </c>
      <c r="F38" t="s">
        <v>1063</v>
      </c>
      <c r="G38" t="s">
        <v>74</v>
      </c>
      <c r="H38" s="3">
        <v>43876</v>
      </c>
      <c r="I38">
        <v>470000</v>
      </c>
      <c r="J38">
        <v>2</v>
      </c>
      <c r="K38" t="s">
        <v>101</v>
      </c>
      <c r="L38" t="s">
        <v>1000</v>
      </c>
      <c r="M38" t="s">
        <v>47</v>
      </c>
      <c r="N38" t="s">
        <v>1001</v>
      </c>
    </row>
    <row r="39" spans="1:14" x14ac:dyDescent="0.3">
      <c r="A39" t="s">
        <v>116</v>
      </c>
      <c r="B39" t="s">
        <v>1064</v>
      </c>
      <c r="C39" t="s">
        <v>999</v>
      </c>
      <c r="D39">
        <v>24</v>
      </c>
      <c r="E39" t="s">
        <v>64</v>
      </c>
      <c r="F39" t="s">
        <v>1065</v>
      </c>
      <c r="G39" t="s">
        <v>100</v>
      </c>
      <c r="H39" s="3">
        <v>44270</v>
      </c>
      <c r="I39">
        <v>900000</v>
      </c>
      <c r="J39">
        <v>3</v>
      </c>
      <c r="K39" t="s">
        <v>68</v>
      </c>
      <c r="L39" t="s">
        <v>1000</v>
      </c>
      <c r="M39" t="s">
        <v>85</v>
      </c>
      <c r="N39" t="s">
        <v>1001</v>
      </c>
    </row>
    <row r="40" spans="1:14" x14ac:dyDescent="0.3">
      <c r="A40" t="s">
        <v>215</v>
      </c>
      <c r="B40" t="s">
        <v>1066</v>
      </c>
      <c r="C40" t="s">
        <v>1003</v>
      </c>
      <c r="D40">
        <v>25</v>
      </c>
      <c r="E40" t="s">
        <v>90</v>
      </c>
      <c r="F40" t="s">
        <v>1067</v>
      </c>
      <c r="G40" t="s">
        <v>30</v>
      </c>
      <c r="H40" s="3">
        <v>44666</v>
      </c>
      <c r="I40">
        <v>520000</v>
      </c>
      <c r="J40">
        <v>4</v>
      </c>
      <c r="K40" t="s">
        <v>93</v>
      </c>
      <c r="L40" t="s">
        <v>1000</v>
      </c>
      <c r="M40" t="s">
        <v>55</v>
      </c>
      <c r="N40" t="s">
        <v>1001</v>
      </c>
    </row>
    <row r="41" spans="1:14" x14ac:dyDescent="0.3">
      <c r="A41" t="s">
        <v>39</v>
      </c>
      <c r="B41" t="s">
        <v>1068</v>
      </c>
      <c r="C41" t="s">
        <v>999</v>
      </c>
      <c r="D41">
        <v>26</v>
      </c>
      <c r="E41" t="s">
        <v>28</v>
      </c>
      <c r="F41" t="s">
        <v>29</v>
      </c>
      <c r="G41" t="s">
        <v>43</v>
      </c>
      <c r="H41" s="3">
        <v>45061</v>
      </c>
      <c r="I41">
        <v>545000</v>
      </c>
      <c r="J41">
        <v>5</v>
      </c>
      <c r="K41" t="s">
        <v>34</v>
      </c>
      <c r="L41" t="s">
        <v>1007</v>
      </c>
      <c r="M41" t="s">
        <v>47</v>
      </c>
      <c r="N41" t="s">
        <v>1001</v>
      </c>
    </row>
    <row r="42" spans="1:14" x14ac:dyDescent="0.3">
      <c r="A42" t="s">
        <v>133</v>
      </c>
      <c r="B42" t="s">
        <v>1069</v>
      </c>
      <c r="C42" t="s">
        <v>999</v>
      </c>
      <c r="D42">
        <v>27</v>
      </c>
      <c r="E42" t="s">
        <v>64</v>
      </c>
      <c r="F42" t="s">
        <v>65</v>
      </c>
      <c r="G42" t="s">
        <v>66</v>
      </c>
      <c r="H42" s="3">
        <v>45458</v>
      </c>
      <c r="I42">
        <v>650000</v>
      </c>
      <c r="J42">
        <v>6</v>
      </c>
      <c r="K42" t="s">
        <v>68</v>
      </c>
      <c r="L42" t="s">
        <v>1000</v>
      </c>
      <c r="M42" t="s">
        <v>85</v>
      </c>
      <c r="N42" t="s">
        <v>1001</v>
      </c>
    </row>
    <row r="43" spans="1:14" x14ac:dyDescent="0.3">
      <c r="A43" t="s">
        <v>72</v>
      </c>
      <c r="B43" t="s">
        <v>1070</v>
      </c>
      <c r="C43" t="s">
        <v>1003</v>
      </c>
      <c r="D43">
        <v>28</v>
      </c>
      <c r="E43" t="s">
        <v>79</v>
      </c>
      <c r="F43" t="s">
        <v>80</v>
      </c>
      <c r="G43" t="s">
        <v>74</v>
      </c>
      <c r="H43" s="3">
        <v>43296</v>
      </c>
      <c r="I43">
        <v>595000</v>
      </c>
      <c r="J43">
        <v>7</v>
      </c>
      <c r="K43" t="s">
        <v>84</v>
      </c>
      <c r="L43" t="s">
        <v>1000</v>
      </c>
      <c r="M43" t="s">
        <v>55</v>
      </c>
      <c r="N43" t="s">
        <v>1001</v>
      </c>
    </row>
    <row r="44" spans="1:14" x14ac:dyDescent="0.3">
      <c r="A44" t="s">
        <v>275</v>
      </c>
      <c r="B44" t="s">
        <v>1071</v>
      </c>
      <c r="C44" t="s">
        <v>999</v>
      </c>
      <c r="D44">
        <v>29</v>
      </c>
      <c r="E44" t="s">
        <v>112</v>
      </c>
      <c r="F44" t="s">
        <v>113</v>
      </c>
      <c r="G44" t="s">
        <v>100</v>
      </c>
      <c r="H44" s="3">
        <v>43692</v>
      </c>
      <c r="I44">
        <v>620000</v>
      </c>
      <c r="J44">
        <v>8</v>
      </c>
      <c r="K44" t="s">
        <v>114</v>
      </c>
      <c r="L44" t="s">
        <v>1000</v>
      </c>
      <c r="M44" t="s">
        <v>47</v>
      </c>
      <c r="N44" t="s">
        <v>1001</v>
      </c>
    </row>
    <row r="45" spans="1:14" x14ac:dyDescent="0.3">
      <c r="A45" t="s">
        <v>243</v>
      </c>
      <c r="B45" t="s">
        <v>1072</v>
      </c>
      <c r="C45" t="s">
        <v>1003</v>
      </c>
      <c r="D45">
        <v>30</v>
      </c>
      <c r="E45" t="s">
        <v>98</v>
      </c>
      <c r="F45" t="s">
        <v>1073</v>
      </c>
      <c r="G45" t="s">
        <v>30</v>
      </c>
      <c r="H45" s="3">
        <v>44089</v>
      </c>
      <c r="I45">
        <v>645000</v>
      </c>
      <c r="J45">
        <v>9</v>
      </c>
      <c r="K45" t="s">
        <v>101</v>
      </c>
      <c r="L45" t="s">
        <v>1000</v>
      </c>
      <c r="M45" t="s">
        <v>85</v>
      </c>
      <c r="N45" t="s">
        <v>1001</v>
      </c>
    </row>
    <row r="46" spans="1:14" x14ac:dyDescent="0.3">
      <c r="A46" t="s">
        <v>148</v>
      </c>
      <c r="B46" t="s">
        <v>1074</v>
      </c>
      <c r="C46" t="s">
        <v>999</v>
      </c>
      <c r="D46">
        <v>31</v>
      </c>
      <c r="E46" t="s">
        <v>41</v>
      </c>
      <c r="F46" t="s">
        <v>1075</v>
      </c>
      <c r="G46" t="s">
        <v>43</v>
      </c>
      <c r="H46" s="3">
        <v>44484</v>
      </c>
      <c r="I46">
        <v>670000</v>
      </c>
      <c r="J46">
        <v>10</v>
      </c>
      <c r="K46" t="s">
        <v>46</v>
      </c>
      <c r="L46" t="s">
        <v>1007</v>
      </c>
      <c r="M46" t="s">
        <v>55</v>
      </c>
      <c r="N46" t="s">
        <v>1001</v>
      </c>
    </row>
    <row r="47" spans="1:14" x14ac:dyDescent="0.3">
      <c r="A47" t="s">
        <v>192</v>
      </c>
      <c r="B47" t="s">
        <v>1076</v>
      </c>
      <c r="C47" t="s">
        <v>1003</v>
      </c>
      <c r="D47">
        <v>32</v>
      </c>
      <c r="E47" t="s">
        <v>28</v>
      </c>
      <c r="F47" t="s">
        <v>1077</v>
      </c>
      <c r="G47" t="s">
        <v>66</v>
      </c>
      <c r="H47" s="3">
        <v>44880</v>
      </c>
      <c r="I47">
        <v>695000</v>
      </c>
      <c r="J47">
        <v>11</v>
      </c>
      <c r="K47" t="s">
        <v>34</v>
      </c>
      <c r="L47" t="s">
        <v>1000</v>
      </c>
      <c r="M47" t="s">
        <v>47</v>
      </c>
      <c r="N47" t="s">
        <v>1001</v>
      </c>
    </row>
    <row r="48" spans="1:14" x14ac:dyDescent="0.3">
      <c r="A48" t="s">
        <v>154</v>
      </c>
      <c r="B48" t="s">
        <v>1078</v>
      </c>
      <c r="C48" t="s">
        <v>999</v>
      </c>
      <c r="D48">
        <v>33</v>
      </c>
      <c r="E48" t="s">
        <v>64</v>
      </c>
      <c r="F48" t="s">
        <v>1079</v>
      </c>
      <c r="G48" t="s">
        <v>74</v>
      </c>
      <c r="H48" s="3">
        <v>45275</v>
      </c>
      <c r="I48">
        <v>950000</v>
      </c>
      <c r="J48">
        <v>12</v>
      </c>
      <c r="K48" t="s">
        <v>68</v>
      </c>
      <c r="L48" t="s">
        <v>1000</v>
      </c>
      <c r="M48" t="s">
        <v>85</v>
      </c>
      <c r="N48" t="s">
        <v>1001</v>
      </c>
    </row>
    <row r="49" spans="1:14" x14ac:dyDescent="0.3">
      <c r="A49" t="s">
        <v>96</v>
      </c>
      <c r="B49" t="s">
        <v>1080</v>
      </c>
      <c r="C49" t="s">
        <v>1003</v>
      </c>
      <c r="D49">
        <v>34</v>
      </c>
      <c r="E49" t="s">
        <v>90</v>
      </c>
      <c r="F49" t="s">
        <v>1014</v>
      </c>
      <c r="G49" t="s">
        <v>100</v>
      </c>
      <c r="H49" s="3">
        <v>45306</v>
      </c>
      <c r="I49">
        <v>445000</v>
      </c>
      <c r="J49">
        <v>1</v>
      </c>
      <c r="K49" t="s">
        <v>93</v>
      </c>
      <c r="L49" t="s">
        <v>1000</v>
      </c>
      <c r="M49" t="s">
        <v>55</v>
      </c>
      <c r="N49" t="s">
        <v>1001</v>
      </c>
    </row>
    <row r="50" spans="1:14" x14ac:dyDescent="0.3">
      <c r="A50" t="s">
        <v>104</v>
      </c>
      <c r="B50" t="s">
        <v>1081</v>
      </c>
      <c r="C50" t="s">
        <v>999</v>
      </c>
      <c r="D50">
        <v>35</v>
      </c>
      <c r="E50" t="s">
        <v>79</v>
      </c>
      <c r="F50" t="s">
        <v>1018</v>
      </c>
      <c r="G50" t="s">
        <v>30</v>
      </c>
      <c r="H50" s="3">
        <v>43146</v>
      </c>
      <c r="I50">
        <v>470000</v>
      </c>
      <c r="J50">
        <v>2</v>
      </c>
      <c r="K50" t="s">
        <v>84</v>
      </c>
      <c r="L50" t="s">
        <v>1000</v>
      </c>
      <c r="M50" t="s">
        <v>47</v>
      </c>
      <c r="N50" t="s">
        <v>1001</v>
      </c>
    </row>
    <row r="51" spans="1:14" x14ac:dyDescent="0.3">
      <c r="A51" t="s">
        <v>170</v>
      </c>
      <c r="B51" t="s">
        <v>1082</v>
      </c>
      <c r="C51" t="s">
        <v>1003</v>
      </c>
      <c r="D51">
        <v>36</v>
      </c>
      <c r="E51" t="s">
        <v>41</v>
      </c>
      <c r="F51" t="s">
        <v>42</v>
      </c>
      <c r="G51" t="s">
        <v>43</v>
      </c>
      <c r="H51" s="3">
        <v>43539</v>
      </c>
      <c r="I51">
        <v>495000</v>
      </c>
      <c r="J51">
        <v>3</v>
      </c>
      <c r="K51" t="s">
        <v>46</v>
      </c>
      <c r="L51" t="s">
        <v>1007</v>
      </c>
      <c r="M51" t="s">
        <v>85</v>
      </c>
      <c r="N51" t="s">
        <v>1001</v>
      </c>
    </row>
  </sheetData>
  <conditionalFormatting sqref="E18">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578D2-5402-4C88-8AA6-63FFE1D3111A}">
  <dimension ref="A1:J8"/>
  <sheetViews>
    <sheetView zoomScale="58" workbookViewId="0">
      <selection activeCell="G1" sqref="G1"/>
    </sheetView>
  </sheetViews>
  <sheetFormatPr defaultRowHeight="14.4" x14ac:dyDescent="0.3"/>
  <cols>
    <col min="1" max="1" width="22.75" customWidth="1"/>
    <col min="2" max="2" width="19.5" customWidth="1"/>
    <col min="3" max="3" width="26.375" customWidth="1"/>
    <col min="4" max="4" width="25.375" customWidth="1"/>
    <col min="5" max="5" width="19.75" customWidth="1"/>
    <col min="6" max="6" width="23" customWidth="1"/>
    <col min="7" max="7" width="19.75" customWidth="1"/>
    <col min="8" max="8" width="14.125" customWidth="1"/>
    <col min="9" max="9" width="24" customWidth="1"/>
    <col min="10" max="10" width="28" customWidth="1"/>
  </cols>
  <sheetData>
    <row r="1" spans="1:10" x14ac:dyDescent="0.3">
      <c r="A1" t="s">
        <v>1083</v>
      </c>
      <c r="B1" t="s">
        <v>7</v>
      </c>
      <c r="C1" t="s">
        <v>1084</v>
      </c>
      <c r="D1" t="s">
        <v>1085</v>
      </c>
      <c r="E1" t="s">
        <v>1086</v>
      </c>
      <c r="F1" t="s">
        <v>1087</v>
      </c>
      <c r="G1" t="s">
        <v>1088</v>
      </c>
      <c r="H1" t="s">
        <v>1089</v>
      </c>
      <c r="I1" t="s">
        <v>1090</v>
      </c>
      <c r="J1" t="s">
        <v>1091</v>
      </c>
    </row>
    <row r="2" spans="1:10" x14ac:dyDescent="0.3">
      <c r="A2" t="s">
        <v>1092</v>
      </c>
      <c r="B2" t="s">
        <v>64</v>
      </c>
      <c r="C2" t="s">
        <v>68</v>
      </c>
      <c r="D2">
        <v>18</v>
      </c>
      <c r="E2">
        <v>85000000</v>
      </c>
      <c r="F2" t="s">
        <v>1093</v>
      </c>
      <c r="G2">
        <v>720000</v>
      </c>
      <c r="H2" t="s">
        <v>1094</v>
      </c>
      <c r="I2" t="s">
        <v>1095</v>
      </c>
      <c r="J2" t="s">
        <v>1001</v>
      </c>
    </row>
    <row r="3" spans="1:10" x14ac:dyDescent="0.3">
      <c r="A3" t="s">
        <v>1096</v>
      </c>
      <c r="B3" t="s">
        <v>90</v>
      </c>
      <c r="C3" t="s">
        <v>93</v>
      </c>
      <c r="D3">
        <v>7</v>
      </c>
      <c r="E3">
        <v>18000000</v>
      </c>
      <c r="F3" t="s">
        <v>1097</v>
      </c>
      <c r="G3">
        <v>560000</v>
      </c>
      <c r="H3" t="s">
        <v>1098</v>
      </c>
      <c r="I3" t="s">
        <v>1099</v>
      </c>
      <c r="J3" t="s">
        <v>1001</v>
      </c>
    </row>
    <row r="4" spans="1:10" x14ac:dyDescent="0.3">
      <c r="A4" t="s">
        <v>1100</v>
      </c>
      <c r="B4" t="s">
        <v>112</v>
      </c>
      <c r="C4" t="s">
        <v>114</v>
      </c>
      <c r="D4">
        <v>8</v>
      </c>
      <c r="E4">
        <v>42000000</v>
      </c>
      <c r="F4" t="s">
        <v>1101</v>
      </c>
      <c r="G4">
        <v>680000</v>
      </c>
      <c r="H4" t="s">
        <v>1094</v>
      </c>
      <c r="I4" t="s">
        <v>1102</v>
      </c>
      <c r="J4" t="s">
        <v>1001</v>
      </c>
    </row>
    <row r="5" spans="1:10" x14ac:dyDescent="0.3">
      <c r="A5" t="s">
        <v>1103</v>
      </c>
      <c r="B5" t="s">
        <v>79</v>
      </c>
      <c r="C5" t="s">
        <v>84</v>
      </c>
      <c r="D5">
        <v>6</v>
      </c>
      <c r="E5">
        <v>26000000</v>
      </c>
      <c r="F5" t="s">
        <v>1104</v>
      </c>
      <c r="G5">
        <v>640000</v>
      </c>
      <c r="H5" t="s">
        <v>1094</v>
      </c>
      <c r="I5" t="s">
        <v>1105</v>
      </c>
      <c r="J5" t="s">
        <v>1001</v>
      </c>
    </row>
    <row r="6" spans="1:10" x14ac:dyDescent="0.3">
      <c r="A6" t="s">
        <v>1106</v>
      </c>
      <c r="B6" t="s">
        <v>41</v>
      </c>
      <c r="C6" t="s">
        <v>46</v>
      </c>
      <c r="D6">
        <v>6</v>
      </c>
      <c r="E6">
        <v>34000000</v>
      </c>
      <c r="F6" t="s">
        <v>1107</v>
      </c>
      <c r="G6">
        <v>610000</v>
      </c>
      <c r="H6" t="s">
        <v>1094</v>
      </c>
      <c r="I6" t="s">
        <v>1108</v>
      </c>
      <c r="J6" t="s">
        <v>1001</v>
      </c>
    </row>
    <row r="7" spans="1:10" x14ac:dyDescent="0.3">
      <c r="A7" t="s">
        <v>1109</v>
      </c>
      <c r="B7" t="s">
        <v>98</v>
      </c>
      <c r="C7" t="s">
        <v>101</v>
      </c>
      <c r="D7">
        <v>5</v>
      </c>
      <c r="E7">
        <v>22000000</v>
      </c>
      <c r="F7" t="s">
        <v>1110</v>
      </c>
      <c r="G7">
        <v>590000</v>
      </c>
      <c r="H7" t="s">
        <v>1098</v>
      </c>
      <c r="I7" t="s">
        <v>1111</v>
      </c>
      <c r="J7" t="s">
        <v>1001</v>
      </c>
    </row>
    <row r="8" spans="1:10" x14ac:dyDescent="0.3">
      <c r="A8" t="s">
        <v>1112</v>
      </c>
      <c r="B8" t="s">
        <v>28</v>
      </c>
      <c r="C8" t="s">
        <v>34</v>
      </c>
      <c r="D8">
        <v>8</v>
      </c>
      <c r="E8">
        <v>24000000</v>
      </c>
      <c r="F8" t="s">
        <v>1113</v>
      </c>
      <c r="G8">
        <v>520000</v>
      </c>
      <c r="H8" t="s">
        <v>1094</v>
      </c>
      <c r="I8" t="s">
        <v>1114</v>
      </c>
      <c r="J8" t="s">
        <v>1001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095A-533F-41C8-9A29-A81ECF4D5D7E}">
  <dimension ref="A1:K7"/>
  <sheetViews>
    <sheetView zoomScale="52" workbookViewId="0">
      <selection activeCell="C12" sqref="C12"/>
    </sheetView>
  </sheetViews>
  <sheetFormatPr defaultRowHeight="14.4" x14ac:dyDescent="0.3"/>
  <cols>
    <col min="1" max="1" width="9.375" customWidth="1"/>
    <col min="2" max="2" width="12.625" customWidth="1"/>
    <col min="3" max="3" width="12.375" customWidth="1"/>
    <col min="4" max="4" width="21.5" customWidth="1"/>
    <col min="5" max="5" width="24.375" customWidth="1"/>
    <col min="6" max="6" width="20.125" customWidth="1"/>
    <col min="7" max="7" width="25.75" customWidth="1"/>
    <col min="8" max="8" width="20.25" customWidth="1"/>
    <col min="9" max="9" width="23.375" customWidth="1"/>
    <col min="10" max="10" width="12.625" customWidth="1"/>
    <col min="11" max="11" width="20.75" customWidth="1"/>
  </cols>
  <sheetData>
    <row r="1" spans="1:11" x14ac:dyDescent="0.3">
      <c r="A1" t="s">
        <v>1115</v>
      </c>
      <c r="B1" t="s">
        <v>1116</v>
      </c>
      <c r="C1" t="s">
        <v>11</v>
      </c>
      <c r="D1" t="s">
        <v>12</v>
      </c>
      <c r="E1" t="s">
        <v>1117</v>
      </c>
      <c r="F1" t="s">
        <v>1118</v>
      </c>
      <c r="G1" t="s">
        <v>1119</v>
      </c>
      <c r="H1" t="s">
        <v>1120</v>
      </c>
      <c r="I1" t="s">
        <v>1121</v>
      </c>
      <c r="J1" t="s">
        <v>1122</v>
      </c>
      <c r="K1" t="s">
        <v>1123</v>
      </c>
    </row>
    <row r="2" spans="1:11" x14ac:dyDescent="0.3">
      <c r="A2" t="s">
        <v>1124</v>
      </c>
      <c r="B2" t="s">
        <v>75</v>
      </c>
      <c r="C2" s="2">
        <v>0.375</v>
      </c>
      <c r="D2" s="2">
        <v>0.75</v>
      </c>
      <c r="E2">
        <v>8</v>
      </c>
      <c r="F2">
        <v>60</v>
      </c>
      <c r="G2">
        <v>8.5</v>
      </c>
      <c r="H2">
        <v>0</v>
      </c>
      <c r="I2" t="s">
        <v>1125</v>
      </c>
      <c r="J2" t="s">
        <v>103</v>
      </c>
      <c r="K2" t="s">
        <v>1001</v>
      </c>
    </row>
    <row r="3" spans="1:11" x14ac:dyDescent="0.3">
      <c r="A3" t="s">
        <v>1126</v>
      </c>
      <c r="B3" t="s">
        <v>31</v>
      </c>
      <c r="C3" s="2">
        <v>0.25</v>
      </c>
      <c r="D3" s="2">
        <v>0.625</v>
      </c>
      <c r="E3">
        <v>8</v>
      </c>
      <c r="F3">
        <v>45</v>
      </c>
      <c r="G3">
        <v>8.5</v>
      </c>
      <c r="H3">
        <v>200</v>
      </c>
      <c r="I3" t="s">
        <v>1127</v>
      </c>
      <c r="J3" t="s">
        <v>1128</v>
      </c>
      <c r="K3" t="s">
        <v>1001</v>
      </c>
    </row>
    <row r="4" spans="1:11" x14ac:dyDescent="0.3">
      <c r="A4" t="s">
        <v>1129</v>
      </c>
      <c r="B4" t="s">
        <v>54</v>
      </c>
      <c r="C4" s="2">
        <v>0.58333333333333337</v>
      </c>
      <c r="D4" s="2">
        <v>0.95833333333333337</v>
      </c>
      <c r="E4">
        <v>8</v>
      </c>
      <c r="F4">
        <v>45</v>
      </c>
      <c r="G4">
        <v>8.5</v>
      </c>
      <c r="H4">
        <v>250</v>
      </c>
      <c r="I4" t="s">
        <v>1127</v>
      </c>
      <c r="J4" t="s">
        <v>1128</v>
      </c>
      <c r="K4" t="s">
        <v>1001</v>
      </c>
    </row>
    <row r="5" spans="1:11" x14ac:dyDescent="0.3">
      <c r="A5" t="s">
        <v>1130</v>
      </c>
      <c r="B5" t="s">
        <v>81</v>
      </c>
      <c r="C5" s="2">
        <v>0.91666666666666663</v>
      </c>
      <c r="D5" s="2">
        <v>0.29166666666666669</v>
      </c>
      <c r="E5">
        <v>8</v>
      </c>
      <c r="F5">
        <v>60</v>
      </c>
      <c r="G5">
        <v>8.5</v>
      </c>
      <c r="H5">
        <v>500</v>
      </c>
      <c r="I5" t="s">
        <v>1131</v>
      </c>
      <c r="J5" t="s">
        <v>1128</v>
      </c>
      <c r="K5" t="s">
        <v>1001</v>
      </c>
    </row>
    <row r="6" spans="1:11" x14ac:dyDescent="0.3">
      <c r="A6" t="s">
        <v>1132</v>
      </c>
      <c r="B6" t="s">
        <v>44</v>
      </c>
      <c r="C6" s="2">
        <v>0.41666666666666669</v>
      </c>
      <c r="D6" s="2">
        <v>0.79166666666666663</v>
      </c>
      <c r="E6">
        <v>8</v>
      </c>
      <c r="F6">
        <v>60</v>
      </c>
      <c r="G6">
        <v>8.5</v>
      </c>
      <c r="H6">
        <v>0</v>
      </c>
      <c r="I6" t="s">
        <v>1133</v>
      </c>
      <c r="J6" t="s">
        <v>1134</v>
      </c>
      <c r="K6" t="s">
        <v>1001</v>
      </c>
    </row>
    <row r="7" spans="1:11" x14ac:dyDescent="0.3">
      <c r="A7" t="s">
        <v>1135</v>
      </c>
      <c r="B7" t="s">
        <v>1136</v>
      </c>
      <c r="C7" s="2">
        <v>0.33333333333333331</v>
      </c>
      <c r="D7" s="2">
        <v>0.70833333333333337</v>
      </c>
      <c r="E7">
        <v>8</v>
      </c>
      <c r="F7">
        <v>45</v>
      </c>
      <c r="G7">
        <v>8.5</v>
      </c>
      <c r="H7">
        <v>300</v>
      </c>
      <c r="I7" t="s">
        <v>28</v>
      </c>
      <c r="J7" t="s">
        <v>1137</v>
      </c>
      <c r="K7" t="s">
        <v>1001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B53E-55C0-466B-8572-BC0A1B51C830}">
  <dimension ref="A1:I13"/>
  <sheetViews>
    <sheetView zoomScale="65" workbookViewId="0">
      <selection activeCell="B19" sqref="B19"/>
    </sheetView>
  </sheetViews>
  <sheetFormatPr defaultRowHeight="14.4" x14ac:dyDescent="0.3"/>
  <cols>
    <col min="1" max="1" width="11.875" customWidth="1"/>
    <col min="2" max="2" width="18.75" customWidth="1"/>
    <col min="3" max="3" width="16.125" customWidth="1"/>
    <col min="4" max="4" width="12" customWidth="1"/>
    <col min="5" max="5" width="16.125" customWidth="1"/>
    <col min="6" max="6" width="17.125" customWidth="1"/>
    <col min="7" max="7" width="21.125" customWidth="1"/>
    <col min="8" max="8" width="20.5" customWidth="1"/>
    <col min="9" max="9" width="10" customWidth="1"/>
  </cols>
  <sheetData>
    <row r="1" spans="1:9" x14ac:dyDescent="0.3">
      <c r="A1" t="s">
        <v>1138</v>
      </c>
      <c r="B1" t="s">
        <v>1139</v>
      </c>
      <c r="C1" t="s">
        <v>1140</v>
      </c>
      <c r="D1" t="s">
        <v>1141</v>
      </c>
      <c r="E1" t="s">
        <v>1142</v>
      </c>
      <c r="F1" t="s">
        <v>1143</v>
      </c>
      <c r="G1" t="s">
        <v>1144</v>
      </c>
      <c r="H1" t="s">
        <v>1145</v>
      </c>
      <c r="I1" t="s">
        <v>21</v>
      </c>
    </row>
    <row r="2" spans="1:9" x14ac:dyDescent="0.3">
      <c r="A2" t="s">
        <v>1146</v>
      </c>
      <c r="B2" t="s">
        <v>1147</v>
      </c>
      <c r="C2" s="3">
        <v>45658</v>
      </c>
      <c r="D2" t="s">
        <v>51</v>
      </c>
      <c r="E2" t="s">
        <v>1148</v>
      </c>
      <c r="F2" t="s">
        <v>1149</v>
      </c>
      <c r="G2" s="4">
        <v>0</v>
      </c>
      <c r="H2" t="s">
        <v>1150</v>
      </c>
      <c r="I2" t="s">
        <v>1151</v>
      </c>
    </row>
    <row r="3" spans="1:9" x14ac:dyDescent="0.3">
      <c r="A3" t="s">
        <v>1152</v>
      </c>
      <c r="B3" t="s">
        <v>1153</v>
      </c>
      <c r="C3" s="3">
        <v>45671</v>
      </c>
      <c r="D3" t="s">
        <v>87</v>
      </c>
      <c r="E3" t="s">
        <v>1154</v>
      </c>
      <c r="F3" t="s">
        <v>1149</v>
      </c>
      <c r="G3" s="4">
        <v>0</v>
      </c>
      <c r="H3" t="s">
        <v>1155</v>
      </c>
      <c r="I3" t="s">
        <v>1156</v>
      </c>
    </row>
    <row r="4" spans="1:9" x14ac:dyDescent="0.3">
      <c r="A4" t="s">
        <v>1157</v>
      </c>
      <c r="B4" t="s">
        <v>1158</v>
      </c>
      <c r="C4" s="3">
        <v>45683</v>
      </c>
      <c r="D4" t="s">
        <v>103</v>
      </c>
      <c r="E4" t="s">
        <v>1148</v>
      </c>
      <c r="F4" t="s">
        <v>1149</v>
      </c>
      <c r="G4" s="4">
        <v>0</v>
      </c>
      <c r="H4" t="s">
        <v>1150</v>
      </c>
      <c r="I4" t="s">
        <v>1159</v>
      </c>
    </row>
    <row r="5" spans="1:9" x14ac:dyDescent="0.3">
      <c r="A5" t="s">
        <v>1160</v>
      </c>
      <c r="B5" t="s">
        <v>1161</v>
      </c>
      <c r="C5" s="3">
        <v>45714</v>
      </c>
      <c r="D5" t="s">
        <v>51</v>
      </c>
      <c r="E5" t="s">
        <v>1162</v>
      </c>
      <c r="F5" t="s">
        <v>1163</v>
      </c>
      <c r="G5" s="4">
        <v>0.85</v>
      </c>
      <c r="H5" t="s">
        <v>1150</v>
      </c>
      <c r="I5" t="s">
        <v>1164</v>
      </c>
    </row>
    <row r="6" spans="1:9" x14ac:dyDescent="0.3">
      <c r="A6" t="s">
        <v>1165</v>
      </c>
      <c r="B6" t="s">
        <v>1166</v>
      </c>
      <c r="C6" s="3">
        <v>45761</v>
      </c>
      <c r="D6" t="s">
        <v>109</v>
      </c>
      <c r="E6" t="s">
        <v>1154</v>
      </c>
      <c r="F6" t="s">
        <v>1149</v>
      </c>
      <c r="G6" s="4">
        <v>0</v>
      </c>
      <c r="H6" t="s">
        <v>1155</v>
      </c>
      <c r="I6" t="s">
        <v>1156</v>
      </c>
    </row>
    <row r="7" spans="1:9" x14ac:dyDescent="0.3">
      <c r="A7" t="s">
        <v>1167</v>
      </c>
      <c r="B7" t="s">
        <v>1168</v>
      </c>
      <c r="C7" s="3">
        <v>45765</v>
      </c>
      <c r="D7" t="s">
        <v>119</v>
      </c>
      <c r="E7" t="s">
        <v>1162</v>
      </c>
      <c r="F7" t="s">
        <v>1163</v>
      </c>
      <c r="G7" s="4">
        <v>0.8</v>
      </c>
      <c r="H7" t="s">
        <v>1150</v>
      </c>
      <c r="I7" t="s">
        <v>1169</v>
      </c>
    </row>
    <row r="8" spans="1:9" x14ac:dyDescent="0.3">
      <c r="A8" t="s">
        <v>1170</v>
      </c>
      <c r="B8" t="s">
        <v>1171</v>
      </c>
      <c r="C8" s="3">
        <v>45778</v>
      </c>
      <c r="D8" t="s">
        <v>25</v>
      </c>
      <c r="E8" t="s">
        <v>1148</v>
      </c>
      <c r="F8" t="s">
        <v>1149</v>
      </c>
      <c r="G8" s="4">
        <v>0</v>
      </c>
      <c r="H8" t="s">
        <v>1150</v>
      </c>
      <c r="I8" t="s">
        <v>1159</v>
      </c>
    </row>
    <row r="9" spans="1:9" x14ac:dyDescent="0.3">
      <c r="A9" t="s">
        <v>1172</v>
      </c>
      <c r="B9" t="s">
        <v>1173</v>
      </c>
      <c r="C9" s="3">
        <v>45815</v>
      </c>
      <c r="D9" t="s">
        <v>38</v>
      </c>
      <c r="E9" t="s">
        <v>1162</v>
      </c>
      <c r="F9" t="s">
        <v>1163</v>
      </c>
      <c r="G9" s="4">
        <v>0.75</v>
      </c>
      <c r="H9" t="s">
        <v>1150</v>
      </c>
      <c r="I9" t="s">
        <v>1164</v>
      </c>
    </row>
    <row r="10" spans="1:9" x14ac:dyDescent="0.3">
      <c r="A10" t="s">
        <v>1174</v>
      </c>
      <c r="B10" t="s">
        <v>1175</v>
      </c>
      <c r="C10" s="3">
        <v>45884</v>
      </c>
      <c r="D10" t="s">
        <v>119</v>
      </c>
      <c r="E10" t="s">
        <v>1148</v>
      </c>
      <c r="F10" t="s">
        <v>1149</v>
      </c>
      <c r="G10" s="4">
        <v>0</v>
      </c>
      <c r="H10" t="s">
        <v>1150</v>
      </c>
      <c r="I10" t="s">
        <v>1159</v>
      </c>
    </row>
    <row r="11" spans="1:9" x14ac:dyDescent="0.3">
      <c r="A11" t="s">
        <v>1176</v>
      </c>
      <c r="B11" t="s">
        <v>1177</v>
      </c>
      <c r="C11" s="3">
        <v>45932</v>
      </c>
      <c r="D11" t="s">
        <v>25</v>
      </c>
      <c r="E11" t="s">
        <v>1148</v>
      </c>
      <c r="F11" t="s">
        <v>1149</v>
      </c>
      <c r="G11" s="4">
        <v>0</v>
      </c>
      <c r="H11" t="s">
        <v>1150</v>
      </c>
      <c r="I11" t="s">
        <v>1159</v>
      </c>
    </row>
    <row r="12" spans="1:9" x14ac:dyDescent="0.3">
      <c r="A12" t="s">
        <v>1178</v>
      </c>
      <c r="B12" t="s">
        <v>1179</v>
      </c>
      <c r="C12" s="3">
        <v>45950</v>
      </c>
      <c r="D12" t="s">
        <v>109</v>
      </c>
      <c r="E12" t="s">
        <v>1154</v>
      </c>
      <c r="F12" t="s">
        <v>1149</v>
      </c>
      <c r="G12" s="4">
        <v>0</v>
      </c>
      <c r="H12" t="s">
        <v>1150</v>
      </c>
      <c r="I12" t="s">
        <v>1180</v>
      </c>
    </row>
    <row r="13" spans="1:9" x14ac:dyDescent="0.3">
      <c r="A13" t="s">
        <v>1181</v>
      </c>
      <c r="B13" t="s">
        <v>1182</v>
      </c>
      <c r="C13" s="3">
        <v>46016</v>
      </c>
      <c r="D13" t="s">
        <v>25</v>
      </c>
      <c r="E13" t="s">
        <v>1154</v>
      </c>
      <c r="F13" t="s">
        <v>1149</v>
      </c>
      <c r="G13" s="4">
        <v>0</v>
      </c>
      <c r="H13" t="s">
        <v>1150</v>
      </c>
      <c r="I13" t="s">
        <v>1183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2AF71-AC1F-43DC-BF68-BD723B8E40C4}">
  <dimension ref="A1:AM809"/>
  <sheetViews>
    <sheetView topLeftCell="E1" zoomScale="66" workbookViewId="0">
      <pane ySplit="1" topLeftCell="A656" activePane="bottomLeft" state="frozen"/>
      <selection pane="bottomLeft" activeCell="P748" sqref="P748"/>
    </sheetView>
  </sheetViews>
  <sheetFormatPr defaultRowHeight="14.4" x14ac:dyDescent="0.3"/>
  <cols>
    <col min="2" max="2" width="26.125" customWidth="1"/>
    <col min="6" max="6" width="21.125" customWidth="1"/>
    <col min="7" max="7" width="25.25" customWidth="1"/>
    <col min="8" max="8" width="19.5" customWidth="1"/>
    <col min="9" max="9" width="18.25" customWidth="1"/>
    <col min="10" max="10" width="10.5" customWidth="1"/>
    <col min="11" max="11" width="13.375" customWidth="1"/>
    <col min="12" max="12" width="14" customWidth="1"/>
    <col min="13" max="13" width="15.125" customWidth="1"/>
    <col min="14" max="14" width="17.5" customWidth="1"/>
    <col min="15" max="15" width="18.25" customWidth="1"/>
    <col min="16" max="16" width="20.125" customWidth="1"/>
    <col min="17" max="17" width="14.25" customWidth="1"/>
    <col min="20" max="20" width="12.5" customWidth="1"/>
    <col min="21" max="21" width="14.625" customWidth="1"/>
    <col min="22" max="22" width="18.125" customWidth="1"/>
    <col min="23" max="23" width="23.125" customWidth="1"/>
    <col min="24" max="24" width="14.125" customWidth="1"/>
    <col min="25" max="29" width="21.25" customWidth="1"/>
    <col min="30" max="30" width="25.75" customWidth="1"/>
    <col min="31" max="31" width="24.375" customWidth="1"/>
    <col min="32" max="32" width="35.75" customWidth="1"/>
    <col min="33" max="33" width="22.625" customWidth="1"/>
    <col min="34" max="35" width="21.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1184</v>
      </c>
      <c r="X1" t="s">
        <v>991</v>
      </c>
      <c r="Y1" t="s">
        <v>993</v>
      </c>
      <c r="Z1" t="s">
        <v>1187</v>
      </c>
      <c r="AA1" t="s">
        <v>1087</v>
      </c>
      <c r="AB1" t="s">
        <v>1188</v>
      </c>
      <c r="AC1" t="s">
        <v>1089</v>
      </c>
      <c r="AD1" t="s">
        <v>1090</v>
      </c>
      <c r="AE1" t="s">
        <v>1185</v>
      </c>
      <c r="AF1" t="s">
        <v>1186</v>
      </c>
      <c r="AG1" t="s">
        <v>1117</v>
      </c>
      <c r="AH1" t="s">
        <v>1139</v>
      </c>
      <c r="AI1" t="s">
        <v>1142</v>
      </c>
    </row>
    <row r="2" spans="1:39" x14ac:dyDescent="0.3">
      <c r="A2" t="s">
        <v>22</v>
      </c>
      <c r="B2" s="1">
        <v>45827</v>
      </c>
      <c r="C2" t="s">
        <v>23</v>
      </c>
      <c r="D2" t="s">
        <v>24</v>
      </c>
      <c r="E2" t="s">
        <v>25</v>
      </c>
      <c r="F2" t="s">
        <v>26</v>
      </c>
      <c r="G2" t="s">
        <v>27</v>
      </c>
      <c r="H2" t="s">
        <v>28</v>
      </c>
      <c r="I2" t="s">
        <v>29</v>
      </c>
      <c r="J2" t="s">
        <v>30</v>
      </c>
      <c r="K2" t="s">
        <v>31</v>
      </c>
      <c r="L2" s="2">
        <v>0.375</v>
      </c>
      <c r="M2" s="2">
        <v>0.75</v>
      </c>
      <c r="N2">
        <v>8</v>
      </c>
      <c r="O2">
        <v>0</v>
      </c>
      <c r="P2" t="s">
        <v>32</v>
      </c>
      <c r="R2">
        <v>4</v>
      </c>
      <c r="S2" t="s">
        <v>33</v>
      </c>
      <c r="T2" t="s">
        <v>34</v>
      </c>
      <c r="U2" t="str">
        <f>_xlfn.XLOOKUP(tblMaster[[#This Row],[Employee_ID]],tblEmployee[Employee_ID],tblEmployee[Work_Mode]," ")</f>
        <v>Remote</v>
      </c>
      <c r="V2" t="s">
        <v>35</v>
      </c>
      <c r="W2">
        <f>_xlfn.XLOOKUP(F2,tblEmployee[Employee_ID],tblEmployee[Age],"Not Found")</f>
        <v>36</v>
      </c>
      <c r="X2" t="str">
        <f>_xlfn.XLOOKUP(F2,tblEmployee[Employee_ID],tblEmployee[Gender],"Not Found")</f>
        <v>Female</v>
      </c>
      <c r="Y2">
        <f>_xlfn.XLOOKUP(F2,tblEmployee[Employee_ID],tblEmployee[Joining_Date],"")</f>
        <v>43174</v>
      </c>
      <c r="Z2">
        <f>_xlfn.XLOOKUP(H2,tblDepartment[Department],tblDepartment[Annual_Budget_INR],"")</f>
        <v>24000000</v>
      </c>
      <c r="AA2" t="str">
        <f>_xlfn.XLOOKUP(H2,tblDepartment[Department],tblDepartment[Monthly_Target],"")</f>
        <v>90% Customer Satisfaction</v>
      </c>
      <c r="AB2">
        <f>_xlfn.XLOOKUP(H2,tblDepartment[Department],tblDepartment[Average_Salary_INR],"")</f>
        <v>520000</v>
      </c>
      <c r="AC2" t="str">
        <f>_xlfn.XLOOKUP(H2,tblDepartment[Department],tblDepartment[Priority_Level],"")</f>
        <v>High</v>
      </c>
      <c r="AD2" t="str">
        <f>_xlfn.XLOOKUP(H2,tblDepartment[Department],tblDepartment[Key_KPI],"")</f>
        <v>Customer Satisfaction</v>
      </c>
      <c r="AE2">
        <f>_xlfn.XLOOKUP(tblMaster[[#This Row],[Shift]],tblShift[Shift_Name],tblShift[Login_Time],"")</f>
        <v>0.25</v>
      </c>
      <c r="AF2">
        <f>_xlfn.XLOOKUP(tblMaster[[#This Row],[Shift]],tblShift[Shift_Name],tblShift[Logout_Time]," ")</f>
        <v>0.625</v>
      </c>
      <c r="AG2">
        <f>_xlfn.XLOOKUP(tblMaster[[#This Row],[Shift]],tblShift[Shift_Name],tblShift[Standard_Working_Hours],"")</f>
        <v>8</v>
      </c>
      <c r="AH2" t="str">
        <f>_xlfn.XLOOKUP(tblMaster[[#This Row],[Attendance_Date]],tblHoliday[Holiday_Date],tblHoliday[Holiday_Name],"Working Day")</f>
        <v>Working Day</v>
      </c>
      <c r="AI2" t="str">
        <f>_xlfn.XLOOKUP(tblMaster[[#This Row],[Attendance_Date]],tblHoliday[Holiday_Date],tblHoliday[Holiday_Type],"Working Day ")</f>
        <v xml:space="preserve">Working Day </v>
      </c>
    </row>
    <row r="3" spans="1:39" hidden="1" x14ac:dyDescent="0.3">
      <c r="A3" t="s">
        <v>36</v>
      </c>
      <c r="B3" s="3">
        <v>45766</v>
      </c>
      <c r="C3" t="s">
        <v>37</v>
      </c>
      <c r="D3" t="s">
        <v>24</v>
      </c>
      <c r="E3" t="s">
        <v>38</v>
      </c>
      <c r="F3" t="s">
        <v>39</v>
      </c>
      <c r="G3" t="s">
        <v>40</v>
      </c>
      <c r="H3" t="s">
        <v>41</v>
      </c>
      <c r="I3" t="s">
        <v>42</v>
      </c>
      <c r="J3" t="s">
        <v>43</v>
      </c>
      <c r="K3" t="s">
        <v>44</v>
      </c>
      <c r="L3" s="2">
        <v>0.375</v>
      </c>
      <c r="M3" s="2">
        <v>0.75</v>
      </c>
      <c r="N3">
        <v>8</v>
      </c>
      <c r="O3">
        <v>0</v>
      </c>
      <c r="P3" t="s">
        <v>32</v>
      </c>
      <c r="R3">
        <v>5</v>
      </c>
      <c r="S3" t="s">
        <v>45</v>
      </c>
      <c r="T3" t="s">
        <v>46</v>
      </c>
      <c r="U3" t="s">
        <v>47</v>
      </c>
      <c r="W3">
        <f>_xlfn.XLOOKUP(F3,tblEmployee[Employee_ID],tblEmployee[Age],"Not Found")</f>
        <v>26</v>
      </c>
      <c r="X3" t="str">
        <f>_xlfn.XLOOKUP(F3,tblEmployee[Employee_ID],tblEmployee[Gender],"Not Found")</f>
        <v>Male</v>
      </c>
      <c r="Y3">
        <f>_xlfn.XLOOKUP(F3,tblEmployee[Employee_ID],tblEmployee[Joining_Date],"")</f>
        <v>45061</v>
      </c>
      <c r="Z3">
        <f>_xlfn.XLOOKUP(H3,tblDepartment[Department],tblDepartment[Annual_Budget_INR],"")</f>
        <v>34000000</v>
      </c>
      <c r="AA3" t="str">
        <f>_xlfn.XLOOKUP(H3,tblDepartment[Department],tblDepartment[Monthly_Target],"")</f>
        <v>95% Process Efficiency</v>
      </c>
      <c r="AB3">
        <f>_xlfn.XLOOKUP(H3,tblDepartment[Department],tblDepartment[Average_Salary_INR],"")</f>
        <v>610000</v>
      </c>
      <c r="AC3" t="str">
        <f>_xlfn.XLOOKUP(H3,tblDepartment[Department],tblDepartment[Priority_Level],"")</f>
        <v>High</v>
      </c>
      <c r="AD3" t="str">
        <f>_xlfn.XLOOKUP(H3,tblDepartment[Department],tblDepartment[Key_KPI],"")</f>
        <v>Operational Efficiency</v>
      </c>
      <c r="AE3">
        <f>_xlfn.XLOOKUP(tblMaster[[#This Row],[Shift]],tblShift[Shift_Name],tblShift[Login_Time],"")</f>
        <v>0.41666666666666669</v>
      </c>
      <c r="AF3">
        <f>_xlfn.XLOOKUP(tblMaster[[#This Row],[Shift]],tblShift[Shift_Name],tblShift[Logout_Time]," ")</f>
        <v>0.79166666666666663</v>
      </c>
      <c r="AG3">
        <f>_xlfn.XLOOKUP(tblMaster[[#This Row],[Shift]],tblShift[Shift_Name],tblShift[Standard_Working_Hours],"")</f>
        <v>8</v>
      </c>
      <c r="AH3" t="str">
        <f>_xlfn.XLOOKUP(tblMaster[[#This Row],[Attendance_Date]],tblHoliday[Holiday_Date],tblHoliday[Holiday_Name],"Working Day")</f>
        <v>Working Day</v>
      </c>
      <c r="AI3" t="str">
        <f>_xlfn.XLOOKUP(tblMaster[[#This Row],[Attendance_Date]],tblHoliday[Holiday_Date],tblHoliday[Holiday_Type],"Working Day ")</f>
        <v xml:space="preserve">Working Day </v>
      </c>
    </row>
    <row r="4" spans="1:39" hidden="1" x14ac:dyDescent="0.3">
      <c r="A4" t="s">
        <v>48</v>
      </c>
      <c r="B4" s="1">
        <v>45658</v>
      </c>
      <c r="C4" t="s">
        <v>49</v>
      </c>
      <c r="D4" t="s">
        <v>50</v>
      </c>
      <c r="E4" t="s">
        <v>51</v>
      </c>
      <c r="F4" t="s">
        <v>52</v>
      </c>
      <c r="G4" t="s">
        <v>53</v>
      </c>
      <c r="H4" t="s">
        <v>41</v>
      </c>
      <c r="I4" t="s">
        <v>42</v>
      </c>
      <c r="J4" t="s">
        <v>43</v>
      </c>
      <c r="K4" t="s">
        <v>54</v>
      </c>
      <c r="L4" s="2">
        <v>0.375</v>
      </c>
      <c r="M4" s="2">
        <v>0.75</v>
      </c>
      <c r="N4">
        <v>8</v>
      </c>
      <c r="O4">
        <v>0</v>
      </c>
      <c r="P4" t="s">
        <v>32</v>
      </c>
      <c r="R4">
        <v>4</v>
      </c>
      <c r="S4" t="s">
        <v>45</v>
      </c>
      <c r="T4" t="s">
        <v>46</v>
      </c>
      <c r="U4" t="s">
        <v>55</v>
      </c>
      <c r="W4">
        <f>_xlfn.XLOOKUP(F4,tblEmployee[Employee_ID],tblEmployee[Age],"Not Found")</f>
        <v>27</v>
      </c>
      <c r="X4" t="str">
        <f>_xlfn.XLOOKUP(F4,tblEmployee[Employee_ID],tblEmployee[Gender],"Not Found")</f>
        <v>Male</v>
      </c>
      <c r="Y4">
        <f>_xlfn.XLOOKUP(F4,tblEmployee[Employee_ID],tblEmployee[Joining_Date],"")</f>
        <v>45092</v>
      </c>
      <c r="Z4">
        <f>_xlfn.XLOOKUP(H4,tblDepartment[Department],tblDepartment[Annual_Budget_INR],"")</f>
        <v>34000000</v>
      </c>
      <c r="AA4" t="str">
        <f>_xlfn.XLOOKUP(H4,tblDepartment[Department],tblDepartment[Monthly_Target],"")</f>
        <v>95% Process Efficiency</v>
      </c>
      <c r="AB4">
        <f>_xlfn.XLOOKUP(H4,tblDepartment[Department],tblDepartment[Average_Salary_INR],"")</f>
        <v>610000</v>
      </c>
      <c r="AC4" t="str">
        <f>_xlfn.XLOOKUP(H4,tblDepartment[Department],tblDepartment[Priority_Level],"")</f>
        <v>High</v>
      </c>
      <c r="AD4" t="str">
        <f>_xlfn.XLOOKUP(H4,tblDepartment[Department],tblDepartment[Key_KPI],"")</f>
        <v>Operational Efficiency</v>
      </c>
      <c r="AE4">
        <f>_xlfn.XLOOKUP(tblMaster[[#This Row],[Shift]],tblShift[Shift_Name],tblShift[Login_Time],"")</f>
        <v>0.58333333333333337</v>
      </c>
      <c r="AF4">
        <f>_xlfn.XLOOKUP(tblMaster[[#This Row],[Shift]],tblShift[Shift_Name],tblShift[Logout_Time]," ")</f>
        <v>0.95833333333333337</v>
      </c>
      <c r="AG4">
        <f>_xlfn.XLOOKUP(tblMaster[[#This Row],[Shift]],tblShift[Shift_Name],tblShift[Standard_Working_Hours],"")</f>
        <v>8</v>
      </c>
      <c r="AH4" t="str">
        <f>_xlfn.XLOOKUP(tblMaster[[#This Row],[Attendance_Date]],tblHoliday[Holiday_Date],tblHoliday[Holiday_Name],"Working Day")</f>
        <v>New Year's Day</v>
      </c>
      <c r="AI4" t="str">
        <f>_xlfn.XLOOKUP(tblMaster[[#This Row],[Attendance_Date]],tblHoliday[Holiday_Date],tblHoliday[Holiday_Type],"Working Day ")</f>
        <v>National</v>
      </c>
    </row>
    <row r="5" spans="1:39" hidden="1" x14ac:dyDescent="0.3">
      <c r="A5" t="s">
        <v>56</v>
      </c>
      <c r="B5" s="1">
        <v>45780</v>
      </c>
      <c r="C5" t="s">
        <v>57</v>
      </c>
      <c r="D5" t="s">
        <v>24</v>
      </c>
      <c r="E5" t="s">
        <v>38</v>
      </c>
      <c r="F5" t="s">
        <v>58</v>
      </c>
      <c r="G5" t="s">
        <v>59</v>
      </c>
      <c r="H5" t="s">
        <v>41</v>
      </c>
      <c r="I5" t="s">
        <v>42</v>
      </c>
      <c r="J5" t="s">
        <v>30</v>
      </c>
      <c r="K5" t="s">
        <v>54</v>
      </c>
      <c r="L5" s="2">
        <v>0.375</v>
      </c>
      <c r="M5" s="2">
        <v>0.75</v>
      </c>
      <c r="N5">
        <v>8</v>
      </c>
      <c r="O5">
        <v>0</v>
      </c>
      <c r="P5" t="s">
        <v>32</v>
      </c>
      <c r="S5" t="s">
        <v>45</v>
      </c>
      <c r="T5" t="s">
        <v>46</v>
      </c>
      <c r="U5" t="s">
        <v>47</v>
      </c>
      <c r="V5" t="s">
        <v>60</v>
      </c>
      <c r="W5">
        <f>_xlfn.XLOOKUP(F5,tblEmployee[Employee_ID],tblEmployee[Age],"Not Found")</f>
        <v>23</v>
      </c>
      <c r="X5" t="str">
        <f>_xlfn.XLOOKUP(F5,tblEmployee[Employee_ID],tblEmployee[Gender],"Not Found")</f>
        <v>Female</v>
      </c>
      <c r="Y5">
        <f>_xlfn.XLOOKUP(F5,tblEmployee[Employee_ID],tblEmployee[Joining_Date],"")</f>
        <v>45153</v>
      </c>
      <c r="Z5">
        <f>_xlfn.XLOOKUP(H5,tblDepartment[Department],tblDepartment[Annual_Budget_INR],"")</f>
        <v>34000000</v>
      </c>
      <c r="AA5" t="str">
        <f>_xlfn.XLOOKUP(H5,tblDepartment[Department],tblDepartment[Monthly_Target],"")</f>
        <v>95% Process Efficiency</v>
      </c>
      <c r="AB5">
        <f>_xlfn.XLOOKUP(H5,tblDepartment[Department],tblDepartment[Average_Salary_INR],"")</f>
        <v>610000</v>
      </c>
      <c r="AC5" t="str">
        <f>_xlfn.XLOOKUP(H5,tblDepartment[Department],tblDepartment[Priority_Level],"")</f>
        <v>High</v>
      </c>
      <c r="AD5" t="str">
        <f>_xlfn.XLOOKUP(H5,tblDepartment[Department],tblDepartment[Key_KPI],"")</f>
        <v>Operational Efficiency</v>
      </c>
      <c r="AE5">
        <f>_xlfn.XLOOKUP(tblMaster[[#This Row],[Shift]],tblShift[Shift_Name],tblShift[Login_Time],"")</f>
        <v>0.58333333333333337</v>
      </c>
      <c r="AF5">
        <f>_xlfn.XLOOKUP(tblMaster[[#This Row],[Shift]],tblShift[Shift_Name],tblShift[Logout_Time]," ")</f>
        <v>0.95833333333333337</v>
      </c>
      <c r="AG5">
        <f>_xlfn.XLOOKUP(tblMaster[[#This Row],[Shift]],tblShift[Shift_Name],tblShift[Standard_Working_Hours],"")</f>
        <v>8</v>
      </c>
      <c r="AH5" t="str">
        <f>_xlfn.XLOOKUP(tblMaster[[#This Row],[Attendance_Date]],tblHoliday[Holiday_Date],tblHoliday[Holiday_Name],"Working Day")</f>
        <v>Working Day</v>
      </c>
      <c r="AI5" t="str">
        <f>_xlfn.XLOOKUP(tblMaster[[#This Row],[Attendance_Date]],tblHoliday[Holiday_Date],tblHoliday[Holiday_Type],"Working Day ")</f>
        <v xml:space="preserve">Working Day </v>
      </c>
    </row>
    <row r="6" spans="1:39" x14ac:dyDescent="0.3">
      <c r="A6" t="s">
        <v>61</v>
      </c>
      <c r="B6" s="3">
        <v>45658</v>
      </c>
      <c r="C6" t="s">
        <v>49</v>
      </c>
      <c r="D6" t="s">
        <v>50</v>
      </c>
      <c r="E6" t="s">
        <v>51</v>
      </c>
      <c r="F6" t="s">
        <v>62</v>
      </c>
      <c r="G6" t="s">
        <v>63</v>
      </c>
      <c r="H6" t="s">
        <v>64</v>
      </c>
      <c r="I6" t="s">
        <v>65</v>
      </c>
      <c r="J6" t="s">
        <v>66</v>
      </c>
      <c r="K6" t="s">
        <v>31</v>
      </c>
      <c r="L6" s="2">
        <v>0.375</v>
      </c>
      <c r="M6" s="2">
        <v>0.75</v>
      </c>
      <c r="N6">
        <v>9</v>
      </c>
      <c r="O6">
        <v>1</v>
      </c>
      <c r="P6" t="s">
        <v>32</v>
      </c>
      <c r="R6">
        <v>4</v>
      </c>
      <c r="S6" t="s">
        <v>67</v>
      </c>
      <c r="T6" t="s">
        <v>68</v>
      </c>
      <c r="U6" t="str">
        <f>_xlfn.XLOOKUP(tblMaster[[#This Row],[Employee_ID]],tblEmployee[Employee_ID],tblEmployee[Work_Mode]," ")</f>
        <v>Hybrid</v>
      </c>
      <c r="V6" t="s">
        <v>69</v>
      </c>
      <c r="W6">
        <f>_xlfn.XLOOKUP(F6,tblEmployee[Employee_ID],tblEmployee[Age],"Not Found")</f>
        <v>23</v>
      </c>
      <c r="X6" t="str">
        <f>_xlfn.XLOOKUP(F6,tblEmployee[Employee_ID],tblEmployee[Gender],"Not Found")</f>
        <v>Male</v>
      </c>
      <c r="Y6">
        <f>_xlfn.XLOOKUP(F6,tblEmployee[Employee_ID],tblEmployee[Joining_Date],"")</f>
        <v>43511</v>
      </c>
      <c r="Z6">
        <f>_xlfn.XLOOKUP(H6,tblDepartment[Department],tblDepartment[Annual_Budget_INR],"")</f>
        <v>85000000</v>
      </c>
      <c r="AA6" t="str">
        <f>_xlfn.XLOOKUP(H6,tblDepartment[Department],tblDepartment[Monthly_Target],"")</f>
        <v>99.5% System Uptime</v>
      </c>
      <c r="AB6">
        <f>_xlfn.XLOOKUP(H6,tblDepartment[Department],tblDepartment[Average_Salary_INR],"")</f>
        <v>720000</v>
      </c>
      <c r="AC6" t="str">
        <f>_xlfn.XLOOKUP(H6,tblDepartment[Department],tblDepartment[Priority_Level],"")</f>
        <v>High</v>
      </c>
      <c r="AD6" t="str">
        <f>_xlfn.XLOOKUP(H6,tblDepartment[Department],tblDepartment[Key_KPI],"")</f>
        <v>Project Delivery</v>
      </c>
      <c r="AE6">
        <f>_xlfn.XLOOKUP(tblMaster[[#This Row],[Shift]],tblShift[Shift_Name],tblShift[Login_Time],"")</f>
        <v>0.25</v>
      </c>
      <c r="AF6">
        <f>_xlfn.XLOOKUP(tblMaster[[#This Row],[Shift]],tblShift[Shift_Name],tblShift[Logout_Time]," ")</f>
        <v>0.625</v>
      </c>
      <c r="AG6">
        <f>_xlfn.XLOOKUP(tblMaster[[#This Row],[Shift]],tblShift[Shift_Name],tblShift[Standard_Working_Hours],"")</f>
        <v>8</v>
      </c>
      <c r="AH6" t="str">
        <f>_xlfn.XLOOKUP(tblMaster[[#This Row],[Attendance_Date]],tblHoliday[Holiday_Date],tblHoliday[Holiday_Name],"Working Day")</f>
        <v>New Year's Day</v>
      </c>
      <c r="AI6" t="str">
        <f>_xlfn.XLOOKUP(tblMaster[[#This Row],[Attendance_Date]],tblHoliday[Holiday_Date],tblHoliday[Holiday_Type],"Working Day ")</f>
        <v>National</v>
      </c>
    </row>
    <row r="7" spans="1:39" hidden="1" x14ac:dyDescent="0.3">
      <c r="A7" t="s">
        <v>70</v>
      </c>
      <c r="B7" s="3">
        <v>45722</v>
      </c>
      <c r="C7" t="s">
        <v>71</v>
      </c>
      <c r="D7" t="s">
        <v>50</v>
      </c>
      <c r="E7" t="s">
        <v>25</v>
      </c>
      <c r="F7" t="s">
        <v>72</v>
      </c>
      <c r="G7" t="s">
        <v>73</v>
      </c>
      <c r="H7" t="s">
        <v>28</v>
      </c>
      <c r="I7" t="s">
        <v>29</v>
      </c>
      <c r="J7" t="s">
        <v>74</v>
      </c>
      <c r="K7" t="s">
        <v>75</v>
      </c>
      <c r="L7" s="2">
        <v>0.375</v>
      </c>
      <c r="M7" s="2">
        <v>0.75</v>
      </c>
      <c r="N7">
        <v>8</v>
      </c>
      <c r="O7">
        <v>0</v>
      </c>
      <c r="P7" t="s">
        <v>32</v>
      </c>
      <c r="R7">
        <v>5</v>
      </c>
      <c r="S7" t="s">
        <v>67</v>
      </c>
      <c r="T7" t="s">
        <v>34</v>
      </c>
      <c r="U7" t="s">
        <v>55</v>
      </c>
      <c r="W7">
        <f>_xlfn.XLOOKUP(F7,tblEmployee[Employee_ID],tblEmployee[Age],"Not Found")</f>
        <v>28</v>
      </c>
      <c r="X7" t="str">
        <f>_xlfn.XLOOKUP(F7,tblEmployee[Employee_ID],tblEmployee[Gender],"Not Found")</f>
        <v>Female</v>
      </c>
      <c r="Y7">
        <f>_xlfn.XLOOKUP(F7,tblEmployee[Employee_ID],tblEmployee[Joining_Date],"")</f>
        <v>43296</v>
      </c>
      <c r="Z7">
        <f>_xlfn.XLOOKUP(H7,tblDepartment[Department],tblDepartment[Annual_Budget_INR],"")</f>
        <v>24000000</v>
      </c>
      <c r="AA7" t="str">
        <f>_xlfn.XLOOKUP(H7,tblDepartment[Department],tblDepartment[Monthly_Target],"")</f>
        <v>90% Customer Satisfaction</v>
      </c>
      <c r="AB7">
        <f>_xlfn.XLOOKUP(H7,tblDepartment[Department],tblDepartment[Average_Salary_INR],"")</f>
        <v>520000</v>
      </c>
      <c r="AC7" t="str">
        <f>_xlfn.XLOOKUP(H7,tblDepartment[Department],tblDepartment[Priority_Level],"")</f>
        <v>High</v>
      </c>
      <c r="AD7" t="str">
        <f>_xlfn.XLOOKUP(H7,tblDepartment[Department],tblDepartment[Key_KPI],"")</f>
        <v>Customer Satisfaction</v>
      </c>
      <c r="AE7">
        <f>_xlfn.XLOOKUP(tblMaster[[#This Row],[Shift]],tblShift[Shift_Name],tblShift[Login_Time],"")</f>
        <v>0.375</v>
      </c>
      <c r="AF7">
        <f>_xlfn.XLOOKUP(tblMaster[[#This Row],[Shift]],tblShift[Shift_Name],tblShift[Logout_Time]," ")</f>
        <v>0.75</v>
      </c>
      <c r="AG7">
        <f>_xlfn.XLOOKUP(tblMaster[[#This Row],[Shift]],tblShift[Shift_Name],tblShift[Standard_Working_Hours],"")</f>
        <v>8</v>
      </c>
      <c r="AH7" t="str">
        <f>_xlfn.XLOOKUP(tblMaster[[#This Row],[Attendance_Date]],tblHoliday[Holiday_Date],tblHoliday[Holiday_Name],"Working Day")</f>
        <v>Working Day</v>
      </c>
      <c r="AI7" t="str">
        <f>_xlfn.XLOOKUP(tblMaster[[#This Row],[Attendance_Date]],tblHoliday[Holiday_Date],tblHoliday[Holiday_Type],"Working Day ")</f>
        <v xml:space="preserve">Working Day </v>
      </c>
    </row>
    <row r="8" spans="1:39" hidden="1" x14ac:dyDescent="0.3">
      <c r="A8" t="s">
        <v>76</v>
      </c>
      <c r="B8" s="3">
        <v>45687</v>
      </c>
      <c r="C8" t="s">
        <v>49</v>
      </c>
      <c r="D8" t="s">
        <v>50</v>
      </c>
      <c r="E8" t="s">
        <v>25</v>
      </c>
      <c r="F8" t="s">
        <v>77</v>
      </c>
      <c r="G8" t="s">
        <v>78</v>
      </c>
      <c r="H8" t="s">
        <v>79</v>
      </c>
      <c r="I8" t="s">
        <v>80</v>
      </c>
      <c r="J8" t="s">
        <v>30</v>
      </c>
      <c r="K8" t="s">
        <v>81</v>
      </c>
      <c r="P8" t="s">
        <v>82</v>
      </c>
      <c r="Q8" t="s">
        <v>83</v>
      </c>
      <c r="S8" t="s">
        <v>45</v>
      </c>
      <c r="T8" t="s">
        <v>84</v>
      </c>
      <c r="U8" t="s">
        <v>85</v>
      </c>
      <c r="W8">
        <f>_xlfn.XLOOKUP(F8,tblEmployee[Employee_ID],tblEmployee[Age],"Not Found")</f>
        <v>26</v>
      </c>
      <c r="X8" t="str">
        <f>_xlfn.XLOOKUP(F8,tblEmployee[Employee_ID],tblEmployee[Gender],"Not Found")</f>
        <v>Female</v>
      </c>
      <c r="Y8">
        <f>_xlfn.XLOOKUP(F8,tblEmployee[Employee_ID],tblEmployee[Joining_Date],"")</f>
        <v>44696</v>
      </c>
      <c r="Z8">
        <f>_xlfn.XLOOKUP(H8,tblDepartment[Department],tblDepartment[Annual_Budget_INR],"")</f>
        <v>26000000</v>
      </c>
      <c r="AA8" t="str">
        <f>_xlfn.XLOOKUP(H8,tblDepartment[Department],tblDepartment[Monthly_Target],"")</f>
        <v>100% Payroll Accuracy</v>
      </c>
      <c r="AB8">
        <f>_xlfn.XLOOKUP(H8,tblDepartment[Department],tblDepartment[Average_Salary_INR],"")</f>
        <v>640000</v>
      </c>
      <c r="AC8" t="str">
        <f>_xlfn.XLOOKUP(H8,tblDepartment[Department],tblDepartment[Priority_Level],"")</f>
        <v>High</v>
      </c>
      <c r="AD8" t="str">
        <f>_xlfn.XLOOKUP(H8,tblDepartment[Department],tblDepartment[Key_KPI],"")</f>
        <v>Financial Compliance</v>
      </c>
      <c r="AE8">
        <f>_xlfn.XLOOKUP(tblMaster[[#This Row],[Shift]],tblShift[Shift_Name],tblShift[Login_Time],"")</f>
        <v>0.91666666666666663</v>
      </c>
      <c r="AF8">
        <f>_xlfn.XLOOKUP(tblMaster[[#This Row],[Shift]],tblShift[Shift_Name],tblShift[Logout_Time]," ")</f>
        <v>0.29166666666666669</v>
      </c>
      <c r="AG8">
        <f>_xlfn.XLOOKUP(tblMaster[[#This Row],[Shift]],tblShift[Shift_Name],tblShift[Standard_Working_Hours],"")</f>
        <v>8</v>
      </c>
      <c r="AH8" t="str">
        <f>_xlfn.XLOOKUP(tblMaster[[#This Row],[Attendance_Date]],tblHoliday[Holiday_Date],tblHoliday[Holiday_Name],"Working Day")</f>
        <v>Working Day</v>
      </c>
      <c r="AI8" t="str">
        <f>_xlfn.XLOOKUP(tblMaster[[#This Row],[Attendance_Date]],tblHoliday[Holiday_Date],tblHoliday[Holiday_Type],"Working Day ")</f>
        <v xml:space="preserve">Working Day </v>
      </c>
      <c r="AM8">
        <f>2+2</f>
        <v>4</v>
      </c>
    </row>
    <row r="9" spans="1:39" x14ac:dyDescent="0.3">
      <c r="A9" t="s">
        <v>86</v>
      </c>
      <c r="B9" s="3">
        <v>45832</v>
      </c>
      <c r="C9" t="s">
        <v>23</v>
      </c>
      <c r="D9" t="s">
        <v>24</v>
      </c>
      <c r="E9" t="s">
        <v>87</v>
      </c>
      <c r="F9" t="s">
        <v>88</v>
      </c>
      <c r="G9" t="s">
        <v>89</v>
      </c>
      <c r="H9" t="s">
        <v>90</v>
      </c>
      <c r="I9" t="s">
        <v>91</v>
      </c>
      <c r="J9" t="s">
        <v>43</v>
      </c>
      <c r="K9" t="s">
        <v>31</v>
      </c>
      <c r="L9" s="2">
        <v>0.375</v>
      </c>
      <c r="M9" s="2">
        <v>0.75</v>
      </c>
      <c r="N9">
        <v>8</v>
      </c>
      <c r="O9">
        <v>0</v>
      </c>
      <c r="P9" t="s">
        <v>32</v>
      </c>
      <c r="R9">
        <v>4</v>
      </c>
      <c r="S9" t="s">
        <v>92</v>
      </c>
      <c r="T9" t="s">
        <v>93</v>
      </c>
      <c r="U9" t="str">
        <f>_xlfn.XLOOKUP(tblMaster[[#This Row],[Employee_ID]],tblEmployee[Employee_ID],tblEmployee[Work_Mode]," ")</f>
        <v>Office</v>
      </c>
      <c r="V9" t="s">
        <v>35</v>
      </c>
      <c r="W9">
        <f>_xlfn.XLOOKUP(F9,tblEmployee[Employee_ID],tblEmployee[Age],"Not Found")</f>
        <v>34</v>
      </c>
      <c r="X9" t="str">
        <f>_xlfn.XLOOKUP(F9,tblEmployee[Employee_ID],tblEmployee[Gender],"Not Found")</f>
        <v>Female</v>
      </c>
      <c r="Y9">
        <f>_xlfn.XLOOKUP(F9,tblEmployee[Employee_ID],tblEmployee[Joining_Date],"")</f>
        <v>44027</v>
      </c>
      <c r="Z9">
        <f>_xlfn.XLOOKUP(H9,tblDepartment[Department],tblDepartment[Annual_Budget_INR],"")</f>
        <v>18000000</v>
      </c>
      <c r="AA9" t="str">
        <f>_xlfn.XLOOKUP(H9,tblDepartment[Department],tblDepartment[Monthly_Target],"")</f>
        <v>&lt;30 Days Hiring Cycle</v>
      </c>
      <c r="AB9">
        <f>_xlfn.XLOOKUP(H9,tblDepartment[Department],tblDepartment[Average_Salary_INR],"")</f>
        <v>560000</v>
      </c>
      <c r="AC9" t="str">
        <f>_xlfn.XLOOKUP(H9,tblDepartment[Department],tblDepartment[Priority_Level],"")</f>
        <v>Medium</v>
      </c>
      <c r="AD9" t="str">
        <f>_xlfn.XLOOKUP(H9,tblDepartment[Department],tblDepartment[Key_KPI],"")</f>
        <v>Hiring &amp; Retention</v>
      </c>
      <c r="AE9">
        <f>_xlfn.XLOOKUP(tblMaster[[#This Row],[Shift]],tblShift[Shift_Name],tblShift[Login_Time],"")</f>
        <v>0.25</v>
      </c>
      <c r="AF9">
        <f>_xlfn.XLOOKUP(tblMaster[[#This Row],[Shift]],tblShift[Shift_Name],tblShift[Logout_Time]," ")</f>
        <v>0.625</v>
      </c>
      <c r="AG9">
        <f>_xlfn.XLOOKUP(tblMaster[[#This Row],[Shift]],tblShift[Shift_Name],tblShift[Standard_Working_Hours],"")</f>
        <v>8</v>
      </c>
      <c r="AH9" t="str">
        <f>_xlfn.XLOOKUP(tblMaster[[#This Row],[Attendance_Date]],tblHoliday[Holiday_Date],tblHoliday[Holiday_Name],"Working Day")</f>
        <v>Working Day</v>
      </c>
      <c r="AI9" t="str">
        <f>_xlfn.XLOOKUP(tblMaster[[#This Row],[Attendance_Date]],tblHoliday[Holiday_Date],tblHoliday[Holiday_Type],"Working Day ")</f>
        <v xml:space="preserve">Working Day </v>
      </c>
    </row>
    <row r="10" spans="1:39" hidden="1" x14ac:dyDescent="0.3">
      <c r="A10" t="s">
        <v>94</v>
      </c>
      <c r="B10" s="3">
        <v>45693</v>
      </c>
      <c r="C10" t="s">
        <v>95</v>
      </c>
      <c r="D10" t="s">
        <v>50</v>
      </c>
      <c r="E10" t="s">
        <v>51</v>
      </c>
      <c r="F10" t="s">
        <v>96</v>
      </c>
      <c r="G10" t="s">
        <v>97</v>
      </c>
      <c r="H10" t="s">
        <v>98</v>
      </c>
      <c r="I10" t="s">
        <v>99</v>
      </c>
      <c r="J10" t="s">
        <v>100</v>
      </c>
      <c r="K10" t="s">
        <v>44</v>
      </c>
      <c r="L10" s="2">
        <v>0.375</v>
      </c>
      <c r="M10" s="2">
        <v>0.75</v>
      </c>
      <c r="N10">
        <v>8</v>
      </c>
      <c r="O10">
        <v>0</v>
      </c>
      <c r="P10" t="s">
        <v>32</v>
      </c>
      <c r="R10">
        <v>4</v>
      </c>
      <c r="S10" t="s">
        <v>33</v>
      </c>
      <c r="T10" t="s">
        <v>101</v>
      </c>
      <c r="U10" t="s">
        <v>47</v>
      </c>
      <c r="W10">
        <f>_xlfn.XLOOKUP(F10,tblEmployee[Employee_ID],tblEmployee[Age],"Not Found")</f>
        <v>34</v>
      </c>
      <c r="X10" t="str">
        <f>_xlfn.XLOOKUP(F10,tblEmployee[Employee_ID],tblEmployee[Gender],"Not Found")</f>
        <v>Female</v>
      </c>
      <c r="Y10">
        <f>_xlfn.XLOOKUP(F10,tblEmployee[Employee_ID],tblEmployee[Joining_Date],"")</f>
        <v>45306</v>
      </c>
      <c r="Z10">
        <f>_xlfn.XLOOKUP(H10,tblDepartment[Department],tblDepartment[Annual_Budget_INR],"")</f>
        <v>22000000</v>
      </c>
      <c r="AA10" t="str">
        <f>_xlfn.XLOOKUP(H10,tblDepartment[Department],tblDepartment[Monthly_Target],"")</f>
        <v>2500 Qualified Leads</v>
      </c>
      <c r="AB10">
        <f>_xlfn.XLOOKUP(H10,tblDepartment[Department],tblDepartment[Average_Salary_INR],"")</f>
        <v>590000</v>
      </c>
      <c r="AC10" t="str">
        <f>_xlfn.XLOOKUP(H10,tblDepartment[Department],tblDepartment[Priority_Level],"")</f>
        <v>Medium</v>
      </c>
      <c r="AD10" t="str">
        <f>_xlfn.XLOOKUP(H10,tblDepartment[Department],tblDepartment[Key_KPI],"")</f>
        <v>Lead Generation</v>
      </c>
      <c r="AE10">
        <f>_xlfn.XLOOKUP(tblMaster[[#This Row],[Shift]],tblShift[Shift_Name],tblShift[Login_Time],"")</f>
        <v>0.41666666666666669</v>
      </c>
      <c r="AF10">
        <f>_xlfn.XLOOKUP(tblMaster[[#This Row],[Shift]],tblShift[Shift_Name],tblShift[Logout_Time]," ")</f>
        <v>0.79166666666666663</v>
      </c>
      <c r="AG10">
        <f>_xlfn.XLOOKUP(tblMaster[[#This Row],[Shift]],tblShift[Shift_Name],tblShift[Standard_Working_Hours],"")</f>
        <v>8</v>
      </c>
      <c r="AH10" t="str">
        <f>_xlfn.XLOOKUP(tblMaster[[#This Row],[Attendance_Date]],tblHoliday[Holiday_Date],tblHoliday[Holiday_Name],"Working Day")</f>
        <v>Working Day</v>
      </c>
      <c r="AI10" t="str">
        <f>_xlfn.XLOOKUP(tblMaster[[#This Row],[Attendance_Date]],tblHoliday[Holiday_Date],tblHoliday[Holiday_Type],"Working Day ")</f>
        <v xml:space="preserve">Working Day </v>
      </c>
    </row>
    <row r="11" spans="1:39" hidden="1" x14ac:dyDescent="0.3">
      <c r="A11" t="s">
        <v>102</v>
      </c>
      <c r="B11" s="3">
        <v>45753</v>
      </c>
      <c r="C11" t="s">
        <v>37</v>
      </c>
      <c r="D11" t="s">
        <v>24</v>
      </c>
      <c r="E11" t="s">
        <v>103</v>
      </c>
      <c r="F11" t="s">
        <v>104</v>
      </c>
      <c r="G11" t="s">
        <v>105</v>
      </c>
      <c r="H11" t="s">
        <v>28</v>
      </c>
      <c r="I11" t="s">
        <v>29</v>
      </c>
      <c r="J11" t="s">
        <v>30</v>
      </c>
      <c r="K11" t="s">
        <v>75</v>
      </c>
      <c r="L11" s="2">
        <v>0.375</v>
      </c>
      <c r="M11" s="2">
        <v>0.75</v>
      </c>
      <c r="N11">
        <v>8</v>
      </c>
      <c r="O11">
        <v>0</v>
      </c>
      <c r="P11" t="s">
        <v>32</v>
      </c>
      <c r="R11">
        <v>4</v>
      </c>
      <c r="S11" t="s">
        <v>67</v>
      </c>
      <c r="T11" t="s">
        <v>34</v>
      </c>
      <c r="U11" t="s">
        <v>47</v>
      </c>
      <c r="V11" t="s">
        <v>69</v>
      </c>
      <c r="W11">
        <f>_xlfn.XLOOKUP(F11,tblEmployee[Employee_ID],tblEmployee[Age],"Not Found")</f>
        <v>35</v>
      </c>
      <c r="X11" t="str">
        <f>_xlfn.XLOOKUP(F11,tblEmployee[Employee_ID],tblEmployee[Gender],"Not Found")</f>
        <v>Male</v>
      </c>
      <c r="Y11">
        <f>_xlfn.XLOOKUP(F11,tblEmployee[Employee_ID],tblEmployee[Joining_Date],"")</f>
        <v>43146</v>
      </c>
      <c r="Z11">
        <f>_xlfn.XLOOKUP(H11,tblDepartment[Department],tblDepartment[Annual_Budget_INR],"")</f>
        <v>24000000</v>
      </c>
      <c r="AA11" t="str">
        <f>_xlfn.XLOOKUP(H11,tblDepartment[Department],tblDepartment[Monthly_Target],"")</f>
        <v>90% Customer Satisfaction</v>
      </c>
      <c r="AB11">
        <f>_xlfn.XLOOKUP(H11,tblDepartment[Department],tblDepartment[Average_Salary_INR],"")</f>
        <v>520000</v>
      </c>
      <c r="AC11" t="str">
        <f>_xlfn.XLOOKUP(H11,tblDepartment[Department],tblDepartment[Priority_Level],"")</f>
        <v>High</v>
      </c>
      <c r="AD11" t="str">
        <f>_xlfn.XLOOKUP(H11,tblDepartment[Department],tblDepartment[Key_KPI],"")</f>
        <v>Customer Satisfaction</v>
      </c>
      <c r="AE11">
        <f>_xlfn.XLOOKUP(tblMaster[[#This Row],[Shift]],tblShift[Shift_Name],tblShift[Login_Time],"")</f>
        <v>0.375</v>
      </c>
      <c r="AF11">
        <f>_xlfn.XLOOKUP(tblMaster[[#This Row],[Shift]],tblShift[Shift_Name],tblShift[Logout_Time]," ")</f>
        <v>0.75</v>
      </c>
      <c r="AG11">
        <f>_xlfn.XLOOKUP(tblMaster[[#This Row],[Shift]],tblShift[Shift_Name],tblShift[Standard_Working_Hours],"")</f>
        <v>8</v>
      </c>
      <c r="AH11" t="str">
        <f>_xlfn.XLOOKUP(tblMaster[[#This Row],[Attendance_Date]],tblHoliday[Holiday_Date],tblHoliday[Holiday_Name],"Working Day")</f>
        <v>Working Day</v>
      </c>
      <c r="AI11" t="str">
        <f>_xlfn.XLOOKUP(tblMaster[[#This Row],[Attendance_Date]],tblHoliday[Holiday_Date],tblHoliday[Holiday_Type],"Working Day ")</f>
        <v xml:space="preserve">Working Day </v>
      </c>
    </row>
    <row r="12" spans="1:39" hidden="1" x14ac:dyDescent="0.3">
      <c r="A12" t="s">
        <v>106</v>
      </c>
      <c r="B12" s="1">
        <v>45727</v>
      </c>
      <c r="C12" t="s">
        <v>71</v>
      </c>
      <c r="D12" t="s">
        <v>50</v>
      </c>
      <c r="E12" t="s">
        <v>87</v>
      </c>
      <c r="F12" t="s">
        <v>26</v>
      </c>
      <c r="G12" t="s">
        <v>27</v>
      </c>
      <c r="H12" t="s">
        <v>107</v>
      </c>
      <c r="I12" t="s">
        <v>29</v>
      </c>
      <c r="J12" t="s">
        <v>30</v>
      </c>
      <c r="K12" t="s">
        <v>81</v>
      </c>
      <c r="L12" s="2">
        <v>0.91666666666666663</v>
      </c>
      <c r="M12" s="2">
        <v>0.29166666666666669</v>
      </c>
      <c r="N12">
        <v>9.5</v>
      </c>
      <c r="O12">
        <v>1.5</v>
      </c>
      <c r="P12" t="s">
        <v>32</v>
      </c>
      <c r="R12">
        <v>3</v>
      </c>
      <c r="S12" t="s">
        <v>45</v>
      </c>
      <c r="T12" t="s">
        <v>34</v>
      </c>
      <c r="U12" t="s">
        <v>85</v>
      </c>
      <c r="V12" t="s">
        <v>35</v>
      </c>
      <c r="W12">
        <f>_xlfn.XLOOKUP(F12,tblEmployee[Employee_ID],tblEmployee[Age],"Not Found")</f>
        <v>36</v>
      </c>
      <c r="X12" t="str">
        <f>_xlfn.XLOOKUP(F12,tblEmployee[Employee_ID],tblEmployee[Gender],"Not Found")</f>
        <v>Female</v>
      </c>
      <c r="Y12">
        <f>_xlfn.XLOOKUP(F12,tblEmployee[Employee_ID],tblEmployee[Joining_Date],"")</f>
        <v>43174</v>
      </c>
      <c r="Z12">
        <f>_xlfn.XLOOKUP(H12,tblDepartment[Department],tblDepartment[Annual_Budget_INR],"")</f>
        <v>24000000</v>
      </c>
      <c r="AA12" t="str">
        <f>_xlfn.XLOOKUP(H12,tblDepartment[Department],tblDepartment[Monthly_Target],"")</f>
        <v>90% Customer Satisfaction</v>
      </c>
      <c r="AB12">
        <f>_xlfn.XLOOKUP(H12,tblDepartment[Department],tblDepartment[Average_Salary_INR],"")</f>
        <v>520000</v>
      </c>
      <c r="AC12" t="str">
        <f>_xlfn.XLOOKUP(H12,tblDepartment[Department],tblDepartment[Priority_Level],"")</f>
        <v>High</v>
      </c>
      <c r="AD12" t="str">
        <f>_xlfn.XLOOKUP(H12,tblDepartment[Department],tblDepartment[Key_KPI],"")</f>
        <v>Customer Satisfaction</v>
      </c>
      <c r="AE12">
        <f>_xlfn.XLOOKUP(tblMaster[[#This Row],[Shift]],tblShift[Shift_Name],tblShift[Login_Time],"")</f>
        <v>0.91666666666666663</v>
      </c>
      <c r="AF12">
        <f>_xlfn.XLOOKUP(tblMaster[[#This Row],[Shift]],tblShift[Shift_Name],tblShift[Logout_Time]," ")</f>
        <v>0.29166666666666669</v>
      </c>
      <c r="AG12">
        <f>_xlfn.XLOOKUP(tblMaster[[#This Row],[Shift]],tblShift[Shift_Name],tblShift[Standard_Working_Hours],"")</f>
        <v>8</v>
      </c>
      <c r="AH12" t="str">
        <f>_xlfn.XLOOKUP(tblMaster[[#This Row],[Attendance_Date]],tblHoliday[Holiday_Date],tblHoliday[Holiday_Name],"Working Day")</f>
        <v>Working Day</v>
      </c>
      <c r="AI12" t="str">
        <f>_xlfn.XLOOKUP(tblMaster[[#This Row],[Attendance_Date]],tblHoliday[Holiday_Date],tblHoliday[Holiday_Type],"Working Day ")</f>
        <v xml:space="preserve">Working Day </v>
      </c>
    </row>
    <row r="13" spans="1:39" hidden="1" x14ac:dyDescent="0.3">
      <c r="A13" t="s">
        <v>108</v>
      </c>
      <c r="B13" s="1">
        <v>45768</v>
      </c>
      <c r="C13" t="s">
        <v>37</v>
      </c>
      <c r="D13" t="s">
        <v>24</v>
      </c>
      <c r="E13" t="s">
        <v>109</v>
      </c>
      <c r="F13" t="s">
        <v>110</v>
      </c>
      <c r="G13" t="s">
        <v>111</v>
      </c>
      <c r="H13" t="s">
        <v>112</v>
      </c>
      <c r="I13" t="s">
        <v>113</v>
      </c>
      <c r="J13" t="s">
        <v>43</v>
      </c>
      <c r="K13" t="s">
        <v>31</v>
      </c>
      <c r="L13" s="2">
        <v>0.38194444444444442</v>
      </c>
      <c r="M13" s="2">
        <v>0.75</v>
      </c>
      <c r="N13">
        <v>8</v>
      </c>
      <c r="O13">
        <v>0</v>
      </c>
      <c r="P13" t="s">
        <v>32</v>
      </c>
      <c r="R13">
        <v>4</v>
      </c>
      <c r="S13" t="s">
        <v>92</v>
      </c>
      <c r="T13" t="s">
        <v>114</v>
      </c>
      <c r="U13" t="s">
        <v>47</v>
      </c>
      <c r="V13" t="s">
        <v>69</v>
      </c>
      <c r="W13">
        <f>_xlfn.XLOOKUP(F13,tblEmployee[Employee_ID],tblEmployee[Age],"Not Found")</f>
        <v>32</v>
      </c>
      <c r="X13" t="str">
        <f>_xlfn.XLOOKUP(F13,tblEmployee[Employee_ID],tblEmployee[Gender],"Not Found")</f>
        <v>Female</v>
      </c>
      <c r="Y13">
        <f>_xlfn.XLOOKUP(F13,tblEmployee[Employee_ID],tblEmployee[Joining_Date],"")</f>
        <v>44515</v>
      </c>
      <c r="Z13">
        <f>_xlfn.XLOOKUP(H13,tblDepartment[Department],tblDepartment[Annual_Budget_INR],"")</f>
        <v>42000000</v>
      </c>
      <c r="AA13" t="str">
        <f>_xlfn.XLOOKUP(H13,tblDepartment[Department],tblDepartment[Monthly_Target],"")</f>
        <v>₹2.5 Cr Monthly Sales</v>
      </c>
      <c r="AB13">
        <f>_xlfn.XLOOKUP(H13,tblDepartment[Department],tblDepartment[Average_Salary_INR],"")</f>
        <v>680000</v>
      </c>
      <c r="AC13" t="str">
        <f>_xlfn.XLOOKUP(H13,tblDepartment[Department],tblDepartment[Priority_Level],"")</f>
        <v>High</v>
      </c>
      <c r="AD13" t="str">
        <f>_xlfn.XLOOKUP(H13,tblDepartment[Department],tblDepartment[Key_KPI],"")</f>
        <v>Revenue Achievement</v>
      </c>
      <c r="AE13">
        <f>_xlfn.XLOOKUP(tblMaster[[#This Row],[Shift]],tblShift[Shift_Name],tblShift[Login_Time],"")</f>
        <v>0.25</v>
      </c>
      <c r="AF13">
        <f>_xlfn.XLOOKUP(tblMaster[[#This Row],[Shift]],tblShift[Shift_Name],tblShift[Logout_Time]," ")</f>
        <v>0.625</v>
      </c>
      <c r="AG13">
        <f>_xlfn.XLOOKUP(tblMaster[[#This Row],[Shift]],tblShift[Shift_Name],tblShift[Standard_Working_Hours],"")</f>
        <v>8</v>
      </c>
      <c r="AH13" t="str">
        <f>_xlfn.XLOOKUP(tblMaster[[#This Row],[Attendance_Date]],tblHoliday[Holiday_Date],tblHoliday[Holiday_Name],"Working Day")</f>
        <v>Working Day</v>
      </c>
      <c r="AI13" t="str">
        <f>_xlfn.XLOOKUP(tblMaster[[#This Row],[Attendance_Date]],tblHoliday[Holiday_Date],tblHoliday[Holiday_Type],"Working Day ")</f>
        <v xml:space="preserve">Working Day </v>
      </c>
    </row>
    <row r="14" spans="1:39" x14ac:dyDescent="0.3">
      <c r="A14" t="s">
        <v>115</v>
      </c>
      <c r="B14" s="3">
        <v>45790</v>
      </c>
      <c r="C14" t="s">
        <v>57</v>
      </c>
      <c r="D14" t="s">
        <v>24</v>
      </c>
      <c r="E14" t="s">
        <v>87</v>
      </c>
      <c r="F14" t="s">
        <v>116</v>
      </c>
      <c r="G14" t="s">
        <v>117</v>
      </c>
      <c r="H14" t="s">
        <v>112</v>
      </c>
      <c r="I14" t="s">
        <v>113</v>
      </c>
      <c r="J14" t="s">
        <v>100</v>
      </c>
      <c r="K14" t="s">
        <v>75</v>
      </c>
      <c r="L14" s="2">
        <v>0.38194444444444442</v>
      </c>
      <c r="M14" s="2">
        <v>0.75</v>
      </c>
      <c r="N14">
        <v>8</v>
      </c>
      <c r="O14">
        <v>0</v>
      </c>
      <c r="P14" t="s">
        <v>32</v>
      </c>
      <c r="R14">
        <v>4</v>
      </c>
      <c r="S14" t="s">
        <v>45</v>
      </c>
      <c r="T14" t="s">
        <v>114</v>
      </c>
      <c r="U14" t="str">
        <f>_xlfn.XLOOKUP(tblMaster[[#This Row],[Employee_ID]],tblEmployee[Employee_ID],tblEmployee[Work_Mode]," ")</f>
        <v>Remote</v>
      </c>
      <c r="W14">
        <f>_xlfn.XLOOKUP(F14,tblEmployee[Employee_ID],tblEmployee[Age],"Not Found")</f>
        <v>24</v>
      </c>
      <c r="X14" t="str">
        <f>_xlfn.XLOOKUP(F14,tblEmployee[Employee_ID],tblEmployee[Gender],"Not Found")</f>
        <v>Male</v>
      </c>
      <c r="Y14">
        <f>_xlfn.XLOOKUP(F14,tblEmployee[Employee_ID],tblEmployee[Joining_Date],"")</f>
        <v>44270</v>
      </c>
      <c r="Z14">
        <f>_xlfn.XLOOKUP(H14,tblDepartment[Department],tblDepartment[Annual_Budget_INR],"")</f>
        <v>42000000</v>
      </c>
      <c r="AA14" t="str">
        <f>_xlfn.XLOOKUP(H14,tblDepartment[Department],tblDepartment[Monthly_Target],"")</f>
        <v>₹2.5 Cr Monthly Sales</v>
      </c>
      <c r="AB14">
        <f>_xlfn.XLOOKUP(H14,tblDepartment[Department],tblDepartment[Average_Salary_INR],"")</f>
        <v>680000</v>
      </c>
      <c r="AC14" t="str">
        <f>_xlfn.XLOOKUP(H14,tblDepartment[Department],tblDepartment[Priority_Level],"")</f>
        <v>High</v>
      </c>
      <c r="AD14" t="str">
        <f>_xlfn.XLOOKUP(H14,tblDepartment[Department],tblDepartment[Key_KPI],"")</f>
        <v>Revenue Achievement</v>
      </c>
      <c r="AE14">
        <f>_xlfn.XLOOKUP(tblMaster[[#This Row],[Shift]],tblShift[Shift_Name],tblShift[Login_Time],"")</f>
        <v>0.375</v>
      </c>
      <c r="AF14">
        <f>_xlfn.XLOOKUP(tblMaster[[#This Row],[Shift]],tblShift[Shift_Name],tblShift[Logout_Time]," ")</f>
        <v>0.75</v>
      </c>
      <c r="AG14">
        <f>_xlfn.XLOOKUP(tblMaster[[#This Row],[Shift]],tblShift[Shift_Name],tblShift[Standard_Working_Hours],"")</f>
        <v>8</v>
      </c>
      <c r="AH14" t="str">
        <f>_xlfn.XLOOKUP(tblMaster[[#This Row],[Attendance_Date]],tblHoliday[Holiday_Date],tblHoliday[Holiday_Name],"Working Day")</f>
        <v>Working Day</v>
      </c>
      <c r="AI14" t="str">
        <f>_xlfn.XLOOKUP(tblMaster[[#This Row],[Attendance_Date]],tblHoliday[Holiday_Date],tblHoliday[Holiday_Type],"Working Day ")</f>
        <v xml:space="preserve">Working Day </v>
      </c>
    </row>
    <row r="15" spans="1:39" hidden="1" x14ac:dyDescent="0.3">
      <c r="A15" t="s">
        <v>118</v>
      </c>
      <c r="B15" s="3">
        <v>45730</v>
      </c>
      <c r="C15" t="s">
        <v>71</v>
      </c>
      <c r="D15" t="s">
        <v>50</v>
      </c>
      <c r="E15" t="s">
        <v>119</v>
      </c>
      <c r="F15" t="s">
        <v>120</v>
      </c>
      <c r="G15" t="s">
        <v>121</v>
      </c>
      <c r="H15" t="s">
        <v>41</v>
      </c>
      <c r="I15" t="s">
        <v>42</v>
      </c>
      <c r="J15" t="s">
        <v>74</v>
      </c>
      <c r="K15" t="s">
        <v>81</v>
      </c>
      <c r="P15" t="s">
        <v>82</v>
      </c>
      <c r="Q15" t="s">
        <v>122</v>
      </c>
      <c r="S15" t="s">
        <v>33</v>
      </c>
      <c r="T15" t="s">
        <v>46</v>
      </c>
      <c r="U15" t="s">
        <v>85</v>
      </c>
      <c r="V15" t="s">
        <v>69</v>
      </c>
      <c r="W15">
        <f>_xlfn.XLOOKUP(F15,tblEmployee[Employee_ID],tblEmployee[Age],"Not Found")</f>
        <v>34</v>
      </c>
      <c r="X15" t="str">
        <f>_xlfn.XLOOKUP(F15,tblEmployee[Employee_ID],tblEmployee[Gender],"Not Found")</f>
        <v>Female</v>
      </c>
      <c r="Y15">
        <f>_xlfn.XLOOKUP(F15,tblEmployee[Employee_ID],tblEmployee[Joining_Date],"")</f>
        <v>44941</v>
      </c>
      <c r="Z15">
        <f>_xlfn.XLOOKUP(H15,tblDepartment[Department],tblDepartment[Annual_Budget_INR],"")</f>
        <v>34000000</v>
      </c>
      <c r="AA15" t="str">
        <f>_xlfn.XLOOKUP(H15,tblDepartment[Department],tblDepartment[Monthly_Target],"")</f>
        <v>95% Process Efficiency</v>
      </c>
      <c r="AB15">
        <f>_xlfn.XLOOKUP(H15,tblDepartment[Department],tblDepartment[Average_Salary_INR],"")</f>
        <v>610000</v>
      </c>
      <c r="AC15" t="str">
        <f>_xlfn.XLOOKUP(H15,tblDepartment[Department],tblDepartment[Priority_Level],"")</f>
        <v>High</v>
      </c>
      <c r="AD15" t="str">
        <f>_xlfn.XLOOKUP(H15,tblDepartment[Department],tblDepartment[Key_KPI],"")</f>
        <v>Operational Efficiency</v>
      </c>
      <c r="AE15">
        <f>_xlfn.XLOOKUP(tblMaster[[#This Row],[Shift]],tblShift[Shift_Name],tblShift[Login_Time],"")</f>
        <v>0.91666666666666663</v>
      </c>
      <c r="AF15">
        <f>_xlfn.XLOOKUP(tblMaster[[#This Row],[Shift]],tblShift[Shift_Name],tblShift[Logout_Time]," ")</f>
        <v>0.29166666666666669</v>
      </c>
      <c r="AG15">
        <f>_xlfn.XLOOKUP(tblMaster[[#This Row],[Shift]],tblShift[Shift_Name],tblShift[Standard_Working_Hours],"")</f>
        <v>8</v>
      </c>
      <c r="AH15" t="str">
        <f>_xlfn.XLOOKUP(tblMaster[[#This Row],[Attendance_Date]],tblHoliday[Holiday_Date],tblHoliday[Holiday_Name],"Working Day")</f>
        <v>Working Day</v>
      </c>
      <c r="AI15" t="str">
        <f>_xlfn.XLOOKUP(tblMaster[[#This Row],[Attendance_Date]],tblHoliday[Holiday_Date],tblHoliday[Holiday_Type],"Working Day ")</f>
        <v xml:space="preserve">Working Day </v>
      </c>
    </row>
    <row r="16" spans="1:39" hidden="1" x14ac:dyDescent="0.3">
      <c r="A16" t="s">
        <v>123</v>
      </c>
      <c r="B16" s="3">
        <v>45681</v>
      </c>
      <c r="C16" t="s">
        <v>49</v>
      </c>
      <c r="D16" t="s">
        <v>50</v>
      </c>
      <c r="E16" t="s">
        <v>119</v>
      </c>
      <c r="F16" t="s">
        <v>124</v>
      </c>
      <c r="G16" t="s">
        <v>125</v>
      </c>
      <c r="H16" t="s">
        <v>28</v>
      </c>
      <c r="I16" t="s">
        <v>29</v>
      </c>
      <c r="J16" t="s">
        <v>66</v>
      </c>
      <c r="K16" t="s">
        <v>44</v>
      </c>
      <c r="L16" s="2">
        <v>0.375</v>
      </c>
      <c r="M16" s="2">
        <v>0.75</v>
      </c>
      <c r="N16">
        <v>8</v>
      </c>
      <c r="O16">
        <v>0</v>
      </c>
      <c r="P16" t="s">
        <v>32</v>
      </c>
      <c r="S16" t="s">
        <v>45</v>
      </c>
      <c r="T16" t="s">
        <v>34</v>
      </c>
      <c r="U16" t="s">
        <v>47</v>
      </c>
      <c r="V16" t="s">
        <v>60</v>
      </c>
      <c r="W16">
        <f>_xlfn.XLOOKUP(F16,tblEmployee[Employee_ID],tblEmployee[Age],"Not Found")</f>
        <v>25</v>
      </c>
      <c r="X16" t="str">
        <f>_xlfn.XLOOKUP(F16,tblEmployee[Employee_ID],tblEmployee[Gender],"Not Found")</f>
        <v>Male</v>
      </c>
      <c r="Y16">
        <f>_xlfn.XLOOKUP(F16,tblEmployee[Employee_ID],tblEmployee[Joining_Date],"")</f>
        <v>43388</v>
      </c>
      <c r="Z16">
        <f>_xlfn.XLOOKUP(H16,tblDepartment[Department],tblDepartment[Annual_Budget_INR],"")</f>
        <v>24000000</v>
      </c>
      <c r="AA16" t="str">
        <f>_xlfn.XLOOKUP(H16,tblDepartment[Department],tblDepartment[Monthly_Target],"")</f>
        <v>90% Customer Satisfaction</v>
      </c>
      <c r="AB16">
        <f>_xlfn.XLOOKUP(H16,tblDepartment[Department],tblDepartment[Average_Salary_INR],"")</f>
        <v>520000</v>
      </c>
      <c r="AC16" t="str">
        <f>_xlfn.XLOOKUP(H16,tblDepartment[Department],tblDepartment[Priority_Level],"")</f>
        <v>High</v>
      </c>
      <c r="AD16" t="str">
        <f>_xlfn.XLOOKUP(H16,tblDepartment[Department],tblDepartment[Key_KPI],"")</f>
        <v>Customer Satisfaction</v>
      </c>
      <c r="AE16">
        <f>_xlfn.XLOOKUP(tblMaster[[#This Row],[Shift]],tblShift[Shift_Name],tblShift[Login_Time],"")</f>
        <v>0.41666666666666669</v>
      </c>
      <c r="AF16">
        <f>_xlfn.XLOOKUP(tblMaster[[#This Row],[Shift]],tblShift[Shift_Name],tblShift[Logout_Time]," ")</f>
        <v>0.79166666666666663</v>
      </c>
      <c r="AG16">
        <f>_xlfn.XLOOKUP(tblMaster[[#This Row],[Shift]],tblShift[Shift_Name],tblShift[Standard_Working_Hours],"")</f>
        <v>8</v>
      </c>
      <c r="AH16" t="str">
        <f>_xlfn.XLOOKUP(tblMaster[[#This Row],[Attendance_Date]],tblHoliday[Holiday_Date],tblHoliday[Holiday_Name],"Working Day")</f>
        <v>Working Day</v>
      </c>
      <c r="AI16" t="str">
        <f>_xlfn.XLOOKUP(tblMaster[[#This Row],[Attendance_Date]],tblHoliday[Holiday_Date],tblHoliday[Holiday_Type],"Working Day ")</f>
        <v xml:space="preserve">Working Day </v>
      </c>
    </row>
    <row r="17" spans="1:35" hidden="1" x14ac:dyDescent="0.3">
      <c r="A17" t="s">
        <v>126</v>
      </c>
      <c r="B17" s="3">
        <v>45808</v>
      </c>
      <c r="C17" t="s">
        <v>57</v>
      </c>
      <c r="D17" t="s">
        <v>24</v>
      </c>
      <c r="E17" t="s">
        <v>38</v>
      </c>
      <c r="F17" t="s">
        <v>127</v>
      </c>
      <c r="G17" t="s">
        <v>128</v>
      </c>
      <c r="H17" t="s">
        <v>90</v>
      </c>
      <c r="I17" t="s">
        <v>91</v>
      </c>
      <c r="J17" t="s">
        <v>66</v>
      </c>
      <c r="K17" t="s">
        <v>44</v>
      </c>
      <c r="L17" s="2">
        <v>0.375</v>
      </c>
      <c r="M17" s="2">
        <v>0.75</v>
      </c>
      <c r="N17">
        <v>8</v>
      </c>
      <c r="O17">
        <v>0</v>
      </c>
      <c r="P17" t="s">
        <v>32</v>
      </c>
      <c r="S17" t="s">
        <v>45</v>
      </c>
      <c r="T17" t="s">
        <v>93</v>
      </c>
      <c r="U17" t="s">
        <v>55</v>
      </c>
      <c r="V17" t="s">
        <v>35</v>
      </c>
      <c r="W17">
        <f>_xlfn.XLOOKUP(F17,tblEmployee[Employee_ID],tblEmployee[Age],"Not Found")</f>
        <v>38</v>
      </c>
      <c r="X17" t="str">
        <f>_xlfn.XLOOKUP(F17,tblEmployee[Employee_ID],tblEmployee[Gender],"Not Found")</f>
        <v>Female</v>
      </c>
      <c r="Y17">
        <f>_xlfn.XLOOKUP(F17,tblEmployee[Employee_ID],tblEmployee[Joining_Date],"")</f>
        <v>43966</v>
      </c>
      <c r="Z17">
        <f>_xlfn.XLOOKUP(H17,tblDepartment[Department],tblDepartment[Annual_Budget_INR],"")</f>
        <v>18000000</v>
      </c>
      <c r="AA17" t="str">
        <f>_xlfn.XLOOKUP(H17,tblDepartment[Department],tblDepartment[Monthly_Target],"")</f>
        <v>&lt;30 Days Hiring Cycle</v>
      </c>
      <c r="AB17">
        <f>_xlfn.XLOOKUP(H17,tblDepartment[Department],tblDepartment[Average_Salary_INR],"")</f>
        <v>560000</v>
      </c>
      <c r="AC17" t="str">
        <f>_xlfn.XLOOKUP(H17,tblDepartment[Department],tblDepartment[Priority_Level],"")</f>
        <v>Medium</v>
      </c>
      <c r="AD17" t="str">
        <f>_xlfn.XLOOKUP(H17,tblDepartment[Department],tblDepartment[Key_KPI],"")</f>
        <v>Hiring &amp; Retention</v>
      </c>
      <c r="AE17">
        <f>_xlfn.XLOOKUP(tblMaster[[#This Row],[Shift]],tblShift[Shift_Name],tblShift[Login_Time],"")</f>
        <v>0.41666666666666669</v>
      </c>
      <c r="AF17">
        <f>_xlfn.XLOOKUP(tblMaster[[#This Row],[Shift]],tblShift[Shift_Name],tblShift[Logout_Time]," ")</f>
        <v>0.79166666666666663</v>
      </c>
      <c r="AG17">
        <f>_xlfn.XLOOKUP(tblMaster[[#This Row],[Shift]],tblShift[Shift_Name],tblShift[Standard_Working_Hours],"")</f>
        <v>8</v>
      </c>
      <c r="AH17" t="str">
        <f>_xlfn.XLOOKUP(tblMaster[[#This Row],[Attendance_Date]],tblHoliday[Holiday_Date],tblHoliday[Holiday_Name],"Working Day")</f>
        <v>Working Day</v>
      </c>
      <c r="AI17" t="str">
        <f>_xlfn.XLOOKUP(tblMaster[[#This Row],[Attendance_Date]],tblHoliday[Holiday_Date],tblHoliday[Holiday_Type],"Working Day ")</f>
        <v xml:space="preserve">Working Day </v>
      </c>
    </row>
    <row r="18" spans="1:35" hidden="1" x14ac:dyDescent="0.3">
      <c r="A18" t="s">
        <v>129</v>
      </c>
      <c r="B18" s="1">
        <v>45660</v>
      </c>
      <c r="C18" t="s">
        <v>49</v>
      </c>
      <c r="D18" t="s">
        <v>50</v>
      </c>
      <c r="E18" t="s">
        <v>119</v>
      </c>
      <c r="F18" t="s">
        <v>120</v>
      </c>
      <c r="G18" t="s">
        <v>121</v>
      </c>
      <c r="H18" t="s">
        <v>41</v>
      </c>
      <c r="I18" t="s">
        <v>42</v>
      </c>
      <c r="J18" t="s">
        <v>74</v>
      </c>
      <c r="K18" t="s">
        <v>54</v>
      </c>
      <c r="L18" s="2">
        <v>0.375</v>
      </c>
      <c r="M18" s="2">
        <v>0.75</v>
      </c>
      <c r="N18">
        <v>8</v>
      </c>
      <c r="O18">
        <v>0</v>
      </c>
      <c r="P18" t="s">
        <v>32</v>
      </c>
      <c r="R18">
        <v>4</v>
      </c>
      <c r="S18" t="s">
        <v>45</v>
      </c>
      <c r="T18" t="s">
        <v>46</v>
      </c>
      <c r="U18" t="s">
        <v>85</v>
      </c>
      <c r="W18">
        <f>_xlfn.XLOOKUP(F18,tblEmployee[Employee_ID],tblEmployee[Age],"Not Found")</f>
        <v>34</v>
      </c>
      <c r="X18" t="str">
        <f>_xlfn.XLOOKUP(F18,tblEmployee[Employee_ID],tblEmployee[Gender],"Not Found")</f>
        <v>Female</v>
      </c>
      <c r="Y18">
        <f>_xlfn.XLOOKUP(F18,tblEmployee[Employee_ID],tblEmployee[Joining_Date],"")</f>
        <v>44941</v>
      </c>
      <c r="Z18">
        <f>_xlfn.XLOOKUP(H18,tblDepartment[Department],tblDepartment[Annual_Budget_INR],"")</f>
        <v>34000000</v>
      </c>
      <c r="AA18" t="str">
        <f>_xlfn.XLOOKUP(H18,tblDepartment[Department],tblDepartment[Monthly_Target],"")</f>
        <v>95% Process Efficiency</v>
      </c>
      <c r="AB18">
        <f>_xlfn.XLOOKUP(H18,tblDepartment[Department],tblDepartment[Average_Salary_INR],"")</f>
        <v>610000</v>
      </c>
      <c r="AC18" t="str">
        <f>_xlfn.XLOOKUP(H18,tblDepartment[Department],tblDepartment[Priority_Level],"")</f>
        <v>High</v>
      </c>
      <c r="AD18" t="str">
        <f>_xlfn.XLOOKUP(H18,tblDepartment[Department],tblDepartment[Key_KPI],"")</f>
        <v>Operational Efficiency</v>
      </c>
      <c r="AE18">
        <f>_xlfn.XLOOKUP(tblMaster[[#This Row],[Shift]],tblShift[Shift_Name],tblShift[Login_Time],"")</f>
        <v>0.58333333333333337</v>
      </c>
      <c r="AF18">
        <f>_xlfn.XLOOKUP(tblMaster[[#This Row],[Shift]],tblShift[Shift_Name],tblShift[Logout_Time]," ")</f>
        <v>0.95833333333333337</v>
      </c>
      <c r="AG18">
        <f>_xlfn.XLOOKUP(tblMaster[[#This Row],[Shift]],tblShift[Shift_Name],tblShift[Standard_Working_Hours],"")</f>
        <v>8</v>
      </c>
      <c r="AH18" t="str">
        <f>_xlfn.XLOOKUP(tblMaster[[#This Row],[Attendance_Date]],tblHoliday[Holiday_Date],tblHoliday[Holiday_Name],"Working Day")</f>
        <v>Working Day</v>
      </c>
      <c r="AI18" t="str">
        <f>_xlfn.XLOOKUP(tblMaster[[#This Row],[Attendance_Date]],tblHoliday[Holiday_Date],tblHoliday[Holiday_Type],"Working Day ")</f>
        <v xml:space="preserve">Working Day </v>
      </c>
    </row>
    <row r="19" spans="1:35" hidden="1" x14ac:dyDescent="0.3">
      <c r="A19" t="s">
        <v>130</v>
      </c>
      <c r="B19" s="3">
        <v>45660</v>
      </c>
      <c r="C19" t="s">
        <v>49</v>
      </c>
      <c r="D19" t="s">
        <v>50</v>
      </c>
      <c r="E19" t="s">
        <v>119</v>
      </c>
      <c r="F19" t="s">
        <v>39</v>
      </c>
      <c r="G19" t="s">
        <v>40</v>
      </c>
      <c r="H19" t="s">
        <v>41</v>
      </c>
      <c r="I19" t="s">
        <v>42</v>
      </c>
      <c r="J19" t="s">
        <v>43</v>
      </c>
      <c r="K19" t="s">
        <v>54</v>
      </c>
      <c r="L19" s="2">
        <v>0.375</v>
      </c>
      <c r="M19" s="2">
        <v>0.75</v>
      </c>
      <c r="N19">
        <v>8</v>
      </c>
      <c r="O19">
        <v>0</v>
      </c>
      <c r="P19" t="s">
        <v>32</v>
      </c>
      <c r="R19">
        <v>4</v>
      </c>
      <c r="S19" t="s">
        <v>92</v>
      </c>
      <c r="T19" t="s">
        <v>46</v>
      </c>
      <c r="U19" t="s">
        <v>85</v>
      </c>
      <c r="W19">
        <f>_xlfn.XLOOKUP(F19,tblEmployee[Employee_ID],tblEmployee[Age],"Not Found")</f>
        <v>26</v>
      </c>
      <c r="X19" t="str">
        <f>_xlfn.XLOOKUP(F19,tblEmployee[Employee_ID],tblEmployee[Gender],"Not Found")</f>
        <v>Male</v>
      </c>
      <c r="Y19">
        <f>_xlfn.XLOOKUP(F19,tblEmployee[Employee_ID],tblEmployee[Joining_Date],"")</f>
        <v>45061</v>
      </c>
      <c r="Z19">
        <f>_xlfn.XLOOKUP(H19,tblDepartment[Department],tblDepartment[Annual_Budget_INR],"")</f>
        <v>34000000</v>
      </c>
      <c r="AA19" t="str">
        <f>_xlfn.XLOOKUP(H19,tblDepartment[Department],tblDepartment[Monthly_Target],"")</f>
        <v>95% Process Efficiency</v>
      </c>
      <c r="AB19">
        <f>_xlfn.XLOOKUP(H19,tblDepartment[Department],tblDepartment[Average_Salary_INR],"")</f>
        <v>610000</v>
      </c>
      <c r="AC19" t="str">
        <f>_xlfn.XLOOKUP(H19,tblDepartment[Department],tblDepartment[Priority_Level],"")</f>
        <v>High</v>
      </c>
      <c r="AD19" t="str">
        <f>_xlfn.XLOOKUP(H19,tblDepartment[Department],tblDepartment[Key_KPI],"")</f>
        <v>Operational Efficiency</v>
      </c>
      <c r="AE19">
        <f>_xlfn.XLOOKUP(tblMaster[[#This Row],[Shift]],tblShift[Shift_Name],tblShift[Login_Time],"")</f>
        <v>0.58333333333333337</v>
      </c>
      <c r="AF19">
        <f>_xlfn.XLOOKUP(tblMaster[[#This Row],[Shift]],tblShift[Shift_Name],tblShift[Logout_Time]," ")</f>
        <v>0.95833333333333337</v>
      </c>
      <c r="AG19">
        <f>_xlfn.XLOOKUP(tblMaster[[#This Row],[Shift]],tblShift[Shift_Name],tblShift[Standard_Working_Hours],"")</f>
        <v>8</v>
      </c>
      <c r="AH19" t="str">
        <f>_xlfn.XLOOKUP(tblMaster[[#This Row],[Attendance_Date]],tblHoliday[Holiday_Date],tblHoliday[Holiday_Name],"Working Day")</f>
        <v>Working Day</v>
      </c>
      <c r="AI19" t="str">
        <f>_xlfn.XLOOKUP(tblMaster[[#This Row],[Attendance_Date]],tblHoliday[Holiday_Date],tblHoliday[Holiday_Type],"Working Day ")</f>
        <v xml:space="preserve">Working Day </v>
      </c>
    </row>
    <row r="20" spans="1:35" x14ac:dyDescent="0.3">
      <c r="A20" t="s">
        <v>131</v>
      </c>
      <c r="B20" s="3">
        <v>45709</v>
      </c>
      <c r="C20" t="s">
        <v>95</v>
      </c>
      <c r="D20" t="s">
        <v>50</v>
      </c>
      <c r="E20" t="s">
        <v>119</v>
      </c>
      <c r="F20" t="s">
        <v>96</v>
      </c>
      <c r="G20" t="s">
        <v>97</v>
      </c>
      <c r="H20" t="s">
        <v>98</v>
      </c>
      <c r="I20" t="s">
        <v>99</v>
      </c>
      <c r="J20" t="s">
        <v>100</v>
      </c>
      <c r="K20" t="s">
        <v>81</v>
      </c>
      <c r="L20" s="2">
        <v>0.91666666666666663</v>
      </c>
      <c r="M20" s="2">
        <v>0.29166666666666669</v>
      </c>
      <c r="N20">
        <v>10</v>
      </c>
      <c r="O20">
        <v>2</v>
      </c>
      <c r="P20" t="s">
        <v>32</v>
      </c>
      <c r="R20">
        <v>4</v>
      </c>
      <c r="S20" t="s">
        <v>33</v>
      </c>
      <c r="T20" t="s">
        <v>101</v>
      </c>
      <c r="U20" t="str">
        <f>_xlfn.XLOOKUP(tblMaster[[#This Row],[Employee_ID]],tblEmployee[Employee_ID],tblEmployee[Work_Mode]," ")</f>
        <v>Office</v>
      </c>
      <c r="V20" t="s">
        <v>35</v>
      </c>
      <c r="W20">
        <f>_xlfn.XLOOKUP(F20,tblEmployee[Employee_ID],tblEmployee[Age],"Not Found")</f>
        <v>34</v>
      </c>
      <c r="X20" t="str">
        <f>_xlfn.XLOOKUP(F20,tblEmployee[Employee_ID],tblEmployee[Gender],"Not Found")</f>
        <v>Female</v>
      </c>
      <c r="Y20">
        <f>_xlfn.XLOOKUP(F20,tblEmployee[Employee_ID],tblEmployee[Joining_Date],"")</f>
        <v>45306</v>
      </c>
      <c r="Z20">
        <f>_xlfn.XLOOKUP(H20,tblDepartment[Department],tblDepartment[Annual_Budget_INR],"")</f>
        <v>22000000</v>
      </c>
      <c r="AA20" t="str">
        <f>_xlfn.XLOOKUP(H20,tblDepartment[Department],tblDepartment[Monthly_Target],"")</f>
        <v>2500 Qualified Leads</v>
      </c>
      <c r="AB20">
        <f>_xlfn.XLOOKUP(H20,tblDepartment[Department],tblDepartment[Average_Salary_INR],"")</f>
        <v>590000</v>
      </c>
      <c r="AC20" t="str">
        <f>_xlfn.XLOOKUP(H20,tblDepartment[Department],tblDepartment[Priority_Level],"")</f>
        <v>Medium</v>
      </c>
      <c r="AD20" t="str">
        <f>_xlfn.XLOOKUP(H20,tblDepartment[Department],tblDepartment[Key_KPI],"")</f>
        <v>Lead Generation</v>
      </c>
      <c r="AE20">
        <f>_xlfn.XLOOKUP(tblMaster[[#This Row],[Shift]],tblShift[Shift_Name],tblShift[Login_Time],"")</f>
        <v>0.91666666666666663</v>
      </c>
      <c r="AF20">
        <f>_xlfn.XLOOKUP(tblMaster[[#This Row],[Shift]],tblShift[Shift_Name],tblShift[Logout_Time]," ")</f>
        <v>0.29166666666666669</v>
      </c>
      <c r="AG20">
        <f>_xlfn.XLOOKUP(tblMaster[[#This Row],[Shift]],tblShift[Shift_Name],tblShift[Standard_Working_Hours],"")</f>
        <v>8</v>
      </c>
      <c r="AH20" t="str">
        <f>_xlfn.XLOOKUP(tblMaster[[#This Row],[Attendance_Date]],tblHoliday[Holiday_Date],tblHoliday[Holiday_Name],"Working Day")</f>
        <v>Working Day</v>
      </c>
      <c r="AI20" t="str">
        <f>_xlfn.XLOOKUP(tblMaster[[#This Row],[Attendance_Date]],tblHoliday[Holiday_Date],tblHoliday[Holiday_Type],"Working Day ")</f>
        <v xml:space="preserve">Working Day </v>
      </c>
    </row>
    <row r="21" spans="1:35" x14ac:dyDescent="0.3">
      <c r="A21" t="s">
        <v>132</v>
      </c>
      <c r="B21" s="3">
        <v>45716</v>
      </c>
      <c r="C21" t="s">
        <v>95</v>
      </c>
      <c r="D21" t="s">
        <v>50</v>
      </c>
      <c r="E21" t="s">
        <v>119</v>
      </c>
      <c r="F21" t="s">
        <v>133</v>
      </c>
      <c r="G21" t="s">
        <v>134</v>
      </c>
      <c r="H21" t="s">
        <v>98</v>
      </c>
      <c r="I21" t="s">
        <v>99</v>
      </c>
      <c r="J21" t="s">
        <v>66</v>
      </c>
      <c r="K21" t="s">
        <v>54</v>
      </c>
      <c r="P21" t="s">
        <v>135</v>
      </c>
      <c r="S21" t="s">
        <v>45</v>
      </c>
      <c r="T21" t="s">
        <v>101</v>
      </c>
      <c r="U21" t="str">
        <f>_xlfn.XLOOKUP(tblMaster[[#This Row],[Employee_ID]],tblEmployee[Employee_ID],tblEmployee[Work_Mode]," ")</f>
        <v>Remote</v>
      </c>
      <c r="V21" t="s">
        <v>35</v>
      </c>
      <c r="W21">
        <f>_xlfn.XLOOKUP(F21,tblEmployee[Employee_ID],tblEmployee[Age],"Not Found")</f>
        <v>27</v>
      </c>
      <c r="X21" t="str">
        <f>_xlfn.XLOOKUP(F21,tblEmployee[Employee_ID],tblEmployee[Gender],"Not Found")</f>
        <v>Male</v>
      </c>
      <c r="Y21">
        <f>_xlfn.XLOOKUP(F21,tblEmployee[Employee_ID],tblEmployee[Joining_Date],"")</f>
        <v>45458</v>
      </c>
      <c r="Z21">
        <f>_xlfn.XLOOKUP(H21,tblDepartment[Department],tblDepartment[Annual_Budget_INR],"")</f>
        <v>22000000</v>
      </c>
      <c r="AA21" t="str">
        <f>_xlfn.XLOOKUP(H21,tblDepartment[Department],tblDepartment[Monthly_Target],"")</f>
        <v>2500 Qualified Leads</v>
      </c>
      <c r="AB21">
        <f>_xlfn.XLOOKUP(H21,tblDepartment[Department],tblDepartment[Average_Salary_INR],"")</f>
        <v>590000</v>
      </c>
      <c r="AC21" t="str">
        <f>_xlfn.XLOOKUP(H21,tblDepartment[Department],tblDepartment[Priority_Level],"")</f>
        <v>Medium</v>
      </c>
      <c r="AD21" t="str">
        <f>_xlfn.XLOOKUP(H21,tblDepartment[Department],tblDepartment[Key_KPI],"")</f>
        <v>Lead Generation</v>
      </c>
      <c r="AE21">
        <f>_xlfn.XLOOKUP(tblMaster[[#This Row],[Shift]],tblShift[Shift_Name],tblShift[Login_Time],"")</f>
        <v>0.58333333333333337</v>
      </c>
      <c r="AF21">
        <f>_xlfn.XLOOKUP(tblMaster[[#This Row],[Shift]],tblShift[Shift_Name],tblShift[Logout_Time]," ")</f>
        <v>0.95833333333333337</v>
      </c>
      <c r="AG21">
        <f>_xlfn.XLOOKUP(tblMaster[[#This Row],[Shift]],tblShift[Shift_Name],tblShift[Standard_Working_Hours],"")</f>
        <v>8</v>
      </c>
      <c r="AH21" t="str">
        <f>_xlfn.XLOOKUP(tblMaster[[#This Row],[Attendance_Date]],tblHoliday[Holiday_Date],tblHoliday[Holiday_Name],"Working Day")</f>
        <v>Working Day</v>
      </c>
      <c r="AI21" t="str">
        <f>_xlfn.XLOOKUP(tblMaster[[#This Row],[Attendance_Date]],tblHoliday[Holiday_Date],tblHoliday[Holiday_Type],"Working Day ")</f>
        <v xml:space="preserve">Working Day </v>
      </c>
    </row>
    <row r="22" spans="1:35" hidden="1" x14ac:dyDescent="0.3">
      <c r="A22" t="s">
        <v>136</v>
      </c>
      <c r="B22" s="1">
        <v>45777</v>
      </c>
      <c r="C22" t="s">
        <v>37</v>
      </c>
      <c r="D22" t="s">
        <v>24</v>
      </c>
      <c r="E22" t="s">
        <v>51</v>
      </c>
      <c r="F22" t="s">
        <v>127</v>
      </c>
      <c r="G22" t="s">
        <v>128</v>
      </c>
      <c r="H22" t="s">
        <v>137</v>
      </c>
      <c r="I22" t="s">
        <v>91</v>
      </c>
      <c r="J22" t="s">
        <v>66</v>
      </c>
      <c r="K22" t="s">
        <v>75</v>
      </c>
      <c r="L22" s="2">
        <v>0.375</v>
      </c>
      <c r="M22" s="2">
        <v>0.75</v>
      </c>
      <c r="N22">
        <v>8</v>
      </c>
      <c r="O22">
        <v>0</v>
      </c>
      <c r="P22" t="s">
        <v>32</v>
      </c>
      <c r="S22" t="s">
        <v>92</v>
      </c>
      <c r="T22" t="s">
        <v>93</v>
      </c>
      <c r="U22" t="s">
        <v>55</v>
      </c>
      <c r="V22" t="s">
        <v>60</v>
      </c>
      <c r="W22">
        <f>_xlfn.XLOOKUP(F22,tblEmployee[Employee_ID],tblEmployee[Age],"Not Found")</f>
        <v>38</v>
      </c>
      <c r="X22" t="str">
        <f>_xlfn.XLOOKUP(F22,tblEmployee[Employee_ID],tblEmployee[Gender],"Not Found")</f>
        <v>Female</v>
      </c>
      <c r="Y22">
        <f>_xlfn.XLOOKUP(F22,tblEmployee[Employee_ID],tblEmployee[Joining_Date],"")</f>
        <v>43966</v>
      </c>
      <c r="Z22">
        <f>_xlfn.XLOOKUP(H22,tblDepartment[Department],tblDepartment[Annual_Budget_INR],"")</f>
        <v>18000000</v>
      </c>
      <c r="AA22" t="str">
        <f>_xlfn.XLOOKUP(H22,tblDepartment[Department],tblDepartment[Monthly_Target],"")</f>
        <v>&lt;30 Days Hiring Cycle</v>
      </c>
      <c r="AB22">
        <f>_xlfn.XLOOKUP(H22,tblDepartment[Department],tblDepartment[Average_Salary_INR],"")</f>
        <v>560000</v>
      </c>
      <c r="AC22" t="str">
        <f>_xlfn.XLOOKUP(H22,tblDepartment[Department],tblDepartment[Priority_Level],"")</f>
        <v>Medium</v>
      </c>
      <c r="AD22" t="str">
        <f>_xlfn.XLOOKUP(H22,tblDepartment[Department],tblDepartment[Key_KPI],"")</f>
        <v>Hiring &amp; Retention</v>
      </c>
      <c r="AE22">
        <f>_xlfn.XLOOKUP(tblMaster[[#This Row],[Shift]],tblShift[Shift_Name],tblShift[Login_Time],"")</f>
        <v>0.375</v>
      </c>
      <c r="AF22">
        <f>_xlfn.XLOOKUP(tblMaster[[#This Row],[Shift]],tblShift[Shift_Name],tblShift[Logout_Time]," ")</f>
        <v>0.75</v>
      </c>
      <c r="AG22">
        <f>_xlfn.XLOOKUP(tblMaster[[#This Row],[Shift]],tblShift[Shift_Name],tblShift[Standard_Working_Hours],"")</f>
        <v>8</v>
      </c>
      <c r="AH22" t="str">
        <f>_xlfn.XLOOKUP(tblMaster[[#This Row],[Attendance_Date]],tblHoliday[Holiday_Date],tblHoliday[Holiday_Name],"Working Day")</f>
        <v>Working Day</v>
      </c>
      <c r="AI22" t="str">
        <f>_xlfn.XLOOKUP(tblMaster[[#This Row],[Attendance_Date]],tblHoliday[Holiday_Date],tblHoliday[Holiday_Type],"Working Day ")</f>
        <v xml:space="preserve">Working Day </v>
      </c>
    </row>
    <row r="23" spans="1:35" hidden="1" x14ac:dyDescent="0.3">
      <c r="A23" t="s">
        <v>138</v>
      </c>
      <c r="B23" s="3">
        <v>45675</v>
      </c>
      <c r="C23" t="s">
        <v>49</v>
      </c>
      <c r="D23" t="s">
        <v>50</v>
      </c>
      <c r="E23" t="s">
        <v>38</v>
      </c>
      <c r="F23" t="s">
        <v>110</v>
      </c>
      <c r="G23" t="s">
        <v>111</v>
      </c>
      <c r="H23" t="s">
        <v>112</v>
      </c>
      <c r="I23" t="s">
        <v>113</v>
      </c>
      <c r="J23" t="s">
        <v>43</v>
      </c>
      <c r="K23" t="s">
        <v>54</v>
      </c>
      <c r="L23" s="2">
        <v>0.3888888888888889</v>
      </c>
      <c r="M23" s="2">
        <v>0.75</v>
      </c>
      <c r="N23">
        <v>8</v>
      </c>
      <c r="O23">
        <v>0</v>
      </c>
      <c r="P23" t="s">
        <v>32</v>
      </c>
      <c r="R23">
        <v>4</v>
      </c>
      <c r="S23" t="s">
        <v>33</v>
      </c>
      <c r="T23" t="s">
        <v>114</v>
      </c>
      <c r="U23" t="s">
        <v>55</v>
      </c>
      <c r="V23" t="s">
        <v>60</v>
      </c>
      <c r="W23">
        <f>_xlfn.XLOOKUP(F23,tblEmployee[Employee_ID],tblEmployee[Age],"Not Found")</f>
        <v>32</v>
      </c>
      <c r="X23" t="str">
        <f>_xlfn.XLOOKUP(F23,tblEmployee[Employee_ID],tblEmployee[Gender],"Not Found")</f>
        <v>Female</v>
      </c>
      <c r="Y23">
        <f>_xlfn.XLOOKUP(F23,tblEmployee[Employee_ID],tblEmployee[Joining_Date],"")</f>
        <v>44515</v>
      </c>
      <c r="Z23">
        <f>_xlfn.XLOOKUP(H23,tblDepartment[Department],tblDepartment[Annual_Budget_INR],"")</f>
        <v>42000000</v>
      </c>
      <c r="AA23" t="str">
        <f>_xlfn.XLOOKUP(H23,tblDepartment[Department],tblDepartment[Monthly_Target],"")</f>
        <v>₹2.5 Cr Monthly Sales</v>
      </c>
      <c r="AB23">
        <f>_xlfn.XLOOKUP(H23,tblDepartment[Department],tblDepartment[Average_Salary_INR],"")</f>
        <v>680000</v>
      </c>
      <c r="AC23" t="str">
        <f>_xlfn.XLOOKUP(H23,tblDepartment[Department],tblDepartment[Priority_Level],"")</f>
        <v>High</v>
      </c>
      <c r="AD23" t="str">
        <f>_xlfn.XLOOKUP(H23,tblDepartment[Department],tblDepartment[Key_KPI],"")</f>
        <v>Revenue Achievement</v>
      </c>
      <c r="AE23">
        <f>_xlfn.XLOOKUP(tblMaster[[#This Row],[Shift]],tblShift[Shift_Name],tblShift[Login_Time],"")</f>
        <v>0.58333333333333337</v>
      </c>
      <c r="AF23">
        <f>_xlfn.XLOOKUP(tblMaster[[#This Row],[Shift]],tblShift[Shift_Name],tblShift[Logout_Time]," ")</f>
        <v>0.95833333333333337</v>
      </c>
      <c r="AG23">
        <f>_xlfn.XLOOKUP(tblMaster[[#This Row],[Shift]],tblShift[Shift_Name],tblShift[Standard_Working_Hours],"")</f>
        <v>8</v>
      </c>
      <c r="AH23" t="str">
        <f>_xlfn.XLOOKUP(tblMaster[[#This Row],[Attendance_Date]],tblHoliday[Holiday_Date],tblHoliday[Holiday_Name],"Working Day")</f>
        <v>Working Day</v>
      </c>
      <c r="AI23" t="str">
        <f>_xlfn.XLOOKUP(tblMaster[[#This Row],[Attendance_Date]],tblHoliday[Holiday_Date],tblHoliday[Holiday_Type],"Working Day ")</f>
        <v xml:space="preserve">Working Day </v>
      </c>
    </row>
    <row r="24" spans="1:35" hidden="1" x14ac:dyDescent="0.3">
      <c r="A24" t="s">
        <v>139</v>
      </c>
      <c r="B24" s="1">
        <v>45710</v>
      </c>
      <c r="C24" t="s">
        <v>95</v>
      </c>
      <c r="D24" t="s">
        <v>50</v>
      </c>
      <c r="E24" t="s">
        <v>38</v>
      </c>
      <c r="F24" t="s">
        <v>58</v>
      </c>
      <c r="G24" t="s">
        <v>59</v>
      </c>
      <c r="H24" t="s">
        <v>41</v>
      </c>
      <c r="I24" t="s">
        <v>42</v>
      </c>
      <c r="J24" t="s">
        <v>30</v>
      </c>
      <c r="K24" t="s">
        <v>44</v>
      </c>
      <c r="L24" s="2">
        <v>0.375</v>
      </c>
      <c r="M24" s="2">
        <v>0.75</v>
      </c>
      <c r="N24">
        <v>8</v>
      </c>
      <c r="O24">
        <v>0</v>
      </c>
      <c r="P24" t="s">
        <v>32</v>
      </c>
      <c r="S24" t="s">
        <v>33</v>
      </c>
      <c r="T24" t="s">
        <v>46</v>
      </c>
      <c r="U24" t="s">
        <v>55</v>
      </c>
      <c r="W24">
        <f>_xlfn.XLOOKUP(F24,tblEmployee[Employee_ID],tblEmployee[Age],"Not Found")</f>
        <v>23</v>
      </c>
      <c r="X24" t="str">
        <f>_xlfn.XLOOKUP(F24,tblEmployee[Employee_ID],tblEmployee[Gender],"Not Found")</f>
        <v>Female</v>
      </c>
      <c r="Y24">
        <f>_xlfn.XLOOKUP(F24,tblEmployee[Employee_ID],tblEmployee[Joining_Date],"")</f>
        <v>45153</v>
      </c>
      <c r="Z24">
        <f>_xlfn.XLOOKUP(H24,tblDepartment[Department],tblDepartment[Annual_Budget_INR],"")</f>
        <v>34000000</v>
      </c>
      <c r="AA24" t="str">
        <f>_xlfn.XLOOKUP(H24,tblDepartment[Department],tblDepartment[Monthly_Target],"")</f>
        <v>95% Process Efficiency</v>
      </c>
      <c r="AB24">
        <f>_xlfn.XLOOKUP(H24,tblDepartment[Department],tblDepartment[Average_Salary_INR],"")</f>
        <v>610000</v>
      </c>
      <c r="AC24" t="str">
        <f>_xlfn.XLOOKUP(H24,tblDepartment[Department],tblDepartment[Priority_Level],"")</f>
        <v>High</v>
      </c>
      <c r="AD24" t="str">
        <f>_xlfn.XLOOKUP(H24,tblDepartment[Department],tblDepartment[Key_KPI],"")</f>
        <v>Operational Efficiency</v>
      </c>
      <c r="AE24">
        <f>_xlfn.XLOOKUP(tblMaster[[#This Row],[Shift]],tblShift[Shift_Name],tblShift[Login_Time],"")</f>
        <v>0.41666666666666669</v>
      </c>
      <c r="AF24">
        <f>_xlfn.XLOOKUP(tblMaster[[#This Row],[Shift]],tblShift[Shift_Name],tblShift[Logout_Time]," ")</f>
        <v>0.79166666666666663</v>
      </c>
      <c r="AG24">
        <f>_xlfn.XLOOKUP(tblMaster[[#This Row],[Shift]],tblShift[Shift_Name],tblShift[Standard_Working_Hours],"")</f>
        <v>8</v>
      </c>
      <c r="AH24" t="str">
        <f>_xlfn.XLOOKUP(tblMaster[[#This Row],[Attendance_Date]],tblHoliday[Holiday_Date],tblHoliday[Holiday_Name],"Working Day")</f>
        <v>Working Day</v>
      </c>
      <c r="AI24" t="str">
        <f>_xlfn.XLOOKUP(tblMaster[[#This Row],[Attendance_Date]],tblHoliday[Holiday_Date],tblHoliday[Holiday_Type],"Working Day ")</f>
        <v xml:space="preserve">Working Day </v>
      </c>
    </row>
    <row r="25" spans="1:35" hidden="1" x14ac:dyDescent="0.3">
      <c r="A25" t="s">
        <v>140</v>
      </c>
      <c r="B25" s="3">
        <v>45826</v>
      </c>
      <c r="C25" t="s">
        <v>23</v>
      </c>
      <c r="D25" t="s">
        <v>24</v>
      </c>
      <c r="E25" t="s">
        <v>51</v>
      </c>
      <c r="F25" t="s">
        <v>104</v>
      </c>
      <c r="G25" t="s">
        <v>105</v>
      </c>
      <c r="H25" t="s">
        <v>28</v>
      </c>
      <c r="I25" t="s">
        <v>29</v>
      </c>
      <c r="J25" t="s">
        <v>30</v>
      </c>
      <c r="K25" t="s">
        <v>31</v>
      </c>
      <c r="L25" s="2">
        <v>0.375</v>
      </c>
      <c r="M25" s="2">
        <v>0.75</v>
      </c>
      <c r="N25">
        <v>8</v>
      </c>
      <c r="O25">
        <v>0</v>
      </c>
      <c r="P25" t="s">
        <v>32</v>
      </c>
      <c r="R25">
        <v>5</v>
      </c>
      <c r="S25" t="s">
        <v>92</v>
      </c>
      <c r="T25" t="s">
        <v>34</v>
      </c>
      <c r="U25" t="s">
        <v>55</v>
      </c>
      <c r="V25" t="s">
        <v>69</v>
      </c>
      <c r="W25">
        <f>_xlfn.XLOOKUP(F25,tblEmployee[Employee_ID],tblEmployee[Age],"Not Found")</f>
        <v>35</v>
      </c>
      <c r="X25" t="str">
        <f>_xlfn.XLOOKUP(F25,tblEmployee[Employee_ID],tblEmployee[Gender],"Not Found")</f>
        <v>Male</v>
      </c>
      <c r="Y25">
        <f>_xlfn.XLOOKUP(F25,tblEmployee[Employee_ID],tblEmployee[Joining_Date],"")</f>
        <v>43146</v>
      </c>
      <c r="Z25">
        <f>_xlfn.XLOOKUP(H25,tblDepartment[Department],tblDepartment[Annual_Budget_INR],"")</f>
        <v>24000000</v>
      </c>
      <c r="AA25" t="str">
        <f>_xlfn.XLOOKUP(H25,tblDepartment[Department],tblDepartment[Monthly_Target],"")</f>
        <v>90% Customer Satisfaction</v>
      </c>
      <c r="AB25">
        <f>_xlfn.XLOOKUP(H25,tblDepartment[Department],tblDepartment[Average_Salary_INR],"")</f>
        <v>520000</v>
      </c>
      <c r="AC25" t="str">
        <f>_xlfn.XLOOKUP(H25,tblDepartment[Department],tblDepartment[Priority_Level],"")</f>
        <v>High</v>
      </c>
      <c r="AD25" t="str">
        <f>_xlfn.XLOOKUP(H25,tblDepartment[Department],tblDepartment[Key_KPI],"")</f>
        <v>Customer Satisfaction</v>
      </c>
      <c r="AE25">
        <f>_xlfn.XLOOKUP(tblMaster[[#This Row],[Shift]],tblShift[Shift_Name],tblShift[Login_Time],"")</f>
        <v>0.25</v>
      </c>
      <c r="AF25">
        <f>_xlfn.XLOOKUP(tblMaster[[#This Row],[Shift]],tblShift[Shift_Name],tblShift[Logout_Time]," ")</f>
        <v>0.625</v>
      </c>
      <c r="AG25">
        <f>_xlfn.XLOOKUP(tblMaster[[#This Row],[Shift]],tblShift[Shift_Name],tblShift[Standard_Working_Hours],"")</f>
        <v>8</v>
      </c>
      <c r="AH25" t="str">
        <f>_xlfn.XLOOKUP(tblMaster[[#This Row],[Attendance_Date]],tblHoliday[Holiday_Date],tblHoliday[Holiday_Name],"Working Day")</f>
        <v>Working Day</v>
      </c>
      <c r="AI25" t="str">
        <f>_xlfn.XLOOKUP(tblMaster[[#This Row],[Attendance_Date]],tblHoliday[Holiday_Date],tblHoliday[Holiday_Type],"Working Day ")</f>
        <v xml:space="preserve">Working Day </v>
      </c>
    </row>
    <row r="26" spans="1:35" hidden="1" x14ac:dyDescent="0.3">
      <c r="A26" t="s">
        <v>141</v>
      </c>
      <c r="B26" s="3">
        <v>45805</v>
      </c>
      <c r="C26" t="s">
        <v>57</v>
      </c>
      <c r="D26" t="s">
        <v>24</v>
      </c>
      <c r="E26" t="s">
        <v>51</v>
      </c>
      <c r="F26" t="s">
        <v>142</v>
      </c>
      <c r="G26" t="s">
        <v>143</v>
      </c>
      <c r="H26" t="s">
        <v>64</v>
      </c>
      <c r="I26" t="s">
        <v>65</v>
      </c>
      <c r="J26" t="s">
        <v>43</v>
      </c>
      <c r="K26" t="s">
        <v>75</v>
      </c>
      <c r="L26" s="2">
        <v>0.375</v>
      </c>
      <c r="M26" s="2">
        <v>0.75</v>
      </c>
      <c r="N26">
        <v>8.5</v>
      </c>
      <c r="O26">
        <v>0.5</v>
      </c>
      <c r="P26" t="s">
        <v>32</v>
      </c>
      <c r="S26" t="s">
        <v>33</v>
      </c>
      <c r="T26" t="s">
        <v>68</v>
      </c>
      <c r="U26" t="s">
        <v>47</v>
      </c>
      <c r="W26">
        <f>_xlfn.XLOOKUP(F26,tblEmployee[Employee_ID],tblEmployee[Age],"Not Found")</f>
        <v>37</v>
      </c>
      <c r="X26" t="str">
        <f>_xlfn.XLOOKUP(F26,tblEmployee[Employee_ID],tblEmployee[Gender],"Not Found")</f>
        <v>Male</v>
      </c>
      <c r="Y26">
        <f>_xlfn.XLOOKUP(F26,tblEmployee[Employee_ID],tblEmployee[Joining_Date],"")</f>
        <v>43570</v>
      </c>
      <c r="Z26">
        <f>_xlfn.XLOOKUP(H26,tblDepartment[Department],tblDepartment[Annual_Budget_INR],"")</f>
        <v>85000000</v>
      </c>
      <c r="AA26" t="str">
        <f>_xlfn.XLOOKUP(H26,tblDepartment[Department],tblDepartment[Monthly_Target],"")</f>
        <v>99.5% System Uptime</v>
      </c>
      <c r="AB26">
        <f>_xlfn.XLOOKUP(H26,tblDepartment[Department],tblDepartment[Average_Salary_INR],"")</f>
        <v>720000</v>
      </c>
      <c r="AC26" t="str">
        <f>_xlfn.XLOOKUP(H26,tblDepartment[Department],tblDepartment[Priority_Level],"")</f>
        <v>High</v>
      </c>
      <c r="AD26" t="str">
        <f>_xlfn.XLOOKUP(H26,tblDepartment[Department],tblDepartment[Key_KPI],"")</f>
        <v>Project Delivery</v>
      </c>
      <c r="AE26">
        <f>_xlfn.XLOOKUP(tblMaster[[#This Row],[Shift]],tblShift[Shift_Name],tblShift[Login_Time],"")</f>
        <v>0.375</v>
      </c>
      <c r="AF26">
        <f>_xlfn.XLOOKUP(tblMaster[[#This Row],[Shift]],tblShift[Shift_Name],tblShift[Logout_Time]," ")</f>
        <v>0.75</v>
      </c>
      <c r="AG26">
        <f>_xlfn.XLOOKUP(tblMaster[[#This Row],[Shift]],tblShift[Shift_Name],tblShift[Standard_Working_Hours],"")</f>
        <v>8</v>
      </c>
      <c r="AH26" t="str">
        <f>_xlfn.XLOOKUP(tblMaster[[#This Row],[Attendance_Date]],tblHoliday[Holiday_Date],tblHoliday[Holiday_Name],"Working Day")</f>
        <v>Working Day</v>
      </c>
      <c r="AI26" t="str">
        <f>_xlfn.XLOOKUP(tblMaster[[#This Row],[Attendance_Date]],tblHoliday[Holiday_Date],tblHoliday[Holiday_Type],"Working Day ")</f>
        <v xml:space="preserve">Working Day </v>
      </c>
    </row>
    <row r="27" spans="1:35" hidden="1" x14ac:dyDescent="0.3">
      <c r="A27" t="s">
        <v>144</v>
      </c>
      <c r="B27" s="3">
        <v>45686</v>
      </c>
      <c r="C27" t="s">
        <v>49</v>
      </c>
      <c r="D27" t="s">
        <v>50</v>
      </c>
      <c r="E27" t="s">
        <v>51</v>
      </c>
      <c r="F27" t="s">
        <v>145</v>
      </c>
      <c r="G27" t="s">
        <v>146</v>
      </c>
      <c r="H27" t="s">
        <v>90</v>
      </c>
      <c r="I27" t="s">
        <v>91</v>
      </c>
      <c r="J27" t="s">
        <v>100</v>
      </c>
      <c r="K27" t="s">
        <v>44</v>
      </c>
      <c r="L27" s="2">
        <v>0.375</v>
      </c>
      <c r="M27" s="2">
        <v>0.75</v>
      </c>
      <c r="N27">
        <v>8</v>
      </c>
      <c r="O27">
        <v>0</v>
      </c>
      <c r="P27" t="s">
        <v>32</v>
      </c>
      <c r="R27">
        <v>4</v>
      </c>
      <c r="S27" t="s">
        <v>92</v>
      </c>
      <c r="T27" t="s">
        <v>93</v>
      </c>
      <c r="U27" t="s">
        <v>85</v>
      </c>
      <c r="W27">
        <f>_xlfn.XLOOKUP(F27,tblEmployee[Employee_ID],tblEmployee[Age],"Not Found")</f>
        <v>27</v>
      </c>
      <c r="X27" t="str">
        <f>_xlfn.XLOOKUP(F27,tblEmployee[Employee_ID],tblEmployee[Gender],"Not Found")</f>
        <v>Male</v>
      </c>
      <c r="Y27">
        <f>_xlfn.XLOOKUP(F27,tblEmployee[Employee_ID],tblEmployee[Joining_Date],"")</f>
        <v>44180</v>
      </c>
      <c r="Z27">
        <f>_xlfn.XLOOKUP(H27,tblDepartment[Department],tblDepartment[Annual_Budget_INR],"")</f>
        <v>18000000</v>
      </c>
      <c r="AA27" t="str">
        <f>_xlfn.XLOOKUP(H27,tblDepartment[Department],tblDepartment[Monthly_Target],"")</f>
        <v>&lt;30 Days Hiring Cycle</v>
      </c>
      <c r="AB27">
        <f>_xlfn.XLOOKUP(H27,tblDepartment[Department],tblDepartment[Average_Salary_INR],"")</f>
        <v>560000</v>
      </c>
      <c r="AC27" t="str">
        <f>_xlfn.XLOOKUP(H27,tblDepartment[Department],tblDepartment[Priority_Level],"")</f>
        <v>Medium</v>
      </c>
      <c r="AD27" t="str">
        <f>_xlfn.XLOOKUP(H27,tblDepartment[Department],tblDepartment[Key_KPI],"")</f>
        <v>Hiring &amp; Retention</v>
      </c>
      <c r="AE27">
        <f>_xlfn.XLOOKUP(tblMaster[[#This Row],[Shift]],tblShift[Shift_Name],tblShift[Login_Time],"")</f>
        <v>0.41666666666666669</v>
      </c>
      <c r="AF27">
        <f>_xlfn.XLOOKUP(tblMaster[[#This Row],[Shift]],tblShift[Shift_Name],tblShift[Logout_Time]," ")</f>
        <v>0.79166666666666663</v>
      </c>
      <c r="AG27">
        <f>_xlfn.XLOOKUP(tblMaster[[#This Row],[Shift]],tblShift[Shift_Name],tblShift[Standard_Working_Hours],"")</f>
        <v>8</v>
      </c>
      <c r="AH27" t="str">
        <f>_xlfn.XLOOKUP(tblMaster[[#This Row],[Attendance_Date]],tblHoliday[Holiday_Date],tblHoliday[Holiday_Name],"Working Day")</f>
        <v>Working Day</v>
      </c>
      <c r="AI27" t="str">
        <f>_xlfn.XLOOKUP(tblMaster[[#This Row],[Attendance_Date]],tblHoliday[Holiday_Date],tblHoliday[Holiday_Type],"Working Day ")</f>
        <v xml:space="preserve">Working Day </v>
      </c>
    </row>
    <row r="28" spans="1:35" hidden="1" x14ac:dyDescent="0.3">
      <c r="A28" t="s">
        <v>147</v>
      </c>
      <c r="B28" s="1">
        <v>45824</v>
      </c>
      <c r="C28" t="s">
        <v>23</v>
      </c>
      <c r="D28" t="s">
        <v>24</v>
      </c>
      <c r="E28" t="s">
        <v>109</v>
      </c>
      <c r="F28" t="s">
        <v>148</v>
      </c>
      <c r="G28" t="s">
        <v>149</v>
      </c>
      <c r="H28" t="s">
        <v>112</v>
      </c>
      <c r="I28" t="s">
        <v>113</v>
      </c>
      <c r="J28" t="s">
        <v>43</v>
      </c>
      <c r="K28" t="s">
        <v>81</v>
      </c>
      <c r="L28" s="2">
        <v>0.39930555555555558</v>
      </c>
      <c r="M28" s="2">
        <v>0.29166666666666669</v>
      </c>
      <c r="N28">
        <v>10</v>
      </c>
      <c r="O28">
        <v>2</v>
      </c>
      <c r="P28" t="s">
        <v>32</v>
      </c>
      <c r="S28" t="s">
        <v>33</v>
      </c>
      <c r="T28" t="s">
        <v>114</v>
      </c>
      <c r="U28" t="s">
        <v>85</v>
      </c>
      <c r="V28" t="s">
        <v>60</v>
      </c>
      <c r="W28">
        <f>_xlfn.XLOOKUP(F28,tblEmployee[Employee_ID],tblEmployee[Age],"Not Found")</f>
        <v>31</v>
      </c>
      <c r="X28" t="str">
        <f>_xlfn.XLOOKUP(F28,tblEmployee[Employee_ID],tblEmployee[Gender],"Not Found")</f>
        <v>Male</v>
      </c>
      <c r="Y28">
        <f>_xlfn.XLOOKUP(F28,tblEmployee[Employee_ID],tblEmployee[Joining_Date],"")</f>
        <v>44484</v>
      </c>
      <c r="Z28">
        <f>_xlfn.XLOOKUP(H28,tblDepartment[Department],tblDepartment[Annual_Budget_INR],"")</f>
        <v>42000000</v>
      </c>
      <c r="AA28" t="str">
        <f>_xlfn.XLOOKUP(H28,tblDepartment[Department],tblDepartment[Monthly_Target],"")</f>
        <v>₹2.5 Cr Monthly Sales</v>
      </c>
      <c r="AB28">
        <f>_xlfn.XLOOKUP(H28,tblDepartment[Department],tblDepartment[Average_Salary_INR],"")</f>
        <v>680000</v>
      </c>
      <c r="AC28" t="str">
        <f>_xlfn.XLOOKUP(H28,tblDepartment[Department],tblDepartment[Priority_Level],"")</f>
        <v>High</v>
      </c>
      <c r="AD28" t="str">
        <f>_xlfn.XLOOKUP(H28,tblDepartment[Department],tblDepartment[Key_KPI],"")</f>
        <v>Revenue Achievement</v>
      </c>
      <c r="AE28">
        <f>_xlfn.XLOOKUP(tblMaster[[#This Row],[Shift]],tblShift[Shift_Name],tblShift[Login_Time],"")</f>
        <v>0.91666666666666663</v>
      </c>
      <c r="AF28">
        <f>_xlfn.XLOOKUP(tblMaster[[#This Row],[Shift]],tblShift[Shift_Name],tblShift[Logout_Time]," ")</f>
        <v>0.29166666666666669</v>
      </c>
      <c r="AG28">
        <f>_xlfn.XLOOKUP(tblMaster[[#This Row],[Shift]],tblShift[Shift_Name],tblShift[Standard_Working_Hours],"")</f>
        <v>8</v>
      </c>
      <c r="AH28" t="str">
        <f>_xlfn.XLOOKUP(tblMaster[[#This Row],[Attendance_Date]],tblHoliday[Holiday_Date],tblHoliday[Holiday_Name],"Working Day")</f>
        <v>Working Day</v>
      </c>
      <c r="AI28" t="str">
        <f>_xlfn.XLOOKUP(tblMaster[[#This Row],[Attendance_Date]],tblHoliday[Holiday_Date],tblHoliday[Holiday_Type],"Working Day ")</f>
        <v xml:space="preserve">Working Day </v>
      </c>
    </row>
    <row r="29" spans="1:35" x14ac:dyDescent="0.3">
      <c r="A29" t="s">
        <v>150</v>
      </c>
      <c r="B29" s="1">
        <v>45821</v>
      </c>
      <c r="C29" t="s">
        <v>23</v>
      </c>
      <c r="D29" t="s">
        <v>24</v>
      </c>
      <c r="E29" t="s">
        <v>119</v>
      </c>
      <c r="F29" t="s">
        <v>151</v>
      </c>
      <c r="G29" t="s">
        <v>152</v>
      </c>
      <c r="H29" t="s">
        <v>98</v>
      </c>
      <c r="I29" t="s">
        <v>99</v>
      </c>
      <c r="J29" t="s">
        <v>30</v>
      </c>
      <c r="K29" t="s">
        <v>31</v>
      </c>
      <c r="L29" s="2">
        <v>0.375</v>
      </c>
      <c r="M29" s="2">
        <v>0.75</v>
      </c>
      <c r="N29">
        <v>8</v>
      </c>
      <c r="O29">
        <v>0</v>
      </c>
      <c r="P29" t="s">
        <v>32</v>
      </c>
      <c r="R29">
        <v>5</v>
      </c>
      <c r="S29" t="s">
        <v>45</v>
      </c>
      <c r="T29" t="s">
        <v>101</v>
      </c>
      <c r="U29" t="str">
        <f>_xlfn.XLOOKUP(tblMaster[[#This Row],[Employee_ID]],tblEmployee[Employee_ID],tblEmployee[Work_Mode]," ")</f>
        <v>Hybrid</v>
      </c>
      <c r="W29">
        <f>_xlfn.XLOOKUP(F29,tblEmployee[Employee_ID],tblEmployee[Age],"Not Found")</f>
        <v>38</v>
      </c>
      <c r="X29" t="str">
        <f>_xlfn.XLOOKUP(F29,tblEmployee[Employee_ID],tblEmployee[Gender],"Not Found")</f>
        <v>Female</v>
      </c>
      <c r="Y29">
        <f>_xlfn.XLOOKUP(F29,tblEmployee[Employee_ID],tblEmployee[Joining_Date],"")</f>
        <v>45611</v>
      </c>
      <c r="Z29">
        <f>_xlfn.XLOOKUP(H29,tblDepartment[Department],tblDepartment[Annual_Budget_INR],"")</f>
        <v>22000000</v>
      </c>
      <c r="AA29" t="str">
        <f>_xlfn.XLOOKUP(H29,tblDepartment[Department],tblDepartment[Monthly_Target],"")</f>
        <v>2500 Qualified Leads</v>
      </c>
      <c r="AB29">
        <f>_xlfn.XLOOKUP(H29,tblDepartment[Department],tblDepartment[Average_Salary_INR],"")</f>
        <v>590000</v>
      </c>
      <c r="AC29" t="str">
        <f>_xlfn.XLOOKUP(H29,tblDepartment[Department],tblDepartment[Priority_Level],"")</f>
        <v>Medium</v>
      </c>
      <c r="AD29" t="str">
        <f>_xlfn.XLOOKUP(H29,tblDepartment[Department],tblDepartment[Key_KPI],"")</f>
        <v>Lead Generation</v>
      </c>
      <c r="AE29">
        <f>_xlfn.XLOOKUP(tblMaster[[#This Row],[Shift]],tblShift[Shift_Name],tblShift[Login_Time],"")</f>
        <v>0.25</v>
      </c>
      <c r="AF29">
        <f>_xlfn.XLOOKUP(tblMaster[[#This Row],[Shift]],tblShift[Shift_Name],tblShift[Logout_Time]," ")</f>
        <v>0.625</v>
      </c>
      <c r="AG29">
        <f>_xlfn.XLOOKUP(tblMaster[[#This Row],[Shift]],tblShift[Shift_Name],tblShift[Standard_Working_Hours],"")</f>
        <v>8</v>
      </c>
      <c r="AH29" t="str">
        <f>_xlfn.XLOOKUP(tblMaster[[#This Row],[Attendance_Date]],tblHoliday[Holiday_Date],tblHoliday[Holiday_Name],"Working Day")</f>
        <v>Working Day</v>
      </c>
      <c r="AI29" t="str">
        <f>_xlfn.XLOOKUP(tblMaster[[#This Row],[Attendance_Date]],tblHoliday[Holiday_Date],tblHoliday[Holiday_Type],"Working Day ")</f>
        <v xml:space="preserve">Working Day </v>
      </c>
    </row>
    <row r="30" spans="1:35" hidden="1" x14ac:dyDescent="0.3">
      <c r="A30" t="s">
        <v>153</v>
      </c>
      <c r="B30" s="3">
        <v>45793</v>
      </c>
      <c r="C30" t="s">
        <v>57</v>
      </c>
      <c r="D30" t="s">
        <v>24</v>
      </c>
      <c r="E30" t="s">
        <v>119</v>
      </c>
      <c r="F30" t="s">
        <v>154</v>
      </c>
      <c r="G30" t="s">
        <v>155</v>
      </c>
      <c r="H30" t="s">
        <v>41</v>
      </c>
      <c r="I30" t="s">
        <v>42</v>
      </c>
      <c r="J30" t="s">
        <v>74</v>
      </c>
      <c r="K30" t="s">
        <v>31</v>
      </c>
      <c r="L30" s="2">
        <v>0.375</v>
      </c>
      <c r="M30" s="2">
        <v>0.75</v>
      </c>
      <c r="N30">
        <v>8</v>
      </c>
      <c r="O30">
        <v>0</v>
      </c>
      <c r="P30" t="s">
        <v>32</v>
      </c>
      <c r="R30">
        <v>4</v>
      </c>
      <c r="S30" t="s">
        <v>67</v>
      </c>
      <c r="T30" t="s">
        <v>46</v>
      </c>
      <c r="U30" t="s">
        <v>55</v>
      </c>
      <c r="W30">
        <f>_xlfn.XLOOKUP(F30,tblEmployee[Employee_ID],tblEmployee[Age],"Not Found")</f>
        <v>33</v>
      </c>
      <c r="X30" t="str">
        <f>_xlfn.XLOOKUP(F30,tblEmployee[Employee_ID],tblEmployee[Gender],"Not Found")</f>
        <v>Male</v>
      </c>
      <c r="Y30">
        <f>_xlfn.XLOOKUP(F30,tblEmployee[Employee_ID],tblEmployee[Joining_Date],"")</f>
        <v>45275</v>
      </c>
      <c r="Z30">
        <f>_xlfn.XLOOKUP(H30,tblDepartment[Department],tblDepartment[Annual_Budget_INR],"")</f>
        <v>34000000</v>
      </c>
      <c r="AA30" t="str">
        <f>_xlfn.XLOOKUP(H30,tblDepartment[Department],tblDepartment[Monthly_Target],"")</f>
        <v>95% Process Efficiency</v>
      </c>
      <c r="AB30">
        <f>_xlfn.XLOOKUP(H30,tblDepartment[Department],tblDepartment[Average_Salary_INR],"")</f>
        <v>610000</v>
      </c>
      <c r="AC30" t="str">
        <f>_xlfn.XLOOKUP(H30,tblDepartment[Department],tblDepartment[Priority_Level],"")</f>
        <v>High</v>
      </c>
      <c r="AD30" t="str">
        <f>_xlfn.XLOOKUP(H30,tblDepartment[Department],tblDepartment[Key_KPI],"")</f>
        <v>Operational Efficiency</v>
      </c>
      <c r="AE30">
        <f>_xlfn.XLOOKUP(tblMaster[[#This Row],[Shift]],tblShift[Shift_Name],tblShift[Login_Time],"")</f>
        <v>0.25</v>
      </c>
      <c r="AF30">
        <f>_xlfn.XLOOKUP(tblMaster[[#This Row],[Shift]],tblShift[Shift_Name],tblShift[Logout_Time]," ")</f>
        <v>0.625</v>
      </c>
      <c r="AG30">
        <f>_xlfn.XLOOKUP(tblMaster[[#This Row],[Shift]],tblShift[Shift_Name],tblShift[Standard_Working_Hours],"")</f>
        <v>8</v>
      </c>
      <c r="AH30" t="str">
        <f>_xlfn.XLOOKUP(tblMaster[[#This Row],[Attendance_Date]],tblHoliday[Holiday_Date],tblHoliday[Holiday_Name],"Working Day")</f>
        <v>Working Day</v>
      </c>
      <c r="AI30" t="str">
        <f>_xlfn.XLOOKUP(tblMaster[[#This Row],[Attendance_Date]],tblHoliday[Holiday_Date],tblHoliday[Holiday_Type],"Working Day ")</f>
        <v xml:space="preserve">Working Day </v>
      </c>
    </row>
    <row r="31" spans="1:35" hidden="1" x14ac:dyDescent="0.3">
      <c r="A31" t="s">
        <v>156</v>
      </c>
      <c r="B31" s="1">
        <v>45754</v>
      </c>
      <c r="C31" t="s">
        <v>37</v>
      </c>
      <c r="D31" t="s">
        <v>24</v>
      </c>
      <c r="E31" t="s">
        <v>109</v>
      </c>
      <c r="F31" t="s">
        <v>52</v>
      </c>
      <c r="G31" t="s">
        <v>53</v>
      </c>
      <c r="H31" t="s">
        <v>41</v>
      </c>
      <c r="I31" t="s">
        <v>42</v>
      </c>
      <c r="J31" t="s">
        <v>43</v>
      </c>
      <c r="K31" t="s">
        <v>54</v>
      </c>
      <c r="L31" s="2">
        <v>0.375</v>
      </c>
      <c r="M31" s="2">
        <v>0.75</v>
      </c>
      <c r="N31">
        <v>8</v>
      </c>
      <c r="O31">
        <v>0</v>
      </c>
      <c r="P31" t="s">
        <v>32</v>
      </c>
      <c r="S31" t="s">
        <v>45</v>
      </c>
      <c r="T31" t="s">
        <v>46</v>
      </c>
      <c r="U31" t="s">
        <v>85</v>
      </c>
      <c r="V31" t="s">
        <v>35</v>
      </c>
      <c r="W31">
        <f>_xlfn.XLOOKUP(F31,tblEmployee[Employee_ID],tblEmployee[Age],"Not Found")</f>
        <v>27</v>
      </c>
      <c r="X31" t="str">
        <f>_xlfn.XLOOKUP(F31,tblEmployee[Employee_ID],tblEmployee[Gender],"Not Found")</f>
        <v>Male</v>
      </c>
      <c r="Y31">
        <f>_xlfn.XLOOKUP(F31,tblEmployee[Employee_ID],tblEmployee[Joining_Date],"")</f>
        <v>45092</v>
      </c>
      <c r="Z31">
        <f>_xlfn.XLOOKUP(H31,tblDepartment[Department],tblDepartment[Annual_Budget_INR],"")</f>
        <v>34000000</v>
      </c>
      <c r="AA31" t="str">
        <f>_xlfn.XLOOKUP(H31,tblDepartment[Department],tblDepartment[Monthly_Target],"")</f>
        <v>95% Process Efficiency</v>
      </c>
      <c r="AB31">
        <f>_xlfn.XLOOKUP(H31,tblDepartment[Department],tblDepartment[Average_Salary_INR],"")</f>
        <v>610000</v>
      </c>
      <c r="AC31" t="str">
        <f>_xlfn.XLOOKUP(H31,tblDepartment[Department],tblDepartment[Priority_Level],"")</f>
        <v>High</v>
      </c>
      <c r="AD31" t="str">
        <f>_xlfn.XLOOKUP(H31,tblDepartment[Department],tblDepartment[Key_KPI],"")</f>
        <v>Operational Efficiency</v>
      </c>
      <c r="AE31">
        <f>_xlfn.XLOOKUP(tblMaster[[#This Row],[Shift]],tblShift[Shift_Name],tblShift[Login_Time],"")</f>
        <v>0.58333333333333337</v>
      </c>
      <c r="AF31">
        <f>_xlfn.XLOOKUP(tblMaster[[#This Row],[Shift]],tblShift[Shift_Name],tblShift[Logout_Time]," ")</f>
        <v>0.95833333333333337</v>
      </c>
      <c r="AG31">
        <f>_xlfn.XLOOKUP(tblMaster[[#This Row],[Shift]],tblShift[Shift_Name],tblShift[Standard_Working_Hours],"")</f>
        <v>8</v>
      </c>
      <c r="AH31" t="str">
        <f>_xlfn.XLOOKUP(tblMaster[[#This Row],[Attendance_Date]],tblHoliday[Holiday_Date],tblHoliday[Holiday_Name],"Working Day")</f>
        <v>Working Day</v>
      </c>
      <c r="AI31" t="str">
        <f>_xlfn.XLOOKUP(tblMaster[[#This Row],[Attendance_Date]],tblHoliday[Holiday_Date],tblHoliday[Holiday_Type],"Working Day ")</f>
        <v xml:space="preserve">Working Day </v>
      </c>
    </row>
    <row r="32" spans="1:35" hidden="1" x14ac:dyDescent="0.3">
      <c r="A32" t="s">
        <v>157</v>
      </c>
      <c r="B32" s="1">
        <v>45782</v>
      </c>
      <c r="C32" t="s">
        <v>57</v>
      </c>
      <c r="D32" t="s">
        <v>24</v>
      </c>
      <c r="E32" t="s">
        <v>109</v>
      </c>
      <c r="F32" t="s">
        <v>39</v>
      </c>
      <c r="G32" t="s">
        <v>40</v>
      </c>
      <c r="H32" t="s">
        <v>41</v>
      </c>
      <c r="I32" t="s">
        <v>42</v>
      </c>
      <c r="J32" t="s">
        <v>43</v>
      </c>
      <c r="K32" t="s">
        <v>31</v>
      </c>
      <c r="P32" t="s">
        <v>135</v>
      </c>
      <c r="S32" t="s">
        <v>67</v>
      </c>
      <c r="T32" t="s">
        <v>46</v>
      </c>
      <c r="U32" t="s">
        <v>47</v>
      </c>
      <c r="V32" t="s">
        <v>69</v>
      </c>
      <c r="W32">
        <f>_xlfn.XLOOKUP(F32,tblEmployee[Employee_ID],tblEmployee[Age],"Not Found")</f>
        <v>26</v>
      </c>
      <c r="X32" t="str">
        <f>_xlfn.XLOOKUP(F32,tblEmployee[Employee_ID],tblEmployee[Gender],"Not Found")</f>
        <v>Male</v>
      </c>
      <c r="Y32">
        <f>_xlfn.XLOOKUP(F32,tblEmployee[Employee_ID],tblEmployee[Joining_Date],"")</f>
        <v>45061</v>
      </c>
      <c r="Z32">
        <f>_xlfn.XLOOKUP(H32,tblDepartment[Department],tblDepartment[Annual_Budget_INR],"")</f>
        <v>34000000</v>
      </c>
      <c r="AA32" t="str">
        <f>_xlfn.XLOOKUP(H32,tblDepartment[Department],tblDepartment[Monthly_Target],"")</f>
        <v>95% Process Efficiency</v>
      </c>
      <c r="AB32">
        <f>_xlfn.XLOOKUP(H32,tblDepartment[Department],tblDepartment[Average_Salary_INR],"")</f>
        <v>610000</v>
      </c>
      <c r="AC32" t="str">
        <f>_xlfn.XLOOKUP(H32,tblDepartment[Department],tblDepartment[Priority_Level],"")</f>
        <v>High</v>
      </c>
      <c r="AD32" t="str">
        <f>_xlfn.XLOOKUP(H32,tblDepartment[Department],tblDepartment[Key_KPI],"")</f>
        <v>Operational Efficiency</v>
      </c>
      <c r="AE32">
        <f>_xlfn.XLOOKUP(tblMaster[[#This Row],[Shift]],tblShift[Shift_Name],tblShift[Login_Time],"")</f>
        <v>0.25</v>
      </c>
      <c r="AF32">
        <f>_xlfn.XLOOKUP(tblMaster[[#This Row],[Shift]],tblShift[Shift_Name],tblShift[Logout_Time]," ")</f>
        <v>0.625</v>
      </c>
      <c r="AG32">
        <f>_xlfn.XLOOKUP(tblMaster[[#This Row],[Shift]],tblShift[Shift_Name],tblShift[Standard_Working_Hours],"")</f>
        <v>8</v>
      </c>
      <c r="AH32" t="str">
        <f>_xlfn.XLOOKUP(tblMaster[[#This Row],[Attendance_Date]],tblHoliday[Holiday_Date],tblHoliday[Holiday_Name],"Working Day")</f>
        <v>Working Day</v>
      </c>
      <c r="AI32" t="str">
        <f>_xlfn.XLOOKUP(tblMaster[[#This Row],[Attendance_Date]],tblHoliday[Holiday_Date],tblHoliday[Holiday_Type],"Working Day ")</f>
        <v xml:space="preserve">Working Day </v>
      </c>
    </row>
    <row r="33" spans="1:35" hidden="1" x14ac:dyDescent="0.3">
      <c r="A33" t="s">
        <v>158</v>
      </c>
      <c r="B33" s="3">
        <v>45689</v>
      </c>
      <c r="C33" t="s">
        <v>95</v>
      </c>
      <c r="D33" t="s">
        <v>50</v>
      </c>
      <c r="E33" t="s">
        <v>38</v>
      </c>
      <c r="F33" t="s">
        <v>159</v>
      </c>
      <c r="G33" t="s">
        <v>160</v>
      </c>
      <c r="H33" t="s">
        <v>64</v>
      </c>
      <c r="I33" t="s">
        <v>65</v>
      </c>
      <c r="J33" t="s">
        <v>100</v>
      </c>
      <c r="K33" t="s">
        <v>75</v>
      </c>
      <c r="L33" s="2">
        <v>0.375</v>
      </c>
      <c r="M33" s="2">
        <v>0.75</v>
      </c>
      <c r="N33">
        <v>8</v>
      </c>
      <c r="O33">
        <v>0</v>
      </c>
      <c r="P33" t="s">
        <v>32</v>
      </c>
      <c r="R33">
        <v>4</v>
      </c>
      <c r="S33" t="s">
        <v>33</v>
      </c>
      <c r="T33" t="s">
        <v>68</v>
      </c>
      <c r="U33" t="s">
        <v>47</v>
      </c>
      <c r="W33">
        <f>_xlfn.XLOOKUP(F33,tblEmployee[Employee_ID],tblEmployee[Age],"Not Found")</f>
        <v>30</v>
      </c>
      <c r="X33" t="str">
        <f>_xlfn.XLOOKUP(F33,tblEmployee[Employee_ID],tblEmployee[Gender],"Not Found")</f>
        <v>Female</v>
      </c>
      <c r="Y33">
        <f>_xlfn.XLOOKUP(F33,tblEmployee[Employee_ID],tblEmployee[Joining_Date],"")</f>
        <v>43723</v>
      </c>
      <c r="Z33">
        <f>_xlfn.XLOOKUP(H33,tblDepartment[Department],tblDepartment[Annual_Budget_INR],"")</f>
        <v>85000000</v>
      </c>
      <c r="AA33" t="str">
        <f>_xlfn.XLOOKUP(H33,tblDepartment[Department],tblDepartment[Monthly_Target],"")</f>
        <v>99.5% System Uptime</v>
      </c>
      <c r="AB33">
        <f>_xlfn.XLOOKUP(H33,tblDepartment[Department],tblDepartment[Average_Salary_INR],"")</f>
        <v>720000</v>
      </c>
      <c r="AC33" t="str">
        <f>_xlfn.XLOOKUP(H33,tblDepartment[Department],tblDepartment[Priority_Level],"")</f>
        <v>High</v>
      </c>
      <c r="AD33" t="str">
        <f>_xlfn.XLOOKUP(H33,tblDepartment[Department],tblDepartment[Key_KPI],"")</f>
        <v>Project Delivery</v>
      </c>
      <c r="AE33">
        <f>_xlfn.XLOOKUP(tblMaster[[#This Row],[Shift]],tblShift[Shift_Name],tblShift[Login_Time],"")</f>
        <v>0.375</v>
      </c>
      <c r="AF33">
        <f>_xlfn.XLOOKUP(tblMaster[[#This Row],[Shift]],tblShift[Shift_Name],tblShift[Logout_Time]," ")</f>
        <v>0.75</v>
      </c>
      <c r="AG33">
        <f>_xlfn.XLOOKUP(tblMaster[[#This Row],[Shift]],tblShift[Shift_Name],tblShift[Standard_Working_Hours],"")</f>
        <v>8</v>
      </c>
      <c r="AH33" t="str">
        <f>_xlfn.XLOOKUP(tblMaster[[#This Row],[Attendance_Date]],tblHoliday[Holiday_Date],tblHoliday[Holiday_Name],"Working Day")</f>
        <v>Working Day</v>
      </c>
      <c r="AI33" t="str">
        <f>_xlfn.XLOOKUP(tblMaster[[#This Row],[Attendance_Date]],tblHoliday[Holiday_Date],tblHoliday[Holiday_Type],"Working Day ")</f>
        <v xml:space="preserve">Working Day </v>
      </c>
    </row>
    <row r="34" spans="1:35" hidden="1" x14ac:dyDescent="0.3">
      <c r="A34" t="s">
        <v>161</v>
      </c>
      <c r="B34" s="3">
        <v>45743</v>
      </c>
      <c r="C34" t="s">
        <v>71</v>
      </c>
      <c r="D34" t="s">
        <v>50</v>
      </c>
      <c r="E34" t="s">
        <v>25</v>
      </c>
      <c r="F34" t="s">
        <v>62</v>
      </c>
      <c r="G34" t="s">
        <v>63</v>
      </c>
      <c r="H34" t="s">
        <v>64</v>
      </c>
      <c r="I34" t="s">
        <v>65</v>
      </c>
      <c r="J34" t="s">
        <v>66</v>
      </c>
      <c r="K34" t="s">
        <v>44</v>
      </c>
      <c r="L34" s="2">
        <v>0.375</v>
      </c>
      <c r="M34" s="2">
        <v>0.75</v>
      </c>
      <c r="N34">
        <v>10</v>
      </c>
      <c r="O34">
        <v>2</v>
      </c>
      <c r="P34" t="s">
        <v>32</v>
      </c>
      <c r="R34">
        <v>4</v>
      </c>
      <c r="S34" t="s">
        <v>92</v>
      </c>
      <c r="T34" t="s">
        <v>68</v>
      </c>
      <c r="U34" t="s">
        <v>55</v>
      </c>
      <c r="W34">
        <f>_xlfn.XLOOKUP(F34,tblEmployee[Employee_ID],tblEmployee[Age],"Not Found")</f>
        <v>23</v>
      </c>
      <c r="X34" t="str">
        <f>_xlfn.XLOOKUP(F34,tblEmployee[Employee_ID],tblEmployee[Gender],"Not Found")</f>
        <v>Male</v>
      </c>
      <c r="Y34">
        <f>_xlfn.XLOOKUP(F34,tblEmployee[Employee_ID],tblEmployee[Joining_Date],"")</f>
        <v>43511</v>
      </c>
      <c r="Z34">
        <f>_xlfn.XLOOKUP(H34,tblDepartment[Department],tblDepartment[Annual_Budget_INR],"")</f>
        <v>85000000</v>
      </c>
      <c r="AA34" t="str">
        <f>_xlfn.XLOOKUP(H34,tblDepartment[Department],tblDepartment[Monthly_Target],"")</f>
        <v>99.5% System Uptime</v>
      </c>
      <c r="AB34">
        <f>_xlfn.XLOOKUP(H34,tblDepartment[Department],tblDepartment[Average_Salary_INR],"")</f>
        <v>720000</v>
      </c>
      <c r="AC34" t="str">
        <f>_xlfn.XLOOKUP(H34,tblDepartment[Department],tblDepartment[Priority_Level],"")</f>
        <v>High</v>
      </c>
      <c r="AD34" t="str">
        <f>_xlfn.XLOOKUP(H34,tblDepartment[Department],tblDepartment[Key_KPI],"")</f>
        <v>Project Delivery</v>
      </c>
      <c r="AE34">
        <f>_xlfn.XLOOKUP(tblMaster[[#This Row],[Shift]],tblShift[Shift_Name],tblShift[Login_Time],"")</f>
        <v>0.41666666666666669</v>
      </c>
      <c r="AF34">
        <f>_xlfn.XLOOKUP(tblMaster[[#This Row],[Shift]],tblShift[Shift_Name],tblShift[Logout_Time]," ")</f>
        <v>0.79166666666666663</v>
      </c>
      <c r="AG34">
        <f>_xlfn.XLOOKUP(tblMaster[[#This Row],[Shift]],tblShift[Shift_Name],tblShift[Standard_Working_Hours],"")</f>
        <v>8</v>
      </c>
      <c r="AH34" t="str">
        <f>_xlfn.XLOOKUP(tblMaster[[#This Row],[Attendance_Date]],tblHoliday[Holiday_Date],tblHoliday[Holiday_Name],"Working Day")</f>
        <v>Working Day</v>
      </c>
      <c r="AI34" t="str">
        <f>_xlfn.XLOOKUP(tblMaster[[#This Row],[Attendance_Date]],tblHoliday[Holiday_Date],tblHoliday[Holiday_Type],"Working Day ")</f>
        <v xml:space="preserve">Working Day </v>
      </c>
    </row>
    <row r="35" spans="1:35" x14ac:dyDescent="0.3">
      <c r="A35" t="s">
        <v>162</v>
      </c>
      <c r="B35" s="1">
        <v>45733</v>
      </c>
      <c r="C35" t="s">
        <v>71</v>
      </c>
      <c r="D35" t="s">
        <v>50</v>
      </c>
      <c r="E35" t="s">
        <v>109</v>
      </c>
      <c r="F35" t="s">
        <v>163</v>
      </c>
      <c r="G35" t="s">
        <v>164</v>
      </c>
      <c r="H35" t="s">
        <v>112</v>
      </c>
      <c r="I35" t="s">
        <v>113</v>
      </c>
      <c r="J35" t="s">
        <v>100</v>
      </c>
      <c r="K35" t="s">
        <v>44</v>
      </c>
      <c r="L35" s="2">
        <v>0.38194444444444442</v>
      </c>
      <c r="M35" s="2">
        <v>0.75</v>
      </c>
      <c r="N35">
        <v>8</v>
      </c>
      <c r="O35">
        <v>0</v>
      </c>
      <c r="P35" t="s">
        <v>32</v>
      </c>
      <c r="R35">
        <v>4</v>
      </c>
      <c r="S35" t="s">
        <v>92</v>
      </c>
      <c r="T35" t="s">
        <v>114</v>
      </c>
      <c r="U35" t="str">
        <f>_xlfn.XLOOKUP(tblMaster[[#This Row],[Employee_ID]],tblEmployee[Employee_ID],tblEmployee[Work_Mode]," ")</f>
        <v>Office</v>
      </c>
      <c r="V35" t="s">
        <v>35</v>
      </c>
      <c r="W35">
        <f>_xlfn.XLOOKUP(F35,tblEmployee[Employee_ID],tblEmployee[Age],"Not Found")</f>
        <v>25</v>
      </c>
      <c r="X35" t="str">
        <f>_xlfn.XLOOKUP(F35,tblEmployee[Employee_ID],tblEmployee[Gender],"Not Found")</f>
        <v>Male</v>
      </c>
      <c r="Y35">
        <f>_xlfn.XLOOKUP(F35,tblEmployee[Employee_ID],tblEmployee[Joining_Date],"")</f>
        <v>44301</v>
      </c>
      <c r="Z35">
        <f>_xlfn.XLOOKUP(H35,tblDepartment[Department],tblDepartment[Annual_Budget_INR],"")</f>
        <v>42000000</v>
      </c>
      <c r="AA35" t="str">
        <f>_xlfn.XLOOKUP(H35,tblDepartment[Department],tblDepartment[Monthly_Target],"")</f>
        <v>₹2.5 Cr Monthly Sales</v>
      </c>
      <c r="AB35">
        <f>_xlfn.XLOOKUP(H35,tblDepartment[Department],tblDepartment[Average_Salary_INR],"")</f>
        <v>680000</v>
      </c>
      <c r="AC35" t="str">
        <f>_xlfn.XLOOKUP(H35,tblDepartment[Department],tblDepartment[Priority_Level],"")</f>
        <v>High</v>
      </c>
      <c r="AD35" t="str">
        <f>_xlfn.XLOOKUP(H35,tblDepartment[Department],tblDepartment[Key_KPI],"")</f>
        <v>Revenue Achievement</v>
      </c>
      <c r="AE35">
        <f>_xlfn.XLOOKUP(tblMaster[[#This Row],[Shift]],tblShift[Shift_Name],tblShift[Login_Time],"")</f>
        <v>0.41666666666666669</v>
      </c>
      <c r="AF35">
        <f>_xlfn.XLOOKUP(tblMaster[[#This Row],[Shift]],tblShift[Shift_Name],tblShift[Logout_Time]," ")</f>
        <v>0.79166666666666663</v>
      </c>
      <c r="AG35">
        <f>_xlfn.XLOOKUP(tblMaster[[#This Row],[Shift]],tblShift[Shift_Name],tblShift[Standard_Working_Hours],"")</f>
        <v>8</v>
      </c>
      <c r="AH35" t="str">
        <f>_xlfn.XLOOKUP(tblMaster[[#This Row],[Attendance_Date]],tblHoliday[Holiday_Date],tblHoliday[Holiday_Name],"Working Day")</f>
        <v>Working Day</v>
      </c>
      <c r="AI35" t="str">
        <f>_xlfn.XLOOKUP(tblMaster[[#This Row],[Attendance_Date]],tblHoliday[Holiday_Date],tblHoliday[Holiday_Type],"Working Day ")</f>
        <v xml:space="preserve">Working Day </v>
      </c>
    </row>
    <row r="36" spans="1:35" hidden="1" x14ac:dyDescent="0.3">
      <c r="A36" t="s">
        <v>165</v>
      </c>
      <c r="B36" s="3">
        <v>45698</v>
      </c>
      <c r="C36" t="s">
        <v>95</v>
      </c>
      <c r="D36" t="s">
        <v>50</v>
      </c>
      <c r="E36" t="s">
        <v>109</v>
      </c>
      <c r="F36" t="s">
        <v>166</v>
      </c>
      <c r="G36" t="s">
        <v>167</v>
      </c>
      <c r="H36" t="s">
        <v>41</v>
      </c>
      <c r="I36" t="s">
        <v>42</v>
      </c>
      <c r="J36" t="s">
        <v>100</v>
      </c>
      <c r="K36" t="s">
        <v>81</v>
      </c>
      <c r="L36" s="2">
        <v>0.91666666666666663</v>
      </c>
      <c r="M36" s="2">
        <v>0.29166666666666669</v>
      </c>
      <c r="N36">
        <v>10</v>
      </c>
      <c r="O36">
        <v>2</v>
      </c>
      <c r="P36" t="s">
        <v>32</v>
      </c>
      <c r="R36">
        <v>3</v>
      </c>
      <c r="S36" t="s">
        <v>45</v>
      </c>
      <c r="T36" t="s">
        <v>46</v>
      </c>
      <c r="U36" t="s">
        <v>55</v>
      </c>
      <c r="V36" t="s">
        <v>69</v>
      </c>
      <c r="W36">
        <f>_xlfn.XLOOKUP(F36,tblEmployee[Employee_ID],tblEmployee[Age],"Not Found")</f>
        <v>37</v>
      </c>
      <c r="X36" t="str">
        <f>_xlfn.XLOOKUP(F36,tblEmployee[Employee_ID],tblEmployee[Gender],"Not Found")</f>
        <v>Male</v>
      </c>
      <c r="Y36">
        <f>_xlfn.XLOOKUP(F36,tblEmployee[Employee_ID],tblEmployee[Joining_Date],"")</f>
        <v>45214</v>
      </c>
      <c r="Z36">
        <f>_xlfn.XLOOKUP(H36,tblDepartment[Department],tblDepartment[Annual_Budget_INR],"")</f>
        <v>34000000</v>
      </c>
      <c r="AA36" t="str">
        <f>_xlfn.XLOOKUP(H36,tblDepartment[Department],tblDepartment[Monthly_Target],"")</f>
        <v>95% Process Efficiency</v>
      </c>
      <c r="AB36">
        <f>_xlfn.XLOOKUP(H36,tblDepartment[Department],tblDepartment[Average_Salary_INR],"")</f>
        <v>610000</v>
      </c>
      <c r="AC36" t="str">
        <f>_xlfn.XLOOKUP(H36,tblDepartment[Department],tblDepartment[Priority_Level],"")</f>
        <v>High</v>
      </c>
      <c r="AD36" t="str">
        <f>_xlfn.XLOOKUP(H36,tblDepartment[Department],tblDepartment[Key_KPI],"")</f>
        <v>Operational Efficiency</v>
      </c>
      <c r="AE36">
        <f>_xlfn.XLOOKUP(tblMaster[[#This Row],[Shift]],tblShift[Shift_Name],tblShift[Login_Time],"")</f>
        <v>0.91666666666666663</v>
      </c>
      <c r="AF36">
        <f>_xlfn.XLOOKUP(tblMaster[[#This Row],[Shift]],tblShift[Shift_Name],tblShift[Logout_Time]," ")</f>
        <v>0.29166666666666669</v>
      </c>
      <c r="AG36">
        <f>_xlfn.XLOOKUP(tblMaster[[#This Row],[Shift]],tblShift[Shift_Name],tblShift[Standard_Working_Hours],"")</f>
        <v>8</v>
      </c>
      <c r="AH36" t="str">
        <f>_xlfn.XLOOKUP(tblMaster[[#This Row],[Attendance_Date]],tblHoliday[Holiday_Date],tblHoliday[Holiday_Name],"Working Day")</f>
        <v>Working Day</v>
      </c>
      <c r="AI36" t="str">
        <f>_xlfn.XLOOKUP(tblMaster[[#This Row],[Attendance_Date]],tblHoliday[Holiday_Date],tblHoliday[Holiday_Type],"Working Day ")</f>
        <v xml:space="preserve">Working Day </v>
      </c>
    </row>
    <row r="37" spans="1:35" x14ac:dyDescent="0.3">
      <c r="A37" t="s">
        <v>168</v>
      </c>
      <c r="B37" s="1">
        <v>45776</v>
      </c>
      <c r="C37" t="s">
        <v>37</v>
      </c>
      <c r="D37" t="s">
        <v>24</v>
      </c>
      <c r="E37" t="s">
        <v>87</v>
      </c>
      <c r="F37" t="s">
        <v>96</v>
      </c>
      <c r="G37" t="s">
        <v>97</v>
      </c>
      <c r="H37" t="s">
        <v>98</v>
      </c>
      <c r="I37" t="s">
        <v>99</v>
      </c>
      <c r="J37" t="s">
        <v>100</v>
      </c>
      <c r="K37" t="s">
        <v>54</v>
      </c>
      <c r="L37" s="2">
        <v>0.375</v>
      </c>
      <c r="M37" s="2">
        <v>0.75</v>
      </c>
      <c r="N37">
        <v>8</v>
      </c>
      <c r="O37">
        <v>0</v>
      </c>
      <c r="P37" t="s">
        <v>32</v>
      </c>
      <c r="R37">
        <v>3</v>
      </c>
      <c r="S37" t="s">
        <v>67</v>
      </c>
      <c r="T37" t="s">
        <v>101</v>
      </c>
      <c r="U37" t="str">
        <f>_xlfn.XLOOKUP(tblMaster[[#This Row],[Employee_ID]],tblEmployee[Employee_ID],tblEmployee[Work_Mode]," ")</f>
        <v>Office</v>
      </c>
      <c r="V37" t="s">
        <v>60</v>
      </c>
      <c r="W37">
        <f>_xlfn.XLOOKUP(F37,tblEmployee[Employee_ID],tblEmployee[Age],"Not Found")</f>
        <v>34</v>
      </c>
      <c r="X37" t="str">
        <f>_xlfn.XLOOKUP(F37,tblEmployee[Employee_ID],tblEmployee[Gender],"Not Found")</f>
        <v>Female</v>
      </c>
      <c r="Y37">
        <f>_xlfn.XLOOKUP(F37,tblEmployee[Employee_ID],tblEmployee[Joining_Date],"")</f>
        <v>45306</v>
      </c>
      <c r="Z37">
        <f>_xlfn.XLOOKUP(H37,tblDepartment[Department],tblDepartment[Annual_Budget_INR],"")</f>
        <v>22000000</v>
      </c>
      <c r="AA37" t="str">
        <f>_xlfn.XLOOKUP(H37,tblDepartment[Department],tblDepartment[Monthly_Target],"")</f>
        <v>2500 Qualified Leads</v>
      </c>
      <c r="AB37">
        <f>_xlfn.XLOOKUP(H37,tblDepartment[Department],tblDepartment[Average_Salary_INR],"")</f>
        <v>590000</v>
      </c>
      <c r="AC37" t="str">
        <f>_xlfn.XLOOKUP(H37,tblDepartment[Department],tblDepartment[Priority_Level],"")</f>
        <v>Medium</v>
      </c>
      <c r="AD37" t="str">
        <f>_xlfn.XLOOKUP(H37,tblDepartment[Department],tblDepartment[Key_KPI],"")</f>
        <v>Lead Generation</v>
      </c>
      <c r="AE37">
        <f>_xlfn.XLOOKUP(tblMaster[[#This Row],[Shift]],tblShift[Shift_Name],tblShift[Login_Time],"")</f>
        <v>0.58333333333333337</v>
      </c>
      <c r="AF37">
        <f>_xlfn.XLOOKUP(tblMaster[[#This Row],[Shift]],tblShift[Shift_Name],tblShift[Logout_Time]," ")</f>
        <v>0.95833333333333337</v>
      </c>
      <c r="AG37">
        <f>_xlfn.XLOOKUP(tblMaster[[#This Row],[Shift]],tblShift[Shift_Name],tblShift[Standard_Working_Hours],"")</f>
        <v>8</v>
      </c>
      <c r="AH37" t="str">
        <f>_xlfn.XLOOKUP(tblMaster[[#This Row],[Attendance_Date]],tblHoliday[Holiday_Date],tblHoliday[Holiday_Name],"Working Day")</f>
        <v>Working Day</v>
      </c>
      <c r="AI37" t="str">
        <f>_xlfn.XLOOKUP(tblMaster[[#This Row],[Attendance_Date]],tblHoliday[Holiday_Date],tblHoliday[Holiday_Type],"Working Day ")</f>
        <v xml:space="preserve">Working Day </v>
      </c>
    </row>
    <row r="38" spans="1:35" hidden="1" x14ac:dyDescent="0.3">
      <c r="A38" t="s">
        <v>169</v>
      </c>
      <c r="B38" s="3">
        <v>45739</v>
      </c>
      <c r="C38" t="s">
        <v>71</v>
      </c>
      <c r="D38" t="s">
        <v>50</v>
      </c>
      <c r="E38" t="s">
        <v>103</v>
      </c>
      <c r="F38" t="s">
        <v>170</v>
      </c>
      <c r="G38" t="s">
        <v>171</v>
      </c>
      <c r="H38" t="s">
        <v>64</v>
      </c>
      <c r="I38" t="s">
        <v>65</v>
      </c>
      <c r="J38" t="s">
        <v>43</v>
      </c>
      <c r="K38" t="s">
        <v>54</v>
      </c>
      <c r="L38" s="2">
        <v>0.375</v>
      </c>
      <c r="M38" s="2">
        <v>0.75</v>
      </c>
      <c r="N38">
        <v>10</v>
      </c>
      <c r="O38">
        <v>2</v>
      </c>
      <c r="P38" t="s">
        <v>32</v>
      </c>
      <c r="R38">
        <v>3</v>
      </c>
      <c r="S38" t="s">
        <v>33</v>
      </c>
      <c r="T38" t="s">
        <v>68</v>
      </c>
      <c r="U38" t="s">
        <v>55</v>
      </c>
      <c r="W38">
        <f>_xlfn.XLOOKUP(F38,tblEmployee[Employee_ID],tblEmployee[Age],"Not Found")</f>
        <v>36</v>
      </c>
      <c r="X38" t="str">
        <f>_xlfn.XLOOKUP(F38,tblEmployee[Employee_ID],tblEmployee[Gender],"Not Found")</f>
        <v>Female</v>
      </c>
      <c r="Y38">
        <f>_xlfn.XLOOKUP(F38,tblEmployee[Employee_ID],tblEmployee[Joining_Date],"")</f>
        <v>43539</v>
      </c>
      <c r="Z38">
        <f>_xlfn.XLOOKUP(H38,tblDepartment[Department],tblDepartment[Annual_Budget_INR],"")</f>
        <v>85000000</v>
      </c>
      <c r="AA38" t="str">
        <f>_xlfn.XLOOKUP(H38,tblDepartment[Department],tblDepartment[Monthly_Target],"")</f>
        <v>99.5% System Uptime</v>
      </c>
      <c r="AB38">
        <f>_xlfn.XLOOKUP(H38,tblDepartment[Department],tblDepartment[Average_Salary_INR],"")</f>
        <v>720000</v>
      </c>
      <c r="AC38" t="str">
        <f>_xlfn.XLOOKUP(H38,tblDepartment[Department],tblDepartment[Priority_Level],"")</f>
        <v>High</v>
      </c>
      <c r="AD38" t="str">
        <f>_xlfn.XLOOKUP(H38,tblDepartment[Department],tblDepartment[Key_KPI],"")</f>
        <v>Project Delivery</v>
      </c>
      <c r="AE38">
        <f>_xlfn.XLOOKUP(tblMaster[[#This Row],[Shift]],tblShift[Shift_Name],tblShift[Login_Time],"")</f>
        <v>0.58333333333333337</v>
      </c>
      <c r="AF38">
        <f>_xlfn.XLOOKUP(tblMaster[[#This Row],[Shift]],tblShift[Shift_Name],tblShift[Logout_Time]," ")</f>
        <v>0.95833333333333337</v>
      </c>
      <c r="AG38">
        <f>_xlfn.XLOOKUP(tblMaster[[#This Row],[Shift]],tblShift[Shift_Name],tblShift[Standard_Working_Hours],"")</f>
        <v>8</v>
      </c>
      <c r="AH38" t="str">
        <f>_xlfn.XLOOKUP(tblMaster[[#This Row],[Attendance_Date]],tblHoliday[Holiday_Date],tblHoliday[Holiday_Name],"Working Day")</f>
        <v>Working Day</v>
      </c>
      <c r="AI38" t="str">
        <f>_xlfn.XLOOKUP(tblMaster[[#This Row],[Attendance_Date]],tblHoliday[Holiday_Date],tblHoliday[Holiday_Type],"Working Day ")</f>
        <v xml:space="preserve">Working Day </v>
      </c>
    </row>
    <row r="39" spans="1:35" x14ac:dyDescent="0.3">
      <c r="A39" t="s">
        <v>172</v>
      </c>
      <c r="B39" s="1">
        <v>45781</v>
      </c>
      <c r="C39" t="s">
        <v>57</v>
      </c>
      <c r="D39" t="s">
        <v>24</v>
      </c>
      <c r="E39" t="s">
        <v>103</v>
      </c>
      <c r="F39" t="s">
        <v>173</v>
      </c>
      <c r="G39" t="s">
        <v>174</v>
      </c>
      <c r="H39" t="s">
        <v>90</v>
      </c>
      <c r="I39" t="s">
        <v>91</v>
      </c>
      <c r="J39" t="s">
        <v>74</v>
      </c>
      <c r="K39" t="s">
        <v>75</v>
      </c>
      <c r="L39" s="2">
        <v>0.375</v>
      </c>
      <c r="M39" s="2">
        <v>0.75</v>
      </c>
      <c r="N39">
        <v>8</v>
      </c>
      <c r="O39">
        <v>0</v>
      </c>
      <c r="P39" t="s">
        <v>32</v>
      </c>
      <c r="S39" t="s">
        <v>92</v>
      </c>
      <c r="T39" t="s">
        <v>93</v>
      </c>
      <c r="U39" t="str">
        <f>_xlfn.XLOOKUP(tblMaster[[#This Row],[Employee_ID]],tblEmployee[Employee_ID],tblEmployee[Work_Mode]," ")</f>
        <v>Hybrid</v>
      </c>
      <c r="V39" t="s">
        <v>69</v>
      </c>
      <c r="W39">
        <f>_xlfn.XLOOKUP(F39,tblEmployee[Employee_ID],tblEmployee[Age],"Not Found")</f>
        <v>23</v>
      </c>
      <c r="X39" t="str">
        <f>_xlfn.XLOOKUP(F39,tblEmployee[Employee_ID],tblEmployee[Gender],"Not Found")</f>
        <v>Female</v>
      </c>
      <c r="Y39">
        <f>_xlfn.XLOOKUP(F39,tblEmployee[Employee_ID],tblEmployee[Joining_Date],"")</f>
        <v>43876</v>
      </c>
      <c r="Z39">
        <f>_xlfn.XLOOKUP(H39,tblDepartment[Department],tblDepartment[Annual_Budget_INR],"")</f>
        <v>18000000</v>
      </c>
      <c r="AA39" t="str">
        <f>_xlfn.XLOOKUP(H39,tblDepartment[Department],tblDepartment[Monthly_Target],"")</f>
        <v>&lt;30 Days Hiring Cycle</v>
      </c>
      <c r="AB39">
        <f>_xlfn.XLOOKUP(H39,tblDepartment[Department],tblDepartment[Average_Salary_INR],"")</f>
        <v>560000</v>
      </c>
      <c r="AC39" t="str">
        <f>_xlfn.XLOOKUP(H39,tblDepartment[Department],tblDepartment[Priority_Level],"")</f>
        <v>Medium</v>
      </c>
      <c r="AD39" t="str">
        <f>_xlfn.XLOOKUP(H39,tblDepartment[Department],tblDepartment[Key_KPI],"")</f>
        <v>Hiring &amp; Retention</v>
      </c>
      <c r="AE39">
        <f>_xlfn.XLOOKUP(tblMaster[[#This Row],[Shift]],tblShift[Shift_Name],tblShift[Login_Time],"")</f>
        <v>0.375</v>
      </c>
      <c r="AF39">
        <f>_xlfn.XLOOKUP(tblMaster[[#This Row],[Shift]],tblShift[Shift_Name],tblShift[Logout_Time]," ")</f>
        <v>0.75</v>
      </c>
      <c r="AG39">
        <f>_xlfn.XLOOKUP(tblMaster[[#This Row],[Shift]],tblShift[Shift_Name],tblShift[Standard_Working_Hours],"")</f>
        <v>8</v>
      </c>
      <c r="AH39" t="str">
        <f>_xlfn.XLOOKUP(tblMaster[[#This Row],[Attendance_Date]],tblHoliday[Holiday_Date],tblHoliday[Holiday_Name],"Working Day")</f>
        <v>Working Day</v>
      </c>
      <c r="AI39" t="str">
        <f>_xlfn.XLOOKUP(tblMaster[[#This Row],[Attendance_Date]],tblHoliday[Holiday_Date],tblHoliday[Holiday_Type],"Working Day ")</f>
        <v xml:space="preserve">Working Day </v>
      </c>
    </row>
    <row r="40" spans="1:35" hidden="1" x14ac:dyDescent="0.3">
      <c r="A40" t="s">
        <v>175</v>
      </c>
      <c r="B40" s="1">
        <v>45718</v>
      </c>
      <c r="C40" t="s">
        <v>71</v>
      </c>
      <c r="D40" t="s">
        <v>50</v>
      </c>
      <c r="E40" t="s">
        <v>103</v>
      </c>
      <c r="F40" t="s">
        <v>120</v>
      </c>
      <c r="G40" t="s">
        <v>121</v>
      </c>
      <c r="H40" t="s">
        <v>41</v>
      </c>
      <c r="I40" t="s">
        <v>42</v>
      </c>
      <c r="J40" t="s">
        <v>74</v>
      </c>
      <c r="K40" t="s">
        <v>81</v>
      </c>
      <c r="L40" s="2">
        <v>0.91666666666666663</v>
      </c>
      <c r="M40" s="2">
        <v>0.29166666666666669</v>
      </c>
      <c r="N40">
        <v>9</v>
      </c>
      <c r="O40">
        <v>1</v>
      </c>
      <c r="P40" t="s">
        <v>32</v>
      </c>
      <c r="R40">
        <v>4</v>
      </c>
      <c r="S40" t="s">
        <v>33</v>
      </c>
      <c r="T40" t="s">
        <v>46</v>
      </c>
      <c r="U40" t="s">
        <v>85</v>
      </c>
      <c r="V40" t="s">
        <v>35</v>
      </c>
      <c r="W40">
        <f>_xlfn.XLOOKUP(F40,tblEmployee[Employee_ID],tblEmployee[Age],"Not Found")</f>
        <v>34</v>
      </c>
      <c r="X40" t="str">
        <f>_xlfn.XLOOKUP(F40,tblEmployee[Employee_ID],tblEmployee[Gender],"Not Found")</f>
        <v>Female</v>
      </c>
      <c r="Y40">
        <f>_xlfn.XLOOKUP(F40,tblEmployee[Employee_ID],tblEmployee[Joining_Date],"")</f>
        <v>44941</v>
      </c>
      <c r="Z40">
        <f>_xlfn.XLOOKUP(H40,tblDepartment[Department],tblDepartment[Annual_Budget_INR],"")</f>
        <v>34000000</v>
      </c>
      <c r="AA40" t="str">
        <f>_xlfn.XLOOKUP(H40,tblDepartment[Department],tblDepartment[Monthly_Target],"")</f>
        <v>95% Process Efficiency</v>
      </c>
      <c r="AB40">
        <f>_xlfn.XLOOKUP(H40,tblDepartment[Department],tblDepartment[Average_Salary_INR],"")</f>
        <v>610000</v>
      </c>
      <c r="AC40" t="str">
        <f>_xlfn.XLOOKUP(H40,tblDepartment[Department],tblDepartment[Priority_Level],"")</f>
        <v>High</v>
      </c>
      <c r="AD40" t="str">
        <f>_xlfn.XLOOKUP(H40,tblDepartment[Department],tblDepartment[Key_KPI],"")</f>
        <v>Operational Efficiency</v>
      </c>
      <c r="AE40">
        <f>_xlfn.XLOOKUP(tblMaster[[#This Row],[Shift]],tblShift[Shift_Name],tblShift[Login_Time],"")</f>
        <v>0.91666666666666663</v>
      </c>
      <c r="AF40">
        <f>_xlfn.XLOOKUP(tblMaster[[#This Row],[Shift]],tblShift[Shift_Name],tblShift[Logout_Time]," ")</f>
        <v>0.29166666666666669</v>
      </c>
      <c r="AG40">
        <f>_xlfn.XLOOKUP(tblMaster[[#This Row],[Shift]],tblShift[Shift_Name],tblShift[Standard_Working_Hours],"")</f>
        <v>8</v>
      </c>
      <c r="AH40" t="str">
        <f>_xlfn.XLOOKUP(tblMaster[[#This Row],[Attendance_Date]],tblHoliday[Holiday_Date],tblHoliday[Holiday_Name],"Working Day")</f>
        <v>Working Day</v>
      </c>
      <c r="AI40" t="str">
        <f>_xlfn.XLOOKUP(tblMaster[[#This Row],[Attendance_Date]],tblHoliday[Holiday_Date],tblHoliday[Holiday_Type],"Working Day ")</f>
        <v xml:space="preserve">Working Day </v>
      </c>
    </row>
    <row r="41" spans="1:35" hidden="1" x14ac:dyDescent="0.3">
      <c r="A41" t="s">
        <v>176</v>
      </c>
      <c r="B41" s="3">
        <v>45791</v>
      </c>
      <c r="C41" t="s">
        <v>57</v>
      </c>
      <c r="D41" t="s">
        <v>24</v>
      </c>
      <c r="E41" t="s">
        <v>51</v>
      </c>
      <c r="F41" t="s">
        <v>163</v>
      </c>
      <c r="G41" t="s">
        <v>164</v>
      </c>
      <c r="H41" t="s">
        <v>112</v>
      </c>
      <c r="I41" t="s">
        <v>113</v>
      </c>
      <c r="J41" t="s">
        <v>100</v>
      </c>
      <c r="K41" t="s">
        <v>81</v>
      </c>
      <c r="L41" s="2">
        <v>0.39930555555555558</v>
      </c>
      <c r="M41" s="2">
        <v>0.29166666666666669</v>
      </c>
      <c r="N41">
        <v>9.5</v>
      </c>
      <c r="O41">
        <v>1.5</v>
      </c>
      <c r="P41" t="s">
        <v>32</v>
      </c>
      <c r="R41">
        <v>4</v>
      </c>
      <c r="S41" t="s">
        <v>33</v>
      </c>
      <c r="T41" t="s">
        <v>114</v>
      </c>
      <c r="U41" t="s">
        <v>47</v>
      </c>
      <c r="V41" t="s">
        <v>69</v>
      </c>
      <c r="W41">
        <f>_xlfn.XLOOKUP(F41,tblEmployee[Employee_ID],tblEmployee[Age],"Not Found")</f>
        <v>25</v>
      </c>
      <c r="X41" t="str">
        <f>_xlfn.XLOOKUP(F41,tblEmployee[Employee_ID],tblEmployee[Gender],"Not Found")</f>
        <v>Male</v>
      </c>
      <c r="Y41">
        <f>_xlfn.XLOOKUP(F41,tblEmployee[Employee_ID],tblEmployee[Joining_Date],"")</f>
        <v>44301</v>
      </c>
      <c r="Z41">
        <f>_xlfn.XLOOKUP(H41,tblDepartment[Department],tblDepartment[Annual_Budget_INR],"")</f>
        <v>42000000</v>
      </c>
      <c r="AA41" t="str">
        <f>_xlfn.XLOOKUP(H41,tblDepartment[Department],tblDepartment[Monthly_Target],"")</f>
        <v>₹2.5 Cr Monthly Sales</v>
      </c>
      <c r="AB41">
        <f>_xlfn.XLOOKUP(H41,tblDepartment[Department],tblDepartment[Average_Salary_INR],"")</f>
        <v>680000</v>
      </c>
      <c r="AC41" t="str">
        <f>_xlfn.XLOOKUP(H41,tblDepartment[Department],tblDepartment[Priority_Level],"")</f>
        <v>High</v>
      </c>
      <c r="AD41" t="str">
        <f>_xlfn.XLOOKUP(H41,tblDepartment[Department],tblDepartment[Key_KPI],"")</f>
        <v>Revenue Achievement</v>
      </c>
      <c r="AE41">
        <f>_xlfn.XLOOKUP(tblMaster[[#This Row],[Shift]],tblShift[Shift_Name],tblShift[Login_Time],"")</f>
        <v>0.91666666666666663</v>
      </c>
      <c r="AF41">
        <f>_xlfn.XLOOKUP(tblMaster[[#This Row],[Shift]],tblShift[Shift_Name],tblShift[Logout_Time]," ")</f>
        <v>0.29166666666666669</v>
      </c>
      <c r="AG41">
        <f>_xlfn.XLOOKUP(tblMaster[[#This Row],[Shift]],tblShift[Shift_Name],tblShift[Standard_Working_Hours],"")</f>
        <v>8</v>
      </c>
      <c r="AH41" t="str">
        <f>_xlfn.XLOOKUP(tblMaster[[#This Row],[Attendance_Date]],tblHoliday[Holiday_Date],tblHoliday[Holiday_Name],"Working Day")</f>
        <v>Working Day</v>
      </c>
      <c r="AI41" t="str">
        <f>_xlfn.XLOOKUP(tblMaster[[#This Row],[Attendance_Date]],tblHoliday[Holiday_Date],tblHoliday[Holiday_Type],"Working Day ")</f>
        <v xml:space="preserve">Working Day </v>
      </c>
    </row>
    <row r="42" spans="1:35" hidden="1" x14ac:dyDescent="0.3">
      <c r="A42" t="s">
        <v>177</v>
      </c>
      <c r="B42" s="3">
        <v>45829</v>
      </c>
      <c r="C42" t="s">
        <v>23</v>
      </c>
      <c r="D42" t="s">
        <v>24</v>
      </c>
      <c r="E42" t="s">
        <v>38</v>
      </c>
      <c r="F42" t="s">
        <v>110</v>
      </c>
      <c r="G42" t="s">
        <v>111</v>
      </c>
      <c r="H42" t="s">
        <v>112</v>
      </c>
      <c r="I42" t="s">
        <v>113</v>
      </c>
      <c r="J42" t="s">
        <v>43</v>
      </c>
      <c r="K42" t="s">
        <v>54</v>
      </c>
      <c r="L42" s="2">
        <v>0.39930555555555558</v>
      </c>
      <c r="M42" s="2">
        <v>0.75</v>
      </c>
      <c r="N42">
        <v>8</v>
      </c>
      <c r="O42">
        <v>0</v>
      </c>
      <c r="P42" t="s">
        <v>32</v>
      </c>
      <c r="R42">
        <v>3</v>
      </c>
      <c r="S42" t="s">
        <v>67</v>
      </c>
      <c r="T42" t="s">
        <v>114</v>
      </c>
      <c r="U42" t="s">
        <v>47</v>
      </c>
      <c r="V42" t="s">
        <v>35</v>
      </c>
      <c r="W42">
        <f>_xlfn.XLOOKUP(F42,tblEmployee[Employee_ID],tblEmployee[Age],"Not Found")</f>
        <v>32</v>
      </c>
      <c r="X42" t="str">
        <f>_xlfn.XLOOKUP(F42,tblEmployee[Employee_ID],tblEmployee[Gender],"Not Found")</f>
        <v>Female</v>
      </c>
      <c r="Y42">
        <f>_xlfn.XLOOKUP(F42,tblEmployee[Employee_ID],tblEmployee[Joining_Date],"")</f>
        <v>44515</v>
      </c>
      <c r="Z42">
        <f>_xlfn.XLOOKUP(H42,tblDepartment[Department],tblDepartment[Annual_Budget_INR],"")</f>
        <v>42000000</v>
      </c>
      <c r="AA42" t="str">
        <f>_xlfn.XLOOKUP(H42,tblDepartment[Department],tblDepartment[Monthly_Target],"")</f>
        <v>₹2.5 Cr Monthly Sales</v>
      </c>
      <c r="AB42">
        <f>_xlfn.XLOOKUP(H42,tblDepartment[Department],tblDepartment[Average_Salary_INR],"")</f>
        <v>680000</v>
      </c>
      <c r="AC42" t="str">
        <f>_xlfn.XLOOKUP(H42,tblDepartment[Department],tblDepartment[Priority_Level],"")</f>
        <v>High</v>
      </c>
      <c r="AD42" t="str">
        <f>_xlfn.XLOOKUP(H42,tblDepartment[Department],tblDepartment[Key_KPI],"")</f>
        <v>Revenue Achievement</v>
      </c>
      <c r="AE42">
        <f>_xlfn.XLOOKUP(tblMaster[[#This Row],[Shift]],tblShift[Shift_Name],tblShift[Login_Time],"")</f>
        <v>0.58333333333333337</v>
      </c>
      <c r="AF42">
        <f>_xlfn.XLOOKUP(tblMaster[[#This Row],[Shift]],tblShift[Shift_Name],tblShift[Logout_Time]," ")</f>
        <v>0.95833333333333337</v>
      </c>
      <c r="AG42">
        <f>_xlfn.XLOOKUP(tblMaster[[#This Row],[Shift]],tblShift[Shift_Name],tblShift[Standard_Working_Hours],"")</f>
        <v>8</v>
      </c>
      <c r="AH42" t="str">
        <f>_xlfn.XLOOKUP(tblMaster[[#This Row],[Attendance_Date]],tblHoliday[Holiday_Date],tblHoliday[Holiday_Name],"Working Day")</f>
        <v>Working Day</v>
      </c>
      <c r="AI42" t="str">
        <f>_xlfn.XLOOKUP(tblMaster[[#This Row],[Attendance_Date]],tblHoliday[Holiday_Date],tblHoliday[Holiday_Type],"Working Day ")</f>
        <v xml:space="preserve">Working Day </v>
      </c>
    </row>
    <row r="43" spans="1:35" hidden="1" x14ac:dyDescent="0.3">
      <c r="A43" t="s">
        <v>178</v>
      </c>
      <c r="B43" s="3">
        <v>45766</v>
      </c>
      <c r="C43" t="s">
        <v>37</v>
      </c>
      <c r="D43" t="s">
        <v>24</v>
      </c>
      <c r="E43" t="s">
        <v>38</v>
      </c>
      <c r="F43" t="s">
        <v>77</v>
      </c>
      <c r="G43" t="s">
        <v>78</v>
      </c>
      <c r="H43" t="s">
        <v>79</v>
      </c>
      <c r="I43" t="s">
        <v>80</v>
      </c>
      <c r="J43" t="s">
        <v>30</v>
      </c>
      <c r="K43" t="s">
        <v>54</v>
      </c>
      <c r="L43" s="2">
        <v>0.375</v>
      </c>
      <c r="M43" s="2">
        <v>0.75</v>
      </c>
      <c r="N43">
        <v>8</v>
      </c>
      <c r="O43">
        <v>0</v>
      </c>
      <c r="P43" t="s">
        <v>32</v>
      </c>
      <c r="R43">
        <v>5</v>
      </c>
      <c r="S43" t="s">
        <v>92</v>
      </c>
      <c r="T43" t="s">
        <v>84</v>
      </c>
      <c r="U43" t="s">
        <v>47</v>
      </c>
      <c r="V43" t="s">
        <v>60</v>
      </c>
      <c r="W43">
        <f>_xlfn.XLOOKUP(F43,tblEmployee[Employee_ID],tblEmployee[Age],"Not Found")</f>
        <v>26</v>
      </c>
      <c r="X43" t="str">
        <f>_xlfn.XLOOKUP(F43,tblEmployee[Employee_ID],tblEmployee[Gender],"Not Found")</f>
        <v>Female</v>
      </c>
      <c r="Y43">
        <f>_xlfn.XLOOKUP(F43,tblEmployee[Employee_ID],tblEmployee[Joining_Date],"")</f>
        <v>44696</v>
      </c>
      <c r="Z43">
        <f>_xlfn.XLOOKUP(H43,tblDepartment[Department],tblDepartment[Annual_Budget_INR],"")</f>
        <v>26000000</v>
      </c>
      <c r="AA43" t="str">
        <f>_xlfn.XLOOKUP(H43,tblDepartment[Department],tblDepartment[Monthly_Target],"")</f>
        <v>100% Payroll Accuracy</v>
      </c>
      <c r="AB43">
        <f>_xlfn.XLOOKUP(H43,tblDepartment[Department],tblDepartment[Average_Salary_INR],"")</f>
        <v>640000</v>
      </c>
      <c r="AC43" t="str">
        <f>_xlfn.XLOOKUP(H43,tblDepartment[Department],tblDepartment[Priority_Level],"")</f>
        <v>High</v>
      </c>
      <c r="AD43" t="str">
        <f>_xlfn.XLOOKUP(H43,tblDepartment[Department],tblDepartment[Key_KPI],"")</f>
        <v>Financial Compliance</v>
      </c>
      <c r="AE43">
        <f>_xlfn.XLOOKUP(tblMaster[[#This Row],[Shift]],tblShift[Shift_Name],tblShift[Login_Time],"")</f>
        <v>0.58333333333333337</v>
      </c>
      <c r="AF43">
        <f>_xlfn.XLOOKUP(tblMaster[[#This Row],[Shift]],tblShift[Shift_Name],tblShift[Logout_Time]," ")</f>
        <v>0.95833333333333337</v>
      </c>
      <c r="AG43">
        <f>_xlfn.XLOOKUP(tblMaster[[#This Row],[Shift]],tblShift[Shift_Name],tblShift[Standard_Working_Hours],"")</f>
        <v>8</v>
      </c>
      <c r="AH43" t="str">
        <f>_xlfn.XLOOKUP(tblMaster[[#This Row],[Attendance_Date]],tblHoliday[Holiday_Date],tblHoliday[Holiday_Name],"Working Day")</f>
        <v>Working Day</v>
      </c>
      <c r="AI43" t="str">
        <f>_xlfn.XLOOKUP(tblMaster[[#This Row],[Attendance_Date]],tblHoliday[Holiday_Date],tblHoliday[Holiday_Type],"Working Day ")</f>
        <v xml:space="preserve">Working Day </v>
      </c>
    </row>
    <row r="44" spans="1:35" hidden="1" x14ac:dyDescent="0.3">
      <c r="A44" t="s">
        <v>179</v>
      </c>
      <c r="B44" s="1">
        <v>45693</v>
      </c>
      <c r="C44" t="s">
        <v>95</v>
      </c>
      <c r="D44" t="s">
        <v>50</v>
      </c>
      <c r="E44" t="s">
        <v>51</v>
      </c>
      <c r="F44" t="s">
        <v>58</v>
      </c>
      <c r="G44" t="s">
        <v>59</v>
      </c>
      <c r="H44" t="s">
        <v>180</v>
      </c>
      <c r="I44" t="s">
        <v>42</v>
      </c>
      <c r="J44" t="s">
        <v>30</v>
      </c>
      <c r="K44" t="s">
        <v>44</v>
      </c>
      <c r="P44" t="s">
        <v>135</v>
      </c>
      <c r="S44" t="s">
        <v>92</v>
      </c>
      <c r="T44" t="s">
        <v>46</v>
      </c>
      <c r="U44" t="s">
        <v>47</v>
      </c>
      <c r="V44" t="s">
        <v>35</v>
      </c>
      <c r="W44">
        <f>_xlfn.XLOOKUP(F44,tblEmployee[Employee_ID],tblEmployee[Age],"Not Found")</f>
        <v>23</v>
      </c>
      <c r="X44" t="str">
        <f>_xlfn.XLOOKUP(F44,tblEmployee[Employee_ID],tblEmployee[Gender],"Not Found")</f>
        <v>Female</v>
      </c>
      <c r="Y44">
        <f>_xlfn.XLOOKUP(F44,tblEmployee[Employee_ID],tblEmployee[Joining_Date],"")</f>
        <v>45153</v>
      </c>
      <c r="Z44">
        <f>_xlfn.XLOOKUP(H44,tblDepartment[Department],tblDepartment[Annual_Budget_INR],"")</f>
        <v>34000000</v>
      </c>
      <c r="AA44" t="str">
        <f>_xlfn.XLOOKUP(H44,tblDepartment[Department],tblDepartment[Monthly_Target],"")</f>
        <v>95% Process Efficiency</v>
      </c>
      <c r="AB44">
        <f>_xlfn.XLOOKUP(H44,tblDepartment[Department],tblDepartment[Average_Salary_INR],"")</f>
        <v>610000</v>
      </c>
      <c r="AC44" t="str">
        <f>_xlfn.XLOOKUP(H44,tblDepartment[Department],tblDepartment[Priority_Level],"")</f>
        <v>High</v>
      </c>
      <c r="AD44" t="str">
        <f>_xlfn.XLOOKUP(H44,tblDepartment[Department],tblDepartment[Key_KPI],"")</f>
        <v>Operational Efficiency</v>
      </c>
      <c r="AE44">
        <f>_xlfn.XLOOKUP(tblMaster[[#This Row],[Shift]],tblShift[Shift_Name],tblShift[Login_Time],"")</f>
        <v>0.41666666666666669</v>
      </c>
      <c r="AF44">
        <f>_xlfn.XLOOKUP(tblMaster[[#This Row],[Shift]],tblShift[Shift_Name],tblShift[Logout_Time]," ")</f>
        <v>0.79166666666666663</v>
      </c>
      <c r="AG44">
        <f>_xlfn.XLOOKUP(tblMaster[[#This Row],[Shift]],tblShift[Shift_Name],tblShift[Standard_Working_Hours],"")</f>
        <v>8</v>
      </c>
      <c r="AH44" t="str">
        <f>_xlfn.XLOOKUP(tblMaster[[#This Row],[Attendance_Date]],tblHoliday[Holiday_Date],tblHoliday[Holiday_Name],"Working Day")</f>
        <v>Working Day</v>
      </c>
      <c r="AI44" t="str">
        <f>_xlfn.XLOOKUP(tblMaster[[#This Row],[Attendance_Date]],tblHoliday[Holiday_Date],tblHoliday[Holiday_Type],"Working Day ")</f>
        <v xml:space="preserve">Working Day </v>
      </c>
    </row>
    <row r="45" spans="1:35" hidden="1" x14ac:dyDescent="0.3">
      <c r="A45" t="s">
        <v>181</v>
      </c>
      <c r="B45" s="3">
        <v>45763</v>
      </c>
      <c r="C45" t="s">
        <v>37</v>
      </c>
      <c r="D45" t="s">
        <v>24</v>
      </c>
      <c r="E45" t="s">
        <v>51</v>
      </c>
      <c r="F45" t="s">
        <v>182</v>
      </c>
      <c r="G45" t="s">
        <v>183</v>
      </c>
      <c r="H45" t="s">
        <v>112</v>
      </c>
      <c r="I45" t="s">
        <v>113</v>
      </c>
      <c r="J45" t="s">
        <v>30</v>
      </c>
      <c r="K45" t="s">
        <v>31</v>
      </c>
      <c r="L45" s="2">
        <v>0.375</v>
      </c>
      <c r="M45" s="2">
        <v>0.75</v>
      </c>
      <c r="N45">
        <v>8</v>
      </c>
      <c r="O45">
        <v>0</v>
      </c>
      <c r="P45" t="s">
        <v>32</v>
      </c>
      <c r="R45">
        <v>4</v>
      </c>
      <c r="S45" t="s">
        <v>92</v>
      </c>
      <c r="T45" t="s">
        <v>114</v>
      </c>
      <c r="U45" t="s">
        <v>55</v>
      </c>
      <c r="V45" t="s">
        <v>69</v>
      </c>
      <c r="W45">
        <f>_xlfn.XLOOKUP(F45,tblEmployee[Employee_ID],tblEmployee[Age],"Not Found")</f>
        <v>28</v>
      </c>
      <c r="X45" t="str">
        <f>_xlfn.XLOOKUP(F45,tblEmployee[Employee_ID],tblEmployee[Gender],"Not Found")</f>
        <v>Male</v>
      </c>
      <c r="Y45">
        <f>_xlfn.XLOOKUP(F45,tblEmployee[Employee_ID],tblEmployee[Joining_Date],"")</f>
        <v>44211</v>
      </c>
      <c r="Z45">
        <f>_xlfn.XLOOKUP(H45,tblDepartment[Department],tblDepartment[Annual_Budget_INR],"")</f>
        <v>42000000</v>
      </c>
      <c r="AA45" t="str">
        <f>_xlfn.XLOOKUP(H45,tblDepartment[Department],tblDepartment[Monthly_Target],"")</f>
        <v>₹2.5 Cr Monthly Sales</v>
      </c>
      <c r="AB45">
        <f>_xlfn.XLOOKUP(H45,tblDepartment[Department],tblDepartment[Average_Salary_INR],"")</f>
        <v>680000</v>
      </c>
      <c r="AC45" t="str">
        <f>_xlfn.XLOOKUP(H45,tblDepartment[Department],tblDepartment[Priority_Level],"")</f>
        <v>High</v>
      </c>
      <c r="AD45" t="str">
        <f>_xlfn.XLOOKUP(H45,tblDepartment[Department],tblDepartment[Key_KPI],"")</f>
        <v>Revenue Achievement</v>
      </c>
      <c r="AE45">
        <f>_xlfn.XLOOKUP(tblMaster[[#This Row],[Shift]],tblShift[Shift_Name],tblShift[Login_Time],"")</f>
        <v>0.25</v>
      </c>
      <c r="AF45">
        <f>_xlfn.XLOOKUP(tblMaster[[#This Row],[Shift]],tblShift[Shift_Name],tblShift[Logout_Time]," ")</f>
        <v>0.625</v>
      </c>
      <c r="AG45">
        <f>_xlfn.XLOOKUP(tblMaster[[#This Row],[Shift]],tblShift[Shift_Name],tblShift[Standard_Working_Hours],"")</f>
        <v>8</v>
      </c>
      <c r="AH45" t="str">
        <f>_xlfn.XLOOKUP(tblMaster[[#This Row],[Attendance_Date]],tblHoliday[Holiday_Date],tblHoliday[Holiday_Name],"Working Day")</f>
        <v>Working Day</v>
      </c>
      <c r="AI45" t="str">
        <f>_xlfn.XLOOKUP(tblMaster[[#This Row],[Attendance_Date]],tblHoliday[Holiday_Date],tblHoliday[Holiday_Type],"Working Day ")</f>
        <v xml:space="preserve">Working Day </v>
      </c>
    </row>
    <row r="46" spans="1:35" hidden="1" x14ac:dyDescent="0.3">
      <c r="A46" t="s">
        <v>184</v>
      </c>
      <c r="B46" s="3">
        <v>45670</v>
      </c>
      <c r="C46" t="s">
        <v>49</v>
      </c>
      <c r="D46" t="s">
        <v>50</v>
      </c>
      <c r="E46" t="s">
        <v>109</v>
      </c>
      <c r="F46" t="s">
        <v>185</v>
      </c>
      <c r="G46" t="s">
        <v>186</v>
      </c>
      <c r="H46" t="s">
        <v>79</v>
      </c>
      <c r="I46" t="s">
        <v>80</v>
      </c>
      <c r="J46" t="s">
        <v>66</v>
      </c>
      <c r="K46" t="s">
        <v>31</v>
      </c>
      <c r="L46" s="2">
        <v>0.375</v>
      </c>
      <c r="M46" s="2">
        <v>0.75</v>
      </c>
      <c r="N46">
        <v>8</v>
      </c>
      <c r="O46">
        <v>0</v>
      </c>
      <c r="P46" t="s">
        <v>32</v>
      </c>
      <c r="R46">
        <v>4</v>
      </c>
      <c r="S46" t="s">
        <v>92</v>
      </c>
      <c r="T46" t="s">
        <v>84</v>
      </c>
      <c r="U46" t="s">
        <v>55</v>
      </c>
      <c r="W46">
        <f>_xlfn.XLOOKUP(F46,tblEmployee[Employee_ID],tblEmployee[Age],"Not Found")</f>
        <v>33</v>
      </c>
      <c r="X46" t="str">
        <f>_xlfn.XLOOKUP(F46,tblEmployee[Employee_ID],tblEmployee[Gender],"Not Found")</f>
        <v>Male</v>
      </c>
      <c r="Y46">
        <f>_xlfn.XLOOKUP(F46,tblEmployee[Employee_ID],tblEmployee[Joining_Date],"")</f>
        <v>44910</v>
      </c>
      <c r="Z46">
        <f>_xlfn.XLOOKUP(H46,tblDepartment[Department],tblDepartment[Annual_Budget_INR],"")</f>
        <v>26000000</v>
      </c>
      <c r="AA46" t="str">
        <f>_xlfn.XLOOKUP(H46,tblDepartment[Department],tblDepartment[Monthly_Target],"")</f>
        <v>100% Payroll Accuracy</v>
      </c>
      <c r="AB46">
        <f>_xlfn.XLOOKUP(H46,tblDepartment[Department],tblDepartment[Average_Salary_INR],"")</f>
        <v>640000</v>
      </c>
      <c r="AC46" t="str">
        <f>_xlfn.XLOOKUP(H46,tblDepartment[Department],tblDepartment[Priority_Level],"")</f>
        <v>High</v>
      </c>
      <c r="AD46" t="str">
        <f>_xlfn.XLOOKUP(H46,tblDepartment[Department],tblDepartment[Key_KPI],"")</f>
        <v>Financial Compliance</v>
      </c>
      <c r="AE46">
        <f>_xlfn.XLOOKUP(tblMaster[[#This Row],[Shift]],tblShift[Shift_Name],tblShift[Login_Time],"")</f>
        <v>0.25</v>
      </c>
      <c r="AF46">
        <f>_xlfn.XLOOKUP(tblMaster[[#This Row],[Shift]],tblShift[Shift_Name],tblShift[Logout_Time]," ")</f>
        <v>0.625</v>
      </c>
      <c r="AG46">
        <f>_xlfn.XLOOKUP(tblMaster[[#This Row],[Shift]],tblShift[Shift_Name],tblShift[Standard_Working_Hours],"")</f>
        <v>8</v>
      </c>
      <c r="AH46" t="str">
        <f>_xlfn.XLOOKUP(tblMaster[[#This Row],[Attendance_Date]],tblHoliday[Holiday_Date],tblHoliday[Holiday_Name],"Working Day")</f>
        <v>Working Day</v>
      </c>
      <c r="AI46" t="str">
        <f>_xlfn.XLOOKUP(tblMaster[[#This Row],[Attendance_Date]],tblHoliday[Holiday_Date],tblHoliday[Holiday_Type],"Working Day ")</f>
        <v xml:space="preserve">Working Day </v>
      </c>
    </row>
    <row r="47" spans="1:35" hidden="1" x14ac:dyDescent="0.3">
      <c r="A47" t="s">
        <v>187</v>
      </c>
      <c r="B47" s="3">
        <v>45736</v>
      </c>
      <c r="C47" t="s">
        <v>71</v>
      </c>
      <c r="D47" t="s">
        <v>50</v>
      </c>
      <c r="E47" t="s">
        <v>25</v>
      </c>
      <c r="F47" t="s">
        <v>166</v>
      </c>
      <c r="G47" t="s">
        <v>167</v>
      </c>
      <c r="H47" t="s">
        <v>41</v>
      </c>
      <c r="I47" t="s">
        <v>42</v>
      </c>
      <c r="J47" t="s">
        <v>100</v>
      </c>
      <c r="K47" t="s">
        <v>54</v>
      </c>
      <c r="P47" t="s">
        <v>82</v>
      </c>
      <c r="Q47" t="s">
        <v>83</v>
      </c>
      <c r="S47" t="s">
        <v>45</v>
      </c>
      <c r="T47" t="s">
        <v>46</v>
      </c>
      <c r="U47" t="s">
        <v>85</v>
      </c>
      <c r="W47">
        <f>_xlfn.XLOOKUP(F47,tblEmployee[Employee_ID],tblEmployee[Age],"Not Found")</f>
        <v>37</v>
      </c>
      <c r="X47" t="str">
        <f>_xlfn.XLOOKUP(F47,tblEmployee[Employee_ID],tblEmployee[Gender],"Not Found")</f>
        <v>Male</v>
      </c>
      <c r="Y47">
        <f>_xlfn.XLOOKUP(F47,tblEmployee[Employee_ID],tblEmployee[Joining_Date],"")</f>
        <v>45214</v>
      </c>
      <c r="Z47">
        <f>_xlfn.XLOOKUP(H47,tblDepartment[Department],tblDepartment[Annual_Budget_INR],"")</f>
        <v>34000000</v>
      </c>
      <c r="AA47" t="str">
        <f>_xlfn.XLOOKUP(H47,tblDepartment[Department],tblDepartment[Monthly_Target],"")</f>
        <v>95% Process Efficiency</v>
      </c>
      <c r="AB47">
        <f>_xlfn.XLOOKUP(H47,tblDepartment[Department],tblDepartment[Average_Salary_INR],"")</f>
        <v>610000</v>
      </c>
      <c r="AC47" t="str">
        <f>_xlfn.XLOOKUP(H47,tblDepartment[Department],tblDepartment[Priority_Level],"")</f>
        <v>High</v>
      </c>
      <c r="AD47" t="str">
        <f>_xlfn.XLOOKUP(H47,tblDepartment[Department],tblDepartment[Key_KPI],"")</f>
        <v>Operational Efficiency</v>
      </c>
      <c r="AE47">
        <f>_xlfn.XLOOKUP(tblMaster[[#This Row],[Shift]],tblShift[Shift_Name],tblShift[Login_Time],"")</f>
        <v>0.58333333333333337</v>
      </c>
      <c r="AF47">
        <f>_xlfn.XLOOKUP(tblMaster[[#This Row],[Shift]],tblShift[Shift_Name],tblShift[Logout_Time]," ")</f>
        <v>0.95833333333333337</v>
      </c>
      <c r="AG47">
        <f>_xlfn.XLOOKUP(tblMaster[[#This Row],[Shift]],tblShift[Shift_Name],tblShift[Standard_Working_Hours],"")</f>
        <v>8</v>
      </c>
      <c r="AH47" t="str">
        <f>_xlfn.XLOOKUP(tblMaster[[#This Row],[Attendance_Date]],tblHoliday[Holiday_Date],tblHoliday[Holiday_Name],"Working Day")</f>
        <v>Working Day</v>
      </c>
      <c r="AI47" t="str">
        <f>_xlfn.XLOOKUP(tblMaster[[#This Row],[Attendance_Date]],tblHoliday[Holiday_Date],tblHoliday[Holiday_Type],"Working Day ")</f>
        <v xml:space="preserve">Working Day </v>
      </c>
    </row>
    <row r="48" spans="1:35" hidden="1" x14ac:dyDescent="0.3">
      <c r="A48" t="s">
        <v>188</v>
      </c>
      <c r="B48" s="1">
        <v>45713</v>
      </c>
      <c r="C48" t="s">
        <v>95</v>
      </c>
      <c r="D48" t="s">
        <v>50</v>
      </c>
      <c r="E48" t="s">
        <v>87</v>
      </c>
      <c r="F48" t="s">
        <v>110</v>
      </c>
      <c r="G48" t="s">
        <v>111</v>
      </c>
      <c r="H48" t="s">
        <v>112</v>
      </c>
      <c r="I48" t="s">
        <v>113</v>
      </c>
      <c r="J48" t="s">
        <v>43</v>
      </c>
      <c r="K48" t="s">
        <v>44</v>
      </c>
      <c r="P48" t="s">
        <v>135</v>
      </c>
      <c r="S48" t="s">
        <v>45</v>
      </c>
      <c r="T48" t="s">
        <v>114</v>
      </c>
      <c r="U48" t="s">
        <v>47</v>
      </c>
      <c r="V48" t="s">
        <v>69</v>
      </c>
      <c r="W48">
        <f>_xlfn.XLOOKUP(F48,tblEmployee[Employee_ID],tblEmployee[Age],"Not Found")</f>
        <v>32</v>
      </c>
      <c r="X48" t="str">
        <f>_xlfn.XLOOKUP(F48,tblEmployee[Employee_ID],tblEmployee[Gender],"Not Found")</f>
        <v>Female</v>
      </c>
      <c r="Y48">
        <f>_xlfn.XLOOKUP(F48,tblEmployee[Employee_ID],tblEmployee[Joining_Date],"")</f>
        <v>44515</v>
      </c>
      <c r="Z48">
        <f>_xlfn.XLOOKUP(H48,tblDepartment[Department],tblDepartment[Annual_Budget_INR],"")</f>
        <v>42000000</v>
      </c>
      <c r="AA48" t="str">
        <f>_xlfn.XLOOKUP(H48,tblDepartment[Department],tblDepartment[Monthly_Target],"")</f>
        <v>₹2.5 Cr Monthly Sales</v>
      </c>
      <c r="AB48">
        <f>_xlfn.XLOOKUP(H48,tblDepartment[Department],tblDepartment[Average_Salary_INR],"")</f>
        <v>680000</v>
      </c>
      <c r="AC48" t="str">
        <f>_xlfn.XLOOKUP(H48,tblDepartment[Department],tblDepartment[Priority_Level],"")</f>
        <v>High</v>
      </c>
      <c r="AD48" t="str">
        <f>_xlfn.XLOOKUP(H48,tblDepartment[Department],tblDepartment[Key_KPI],"")</f>
        <v>Revenue Achievement</v>
      </c>
      <c r="AE48">
        <f>_xlfn.XLOOKUP(tblMaster[[#This Row],[Shift]],tblShift[Shift_Name],tblShift[Login_Time],"")</f>
        <v>0.41666666666666669</v>
      </c>
      <c r="AF48">
        <f>_xlfn.XLOOKUP(tblMaster[[#This Row],[Shift]],tblShift[Shift_Name],tblShift[Logout_Time]," ")</f>
        <v>0.79166666666666663</v>
      </c>
      <c r="AG48">
        <f>_xlfn.XLOOKUP(tblMaster[[#This Row],[Shift]],tblShift[Shift_Name],tblShift[Standard_Working_Hours],"")</f>
        <v>8</v>
      </c>
      <c r="AH48" t="str">
        <f>_xlfn.XLOOKUP(tblMaster[[#This Row],[Attendance_Date]],tblHoliday[Holiday_Date],tblHoliday[Holiday_Name],"Working Day")</f>
        <v>Working Day</v>
      </c>
      <c r="AI48" t="str">
        <f>_xlfn.XLOOKUP(tblMaster[[#This Row],[Attendance_Date]],tblHoliday[Holiday_Date],tblHoliday[Holiday_Type],"Working Day ")</f>
        <v xml:space="preserve">Working Day </v>
      </c>
    </row>
    <row r="49" spans="1:35" x14ac:dyDescent="0.3">
      <c r="A49" t="s">
        <v>189</v>
      </c>
      <c r="B49" s="1">
        <v>45761</v>
      </c>
      <c r="C49" t="s">
        <v>37</v>
      </c>
      <c r="D49" t="s">
        <v>24</v>
      </c>
      <c r="E49" t="s">
        <v>109</v>
      </c>
      <c r="F49" t="s">
        <v>182</v>
      </c>
      <c r="G49" t="s">
        <v>183</v>
      </c>
      <c r="H49" t="s">
        <v>112</v>
      </c>
      <c r="I49" t="s">
        <v>113</v>
      </c>
      <c r="J49" t="s">
        <v>30</v>
      </c>
      <c r="K49" t="s">
        <v>31</v>
      </c>
      <c r="L49" s="2">
        <v>0.3888888888888889</v>
      </c>
      <c r="M49" s="2">
        <v>0.75</v>
      </c>
      <c r="N49">
        <v>8</v>
      </c>
      <c r="O49">
        <v>0</v>
      </c>
      <c r="P49" t="s">
        <v>32</v>
      </c>
      <c r="S49" t="s">
        <v>67</v>
      </c>
      <c r="T49" t="s">
        <v>114</v>
      </c>
      <c r="U49" t="str">
        <f>_xlfn.XLOOKUP(tblMaster[[#This Row],[Employee_ID]],tblEmployee[Employee_ID],tblEmployee[Work_Mode]," ")</f>
        <v>Office</v>
      </c>
      <c r="V49" t="s">
        <v>60</v>
      </c>
      <c r="W49">
        <f>_xlfn.XLOOKUP(F49,tblEmployee[Employee_ID],tblEmployee[Age],"Not Found")</f>
        <v>28</v>
      </c>
      <c r="X49" t="str">
        <f>_xlfn.XLOOKUP(F49,tblEmployee[Employee_ID],tblEmployee[Gender],"Not Found")</f>
        <v>Male</v>
      </c>
      <c r="Y49">
        <f>_xlfn.XLOOKUP(F49,tblEmployee[Employee_ID],tblEmployee[Joining_Date],"")</f>
        <v>44211</v>
      </c>
      <c r="Z49">
        <f>_xlfn.XLOOKUP(H49,tblDepartment[Department],tblDepartment[Annual_Budget_INR],"")</f>
        <v>42000000</v>
      </c>
      <c r="AA49" t="str">
        <f>_xlfn.XLOOKUP(H49,tblDepartment[Department],tblDepartment[Monthly_Target],"")</f>
        <v>₹2.5 Cr Monthly Sales</v>
      </c>
      <c r="AB49">
        <f>_xlfn.XLOOKUP(H49,tblDepartment[Department],tblDepartment[Average_Salary_INR],"")</f>
        <v>680000</v>
      </c>
      <c r="AC49" t="str">
        <f>_xlfn.XLOOKUP(H49,tblDepartment[Department],tblDepartment[Priority_Level],"")</f>
        <v>High</v>
      </c>
      <c r="AD49" t="str">
        <f>_xlfn.XLOOKUP(H49,tblDepartment[Department],tblDepartment[Key_KPI],"")</f>
        <v>Revenue Achievement</v>
      </c>
      <c r="AE49">
        <f>_xlfn.XLOOKUP(tblMaster[[#This Row],[Shift]],tblShift[Shift_Name],tblShift[Login_Time],"")</f>
        <v>0.25</v>
      </c>
      <c r="AF49">
        <f>_xlfn.XLOOKUP(tblMaster[[#This Row],[Shift]],tblShift[Shift_Name],tblShift[Logout_Time]," ")</f>
        <v>0.625</v>
      </c>
      <c r="AG49">
        <f>_xlfn.XLOOKUP(tblMaster[[#This Row],[Shift]],tblShift[Shift_Name],tblShift[Standard_Working_Hours],"")</f>
        <v>8</v>
      </c>
      <c r="AH49" t="str">
        <f>_xlfn.XLOOKUP(tblMaster[[#This Row],[Attendance_Date]],tblHoliday[Holiday_Date],tblHoliday[Holiday_Name],"Working Day")</f>
        <v>Tamil New Year</v>
      </c>
      <c r="AI49" t="str">
        <f>_xlfn.XLOOKUP(tblMaster[[#This Row],[Attendance_Date]],tblHoliday[Holiday_Date],tblHoliday[Holiday_Type],"Working Day ")</f>
        <v>Festival</v>
      </c>
    </row>
    <row r="50" spans="1:35" hidden="1" x14ac:dyDescent="0.3">
      <c r="A50" t="s">
        <v>190</v>
      </c>
      <c r="B50" s="1">
        <v>45738</v>
      </c>
      <c r="C50" t="s">
        <v>71</v>
      </c>
      <c r="D50" t="s">
        <v>50</v>
      </c>
      <c r="E50" t="s">
        <v>38</v>
      </c>
      <c r="F50" t="s">
        <v>124</v>
      </c>
      <c r="G50" t="s">
        <v>125</v>
      </c>
      <c r="H50" t="s">
        <v>28</v>
      </c>
      <c r="I50" t="s">
        <v>29</v>
      </c>
      <c r="J50" t="s">
        <v>66</v>
      </c>
      <c r="K50" t="s">
        <v>44</v>
      </c>
      <c r="L50" s="2">
        <v>0.375</v>
      </c>
      <c r="N50">
        <v>8</v>
      </c>
      <c r="O50">
        <v>0</v>
      </c>
      <c r="P50" t="s">
        <v>32</v>
      </c>
      <c r="R50">
        <v>5</v>
      </c>
      <c r="S50" t="s">
        <v>33</v>
      </c>
      <c r="T50" t="s">
        <v>34</v>
      </c>
      <c r="U50" t="s">
        <v>55</v>
      </c>
      <c r="V50" t="s">
        <v>60</v>
      </c>
      <c r="W50">
        <f>_xlfn.XLOOKUP(F50,tblEmployee[Employee_ID],tblEmployee[Age],"Not Found")</f>
        <v>25</v>
      </c>
      <c r="X50" t="str">
        <f>_xlfn.XLOOKUP(F50,tblEmployee[Employee_ID],tblEmployee[Gender],"Not Found")</f>
        <v>Male</v>
      </c>
      <c r="Y50">
        <f>_xlfn.XLOOKUP(F50,tblEmployee[Employee_ID],tblEmployee[Joining_Date],"")</f>
        <v>43388</v>
      </c>
      <c r="Z50">
        <f>_xlfn.XLOOKUP(H50,tblDepartment[Department],tblDepartment[Annual_Budget_INR],"")</f>
        <v>24000000</v>
      </c>
      <c r="AA50" t="str">
        <f>_xlfn.XLOOKUP(H50,tblDepartment[Department],tblDepartment[Monthly_Target],"")</f>
        <v>90% Customer Satisfaction</v>
      </c>
      <c r="AB50">
        <f>_xlfn.XLOOKUP(H50,tblDepartment[Department],tblDepartment[Average_Salary_INR],"")</f>
        <v>520000</v>
      </c>
      <c r="AC50" t="str">
        <f>_xlfn.XLOOKUP(H50,tblDepartment[Department],tblDepartment[Priority_Level],"")</f>
        <v>High</v>
      </c>
      <c r="AD50" t="str">
        <f>_xlfn.XLOOKUP(H50,tblDepartment[Department],tblDepartment[Key_KPI],"")</f>
        <v>Customer Satisfaction</v>
      </c>
      <c r="AE50">
        <f>_xlfn.XLOOKUP(tblMaster[[#This Row],[Shift]],tblShift[Shift_Name],tblShift[Login_Time],"")</f>
        <v>0.41666666666666669</v>
      </c>
      <c r="AF50">
        <f>_xlfn.XLOOKUP(tblMaster[[#This Row],[Shift]],tblShift[Shift_Name],tblShift[Logout_Time]," ")</f>
        <v>0.79166666666666663</v>
      </c>
      <c r="AG50">
        <f>_xlfn.XLOOKUP(tblMaster[[#This Row],[Shift]],tblShift[Shift_Name],tblShift[Standard_Working_Hours],"")</f>
        <v>8</v>
      </c>
      <c r="AH50" t="str">
        <f>_xlfn.XLOOKUP(tblMaster[[#This Row],[Attendance_Date]],tblHoliday[Holiday_Date],tblHoliday[Holiday_Name],"Working Day")</f>
        <v>Working Day</v>
      </c>
      <c r="AI50" t="str">
        <f>_xlfn.XLOOKUP(tblMaster[[#This Row],[Attendance_Date]],tblHoliday[Holiday_Date],tblHoliday[Holiday_Type],"Working Day ")</f>
        <v xml:space="preserve">Working Day </v>
      </c>
    </row>
    <row r="51" spans="1:35" hidden="1" x14ac:dyDescent="0.3">
      <c r="A51" t="s">
        <v>191</v>
      </c>
      <c r="B51" s="1">
        <v>45834</v>
      </c>
      <c r="C51" t="s">
        <v>23</v>
      </c>
      <c r="D51" t="s">
        <v>24</v>
      </c>
      <c r="E51" t="s">
        <v>25</v>
      </c>
      <c r="F51" t="s">
        <v>192</v>
      </c>
      <c r="G51" t="s">
        <v>193</v>
      </c>
      <c r="H51" t="s">
        <v>79</v>
      </c>
      <c r="I51" t="s">
        <v>80</v>
      </c>
      <c r="J51" t="s">
        <v>66</v>
      </c>
      <c r="K51" t="s">
        <v>31</v>
      </c>
      <c r="L51" s="2">
        <v>0.375</v>
      </c>
      <c r="M51" s="2">
        <v>0.75</v>
      </c>
      <c r="N51">
        <v>8</v>
      </c>
      <c r="O51">
        <v>0</v>
      </c>
      <c r="P51" t="s">
        <v>32</v>
      </c>
      <c r="R51">
        <v>4</v>
      </c>
      <c r="S51" t="s">
        <v>67</v>
      </c>
      <c r="T51" t="s">
        <v>84</v>
      </c>
      <c r="U51" t="s">
        <v>85</v>
      </c>
      <c r="V51" t="s">
        <v>69</v>
      </c>
      <c r="W51">
        <f>_xlfn.XLOOKUP(F51,tblEmployee[Employee_ID],tblEmployee[Age],"Not Found")</f>
        <v>32</v>
      </c>
      <c r="X51" t="str">
        <f>_xlfn.XLOOKUP(F51,tblEmployee[Employee_ID],tblEmployee[Gender],"Not Found")</f>
        <v>Female</v>
      </c>
      <c r="Y51">
        <f>_xlfn.XLOOKUP(F51,tblEmployee[Employee_ID],tblEmployee[Joining_Date],"")</f>
        <v>44880</v>
      </c>
      <c r="Z51">
        <f>_xlfn.XLOOKUP(H51,tblDepartment[Department],tblDepartment[Annual_Budget_INR],"")</f>
        <v>26000000</v>
      </c>
      <c r="AA51" t="str">
        <f>_xlfn.XLOOKUP(H51,tblDepartment[Department],tblDepartment[Monthly_Target],"")</f>
        <v>100% Payroll Accuracy</v>
      </c>
      <c r="AB51">
        <f>_xlfn.XLOOKUP(H51,tblDepartment[Department],tblDepartment[Average_Salary_INR],"")</f>
        <v>640000</v>
      </c>
      <c r="AC51" t="str">
        <f>_xlfn.XLOOKUP(H51,tblDepartment[Department],tblDepartment[Priority_Level],"")</f>
        <v>High</v>
      </c>
      <c r="AD51" t="str">
        <f>_xlfn.XLOOKUP(H51,tblDepartment[Department],tblDepartment[Key_KPI],"")</f>
        <v>Financial Compliance</v>
      </c>
      <c r="AE51">
        <f>_xlfn.XLOOKUP(tblMaster[[#This Row],[Shift]],tblShift[Shift_Name],tblShift[Login_Time],"")</f>
        <v>0.25</v>
      </c>
      <c r="AF51">
        <f>_xlfn.XLOOKUP(tblMaster[[#This Row],[Shift]],tblShift[Shift_Name],tblShift[Logout_Time]," ")</f>
        <v>0.625</v>
      </c>
      <c r="AG51">
        <f>_xlfn.XLOOKUP(tblMaster[[#This Row],[Shift]],tblShift[Shift_Name],tblShift[Standard_Working_Hours],"")</f>
        <v>8</v>
      </c>
      <c r="AH51" t="str">
        <f>_xlfn.XLOOKUP(tblMaster[[#This Row],[Attendance_Date]],tblHoliday[Holiday_Date],tblHoliday[Holiday_Name],"Working Day")</f>
        <v>Working Day</v>
      </c>
      <c r="AI51" t="str">
        <f>_xlfn.XLOOKUP(tblMaster[[#This Row],[Attendance_Date]],tblHoliday[Holiday_Date],tblHoliday[Holiday_Type],"Working Day ")</f>
        <v xml:space="preserve">Working Day </v>
      </c>
    </row>
    <row r="52" spans="1:35" hidden="1" x14ac:dyDescent="0.3">
      <c r="A52" t="s">
        <v>194</v>
      </c>
      <c r="B52" s="3">
        <v>45746</v>
      </c>
      <c r="C52" t="s">
        <v>71</v>
      </c>
      <c r="D52" t="s">
        <v>50</v>
      </c>
      <c r="E52" t="s">
        <v>103</v>
      </c>
      <c r="F52" t="s">
        <v>195</v>
      </c>
      <c r="G52" t="s">
        <v>196</v>
      </c>
      <c r="H52" t="s">
        <v>98</v>
      </c>
      <c r="I52" t="s">
        <v>99</v>
      </c>
      <c r="J52" t="s">
        <v>43</v>
      </c>
      <c r="K52" t="s">
        <v>54</v>
      </c>
      <c r="P52" t="s">
        <v>82</v>
      </c>
      <c r="Q52" t="s">
        <v>122</v>
      </c>
      <c r="S52" t="s">
        <v>67</v>
      </c>
      <c r="T52" t="s">
        <v>101</v>
      </c>
      <c r="U52" t="s">
        <v>85</v>
      </c>
      <c r="V52" t="s">
        <v>60</v>
      </c>
      <c r="W52">
        <f>_xlfn.XLOOKUP(F52,tblEmployee[Employee_ID],tblEmployee[Age],"Not Found")</f>
        <v>24</v>
      </c>
      <c r="X52" t="str">
        <f>_xlfn.XLOOKUP(F52,tblEmployee[Employee_ID],tblEmployee[Gender],"Not Found")</f>
        <v>Male</v>
      </c>
      <c r="Y52">
        <f>_xlfn.XLOOKUP(F52,tblEmployee[Employee_ID],tblEmployee[Joining_Date],"")</f>
        <v>45550</v>
      </c>
      <c r="Z52">
        <f>_xlfn.XLOOKUP(H52,tblDepartment[Department],tblDepartment[Annual_Budget_INR],"")</f>
        <v>22000000</v>
      </c>
      <c r="AA52" t="str">
        <f>_xlfn.XLOOKUP(H52,tblDepartment[Department],tblDepartment[Monthly_Target],"")</f>
        <v>2500 Qualified Leads</v>
      </c>
      <c r="AB52">
        <f>_xlfn.XLOOKUP(H52,tblDepartment[Department],tblDepartment[Average_Salary_INR],"")</f>
        <v>590000</v>
      </c>
      <c r="AC52" t="str">
        <f>_xlfn.XLOOKUP(H52,tblDepartment[Department],tblDepartment[Priority_Level],"")</f>
        <v>Medium</v>
      </c>
      <c r="AD52" t="str">
        <f>_xlfn.XLOOKUP(H52,tblDepartment[Department],tblDepartment[Key_KPI],"")</f>
        <v>Lead Generation</v>
      </c>
      <c r="AE52">
        <f>_xlfn.XLOOKUP(tblMaster[[#This Row],[Shift]],tblShift[Shift_Name],tblShift[Login_Time],"")</f>
        <v>0.58333333333333337</v>
      </c>
      <c r="AF52">
        <f>_xlfn.XLOOKUP(tblMaster[[#This Row],[Shift]],tblShift[Shift_Name],tblShift[Logout_Time]," ")</f>
        <v>0.95833333333333337</v>
      </c>
      <c r="AG52">
        <f>_xlfn.XLOOKUP(tblMaster[[#This Row],[Shift]],tblShift[Shift_Name],tblShift[Standard_Working_Hours],"")</f>
        <v>8</v>
      </c>
      <c r="AH52" t="str">
        <f>_xlfn.XLOOKUP(tblMaster[[#This Row],[Attendance_Date]],tblHoliday[Holiday_Date],tblHoliday[Holiday_Name],"Working Day")</f>
        <v>Working Day</v>
      </c>
      <c r="AI52" t="str">
        <f>_xlfn.XLOOKUP(tblMaster[[#This Row],[Attendance_Date]],tblHoliday[Holiday_Date],tblHoliday[Holiday_Type],"Working Day ")</f>
        <v xml:space="preserve">Working Day </v>
      </c>
    </row>
    <row r="53" spans="1:35" hidden="1" x14ac:dyDescent="0.3">
      <c r="A53" t="s">
        <v>197</v>
      </c>
      <c r="B53" s="3">
        <v>45683</v>
      </c>
      <c r="C53" t="s">
        <v>49</v>
      </c>
      <c r="D53" t="s">
        <v>50</v>
      </c>
      <c r="E53" t="s">
        <v>103</v>
      </c>
      <c r="F53" t="s">
        <v>142</v>
      </c>
      <c r="G53" t="s">
        <v>143</v>
      </c>
      <c r="H53" t="s">
        <v>64</v>
      </c>
      <c r="I53" t="s">
        <v>65</v>
      </c>
      <c r="J53" t="s">
        <v>43</v>
      </c>
      <c r="K53" t="s">
        <v>75</v>
      </c>
      <c r="P53" t="s">
        <v>82</v>
      </c>
      <c r="Q53" t="s">
        <v>122</v>
      </c>
      <c r="S53" t="s">
        <v>92</v>
      </c>
      <c r="T53" t="s">
        <v>68</v>
      </c>
      <c r="U53" t="s">
        <v>85</v>
      </c>
      <c r="W53">
        <f>_xlfn.XLOOKUP(F53,tblEmployee[Employee_ID],tblEmployee[Age],"Not Found")</f>
        <v>37</v>
      </c>
      <c r="X53" t="str">
        <f>_xlfn.XLOOKUP(F53,tblEmployee[Employee_ID],tblEmployee[Gender],"Not Found")</f>
        <v>Male</v>
      </c>
      <c r="Y53">
        <f>_xlfn.XLOOKUP(F53,tblEmployee[Employee_ID],tblEmployee[Joining_Date],"")</f>
        <v>43570</v>
      </c>
      <c r="Z53">
        <f>_xlfn.XLOOKUP(H53,tblDepartment[Department],tblDepartment[Annual_Budget_INR],"")</f>
        <v>85000000</v>
      </c>
      <c r="AA53" t="str">
        <f>_xlfn.XLOOKUP(H53,tblDepartment[Department],tblDepartment[Monthly_Target],"")</f>
        <v>99.5% System Uptime</v>
      </c>
      <c r="AB53">
        <f>_xlfn.XLOOKUP(H53,tblDepartment[Department],tblDepartment[Average_Salary_INR],"")</f>
        <v>720000</v>
      </c>
      <c r="AC53" t="str">
        <f>_xlfn.XLOOKUP(H53,tblDepartment[Department],tblDepartment[Priority_Level],"")</f>
        <v>High</v>
      </c>
      <c r="AD53" t="str">
        <f>_xlfn.XLOOKUP(H53,tblDepartment[Department],tblDepartment[Key_KPI],"")</f>
        <v>Project Delivery</v>
      </c>
      <c r="AE53">
        <f>_xlfn.XLOOKUP(tblMaster[[#This Row],[Shift]],tblShift[Shift_Name],tblShift[Login_Time],"")</f>
        <v>0.375</v>
      </c>
      <c r="AF53">
        <f>_xlfn.XLOOKUP(tblMaster[[#This Row],[Shift]],tblShift[Shift_Name],tblShift[Logout_Time]," ")</f>
        <v>0.75</v>
      </c>
      <c r="AG53">
        <f>_xlfn.XLOOKUP(tblMaster[[#This Row],[Shift]],tblShift[Shift_Name],tblShift[Standard_Working_Hours],"")</f>
        <v>8</v>
      </c>
      <c r="AH53" t="str">
        <f>_xlfn.XLOOKUP(tblMaster[[#This Row],[Attendance_Date]],tblHoliday[Holiday_Date],tblHoliday[Holiday_Name],"Working Day")</f>
        <v>Republic Day</v>
      </c>
      <c r="AI53" t="str">
        <f>_xlfn.XLOOKUP(tblMaster[[#This Row],[Attendance_Date]],tblHoliday[Holiday_Date],tblHoliday[Holiday_Type],"Working Day ")</f>
        <v>National</v>
      </c>
    </row>
    <row r="54" spans="1:35" hidden="1" x14ac:dyDescent="0.3">
      <c r="A54" t="s">
        <v>198</v>
      </c>
      <c r="B54" s="3">
        <v>45681</v>
      </c>
      <c r="C54" t="s">
        <v>49</v>
      </c>
      <c r="D54" t="s">
        <v>50</v>
      </c>
      <c r="E54" t="s">
        <v>119</v>
      </c>
      <c r="F54" t="s">
        <v>124</v>
      </c>
      <c r="G54" t="s">
        <v>125</v>
      </c>
      <c r="H54" t="s">
        <v>28</v>
      </c>
      <c r="I54" t="s">
        <v>29</v>
      </c>
      <c r="J54" t="s">
        <v>66</v>
      </c>
      <c r="K54" t="s">
        <v>31</v>
      </c>
      <c r="L54" s="2">
        <v>0.375</v>
      </c>
      <c r="M54" s="2">
        <v>0.75</v>
      </c>
      <c r="N54">
        <v>8</v>
      </c>
      <c r="O54">
        <v>0</v>
      </c>
      <c r="P54" t="s">
        <v>32</v>
      </c>
      <c r="R54">
        <v>3</v>
      </c>
      <c r="S54" t="s">
        <v>67</v>
      </c>
      <c r="T54" t="s">
        <v>34</v>
      </c>
      <c r="U54" t="s">
        <v>85</v>
      </c>
      <c r="V54" t="s">
        <v>35</v>
      </c>
      <c r="W54">
        <f>_xlfn.XLOOKUP(F54,tblEmployee[Employee_ID],tblEmployee[Age],"Not Found")</f>
        <v>25</v>
      </c>
      <c r="X54" t="str">
        <f>_xlfn.XLOOKUP(F54,tblEmployee[Employee_ID],tblEmployee[Gender],"Not Found")</f>
        <v>Male</v>
      </c>
      <c r="Y54">
        <f>_xlfn.XLOOKUP(F54,tblEmployee[Employee_ID],tblEmployee[Joining_Date],"")</f>
        <v>43388</v>
      </c>
      <c r="Z54">
        <f>_xlfn.XLOOKUP(H54,tblDepartment[Department],tblDepartment[Annual_Budget_INR],"")</f>
        <v>24000000</v>
      </c>
      <c r="AA54" t="str">
        <f>_xlfn.XLOOKUP(H54,tblDepartment[Department],tblDepartment[Monthly_Target],"")</f>
        <v>90% Customer Satisfaction</v>
      </c>
      <c r="AB54">
        <f>_xlfn.XLOOKUP(H54,tblDepartment[Department],tblDepartment[Average_Salary_INR],"")</f>
        <v>520000</v>
      </c>
      <c r="AC54" t="str">
        <f>_xlfn.XLOOKUP(H54,tblDepartment[Department],tblDepartment[Priority_Level],"")</f>
        <v>High</v>
      </c>
      <c r="AD54" t="str">
        <f>_xlfn.XLOOKUP(H54,tblDepartment[Department],tblDepartment[Key_KPI],"")</f>
        <v>Customer Satisfaction</v>
      </c>
      <c r="AE54">
        <f>_xlfn.XLOOKUP(tblMaster[[#This Row],[Shift]],tblShift[Shift_Name],tblShift[Login_Time],"")</f>
        <v>0.25</v>
      </c>
      <c r="AF54">
        <f>_xlfn.XLOOKUP(tblMaster[[#This Row],[Shift]],tblShift[Shift_Name],tblShift[Logout_Time]," ")</f>
        <v>0.625</v>
      </c>
      <c r="AG54">
        <f>_xlfn.XLOOKUP(tblMaster[[#This Row],[Shift]],tblShift[Shift_Name],tblShift[Standard_Working_Hours],"")</f>
        <v>8</v>
      </c>
      <c r="AH54" t="str">
        <f>_xlfn.XLOOKUP(tblMaster[[#This Row],[Attendance_Date]],tblHoliday[Holiday_Date],tblHoliday[Holiday_Name],"Working Day")</f>
        <v>Working Day</v>
      </c>
      <c r="AI54" t="str">
        <f>_xlfn.XLOOKUP(tblMaster[[#This Row],[Attendance_Date]],tblHoliday[Holiday_Date],tblHoliday[Holiday_Type],"Working Day ")</f>
        <v xml:space="preserve">Working Day </v>
      </c>
    </row>
    <row r="55" spans="1:35" x14ac:dyDescent="0.3">
      <c r="A55" t="s">
        <v>199</v>
      </c>
      <c r="B55" s="3">
        <v>45717</v>
      </c>
      <c r="C55" t="s">
        <v>71</v>
      </c>
      <c r="D55" t="s">
        <v>50</v>
      </c>
      <c r="E55" t="s">
        <v>38</v>
      </c>
      <c r="F55" t="s">
        <v>104</v>
      </c>
      <c r="G55" t="s">
        <v>105</v>
      </c>
      <c r="H55" t="s">
        <v>28</v>
      </c>
      <c r="I55" t="s">
        <v>29</v>
      </c>
      <c r="J55" t="s">
        <v>30</v>
      </c>
      <c r="K55" t="s">
        <v>54</v>
      </c>
      <c r="P55" t="s">
        <v>82</v>
      </c>
      <c r="Q55" t="s">
        <v>122</v>
      </c>
      <c r="S55" t="s">
        <v>33</v>
      </c>
      <c r="T55" t="s">
        <v>34</v>
      </c>
      <c r="U55" t="str">
        <f>_xlfn.XLOOKUP(tblMaster[[#This Row],[Employee_ID]],tblEmployee[Employee_ID],tblEmployee[Work_Mode]," ")</f>
        <v>Hybrid</v>
      </c>
      <c r="W55">
        <f>_xlfn.XLOOKUP(F55,tblEmployee[Employee_ID],tblEmployee[Age],"Not Found")</f>
        <v>35</v>
      </c>
      <c r="X55" t="str">
        <f>_xlfn.XLOOKUP(F55,tblEmployee[Employee_ID],tblEmployee[Gender],"Not Found")</f>
        <v>Male</v>
      </c>
      <c r="Y55">
        <f>_xlfn.XLOOKUP(F55,tblEmployee[Employee_ID],tblEmployee[Joining_Date],"")</f>
        <v>43146</v>
      </c>
      <c r="Z55">
        <f>_xlfn.XLOOKUP(H55,tblDepartment[Department],tblDepartment[Annual_Budget_INR],"")</f>
        <v>24000000</v>
      </c>
      <c r="AA55" t="str">
        <f>_xlfn.XLOOKUP(H55,tblDepartment[Department],tblDepartment[Monthly_Target],"")</f>
        <v>90% Customer Satisfaction</v>
      </c>
      <c r="AB55">
        <f>_xlfn.XLOOKUP(H55,tblDepartment[Department],tblDepartment[Average_Salary_INR],"")</f>
        <v>520000</v>
      </c>
      <c r="AC55" t="str">
        <f>_xlfn.XLOOKUP(H55,tblDepartment[Department],tblDepartment[Priority_Level],"")</f>
        <v>High</v>
      </c>
      <c r="AD55" t="str">
        <f>_xlfn.XLOOKUP(H55,tblDepartment[Department],tblDepartment[Key_KPI],"")</f>
        <v>Customer Satisfaction</v>
      </c>
      <c r="AE55">
        <f>_xlfn.XLOOKUP(tblMaster[[#This Row],[Shift]],tblShift[Shift_Name],tblShift[Login_Time],"")</f>
        <v>0.58333333333333337</v>
      </c>
      <c r="AF55">
        <f>_xlfn.XLOOKUP(tblMaster[[#This Row],[Shift]],tblShift[Shift_Name],tblShift[Logout_Time]," ")</f>
        <v>0.95833333333333337</v>
      </c>
      <c r="AG55">
        <f>_xlfn.XLOOKUP(tblMaster[[#This Row],[Shift]],tblShift[Shift_Name],tblShift[Standard_Working_Hours],"")</f>
        <v>8</v>
      </c>
      <c r="AH55" t="str">
        <f>_xlfn.XLOOKUP(tblMaster[[#This Row],[Attendance_Date]],tblHoliday[Holiday_Date],tblHoliday[Holiday_Name],"Working Day")</f>
        <v>Working Day</v>
      </c>
      <c r="AI55" t="str">
        <f>_xlfn.XLOOKUP(tblMaster[[#This Row],[Attendance_Date]],tblHoliday[Holiday_Date],tblHoliday[Holiday_Type],"Working Day ")</f>
        <v xml:space="preserve">Working Day </v>
      </c>
    </row>
    <row r="56" spans="1:35" hidden="1" x14ac:dyDescent="0.3">
      <c r="A56" t="s">
        <v>200</v>
      </c>
      <c r="B56" s="3">
        <v>45804</v>
      </c>
      <c r="C56" t="s">
        <v>57</v>
      </c>
      <c r="D56" t="s">
        <v>24</v>
      </c>
      <c r="E56" t="s">
        <v>87</v>
      </c>
      <c r="F56" t="s">
        <v>201</v>
      </c>
      <c r="G56" t="s">
        <v>202</v>
      </c>
      <c r="H56" t="s">
        <v>112</v>
      </c>
      <c r="I56" t="s">
        <v>113</v>
      </c>
      <c r="J56" t="s">
        <v>66</v>
      </c>
      <c r="K56" t="s">
        <v>81</v>
      </c>
      <c r="L56" s="2">
        <v>0.38194444444444442</v>
      </c>
      <c r="M56" s="2">
        <v>0.29166666666666669</v>
      </c>
      <c r="N56">
        <v>9.5</v>
      </c>
      <c r="O56">
        <v>1.5</v>
      </c>
      <c r="P56" t="s">
        <v>32</v>
      </c>
      <c r="R56">
        <v>3</v>
      </c>
      <c r="S56" t="s">
        <v>33</v>
      </c>
      <c r="T56" t="s">
        <v>114</v>
      </c>
      <c r="U56" t="s">
        <v>55</v>
      </c>
      <c r="V56" t="s">
        <v>69</v>
      </c>
      <c r="W56">
        <f>_xlfn.XLOOKUP(F56,tblEmployee[Employee_ID],tblEmployee[Age],"Not Found")</f>
        <v>35</v>
      </c>
      <c r="X56" t="str">
        <f>_xlfn.XLOOKUP(F56,tblEmployee[Employee_ID],tblEmployee[Gender],"Not Found")</f>
        <v>Male</v>
      </c>
      <c r="Y56">
        <f>_xlfn.XLOOKUP(F56,tblEmployee[Employee_ID],tblEmployee[Joining_Date],"")</f>
        <v>44423</v>
      </c>
      <c r="Z56">
        <f>_xlfn.XLOOKUP(H56,tblDepartment[Department],tblDepartment[Annual_Budget_INR],"")</f>
        <v>42000000</v>
      </c>
      <c r="AA56" t="str">
        <f>_xlfn.XLOOKUP(H56,tblDepartment[Department],tblDepartment[Monthly_Target],"")</f>
        <v>₹2.5 Cr Monthly Sales</v>
      </c>
      <c r="AB56">
        <f>_xlfn.XLOOKUP(H56,tblDepartment[Department],tblDepartment[Average_Salary_INR],"")</f>
        <v>680000</v>
      </c>
      <c r="AC56" t="str">
        <f>_xlfn.XLOOKUP(H56,tblDepartment[Department],tblDepartment[Priority_Level],"")</f>
        <v>High</v>
      </c>
      <c r="AD56" t="str">
        <f>_xlfn.XLOOKUP(H56,tblDepartment[Department],tblDepartment[Key_KPI],"")</f>
        <v>Revenue Achievement</v>
      </c>
      <c r="AE56">
        <f>_xlfn.XLOOKUP(tblMaster[[#This Row],[Shift]],tblShift[Shift_Name],tblShift[Login_Time],"")</f>
        <v>0.91666666666666663</v>
      </c>
      <c r="AF56">
        <f>_xlfn.XLOOKUP(tblMaster[[#This Row],[Shift]],tblShift[Shift_Name],tblShift[Logout_Time]," ")</f>
        <v>0.29166666666666669</v>
      </c>
      <c r="AG56">
        <f>_xlfn.XLOOKUP(tblMaster[[#This Row],[Shift]],tblShift[Shift_Name],tblShift[Standard_Working_Hours],"")</f>
        <v>8</v>
      </c>
      <c r="AH56" t="str">
        <f>_xlfn.XLOOKUP(tblMaster[[#This Row],[Attendance_Date]],tblHoliday[Holiday_Date],tblHoliday[Holiday_Name],"Working Day")</f>
        <v>Working Day</v>
      </c>
      <c r="AI56" t="str">
        <f>_xlfn.XLOOKUP(tblMaster[[#This Row],[Attendance_Date]],tblHoliday[Holiday_Date],tblHoliday[Holiday_Type],"Working Day ")</f>
        <v xml:space="preserve">Working Day </v>
      </c>
    </row>
    <row r="57" spans="1:35" hidden="1" x14ac:dyDescent="0.3">
      <c r="A57" t="s">
        <v>203</v>
      </c>
      <c r="B57" s="3">
        <v>45737</v>
      </c>
      <c r="C57" t="s">
        <v>71</v>
      </c>
      <c r="D57" t="s">
        <v>50</v>
      </c>
      <c r="E57" t="s">
        <v>119</v>
      </c>
      <c r="F57" t="s">
        <v>204</v>
      </c>
      <c r="G57" t="s">
        <v>205</v>
      </c>
      <c r="H57" t="s">
        <v>90</v>
      </c>
      <c r="I57" t="s">
        <v>91</v>
      </c>
      <c r="J57" t="s">
        <v>74</v>
      </c>
      <c r="K57" t="s">
        <v>31</v>
      </c>
      <c r="L57" s="2">
        <v>0.375</v>
      </c>
      <c r="M57" s="2">
        <v>0.75</v>
      </c>
      <c r="N57">
        <v>8</v>
      </c>
      <c r="O57">
        <v>0</v>
      </c>
      <c r="P57" t="s">
        <v>32</v>
      </c>
      <c r="R57">
        <v>4</v>
      </c>
      <c r="S57" t="s">
        <v>45</v>
      </c>
      <c r="T57" t="s">
        <v>93</v>
      </c>
      <c r="U57" t="s">
        <v>47</v>
      </c>
      <c r="V57" t="s">
        <v>35</v>
      </c>
      <c r="W57">
        <f>_xlfn.XLOOKUP(F57,tblEmployee[Employee_ID],tblEmployee[Age],"Not Found")</f>
        <v>24</v>
      </c>
      <c r="X57" t="str">
        <f>_xlfn.XLOOKUP(F57,tblEmployee[Employee_ID],tblEmployee[Gender],"Not Found")</f>
        <v>Female</v>
      </c>
      <c r="Y57">
        <f>_xlfn.XLOOKUP(F57,tblEmployee[Employee_ID],tblEmployee[Joining_Date],"")</f>
        <v>43905</v>
      </c>
      <c r="Z57">
        <f>_xlfn.XLOOKUP(H57,tblDepartment[Department],tblDepartment[Annual_Budget_INR],"")</f>
        <v>18000000</v>
      </c>
      <c r="AA57" t="str">
        <f>_xlfn.XLOOKUP(H57,tblDepartment[Department],tblDepartment[Monthly_Target],"")</f>
        <v>&lt;30 Days Hiring Cycle</v>
      </c>
      <c r="AB57">
        <f>_xlfn.XLOOKUP(H57,tblDepartment[Department],tblDepartment[Average_Salary_INR],"")</f>
        <v>560000</v>
      </c>
      <c r="AC57" t="str">
        <f>_xlfn.XLOOKUP(H57,tblDepartment[Department],tblDepartment[Priority_Level],"")</f>
        <v>Medium</v>
      </c>
      <c r="AD57" t="str">
        <f>_xlfn.XLOOKUP(H57,tblDepartment[Department],tblDepartment[Key_KPI],"")</f>
        <v>Hiring &amp; Retention</v>
      </c>
      <c r="AE57">
        <f>_xlfn.XLOOKUP(tblMaster[[#This Row],[Shift]],tblShift[Shift_Name],tblShift[Login_Time],"")</f>
        <v>0.25</v>
      </c>
      <c r="AF57">
        <f>_xlfn.XLOOKUP(tblMaster[[#This Row],[Shift]],tblShift[Shift_Name],tblShift[Logout_Time]," ")</f>
        <v>0.625</v>
      </c>
      <c r="AG57">
        <f>_xlfn.XLOOKUP(tblMaster[[#This Row],[Shift]],tblShift[Shift_Name],tblShift[Standard_Working_Hours],"")</f>
        <v>8</v>
      </c>
      <c r="AH57" t="str">
        <f>_xlfn.XLOOKUP(tblMaster[[#This Row],[Attendance_Date]],tblHoliday[Holiday_Date],tblHoliday[Holiday_Name],"Working Day")</f>
        <v>Working Day</v>
      </c>
      <c r="AI57" t="str">
        <f>_xlfn.XLOOKUP(tblMaster[[#This Row],[Attendance_Date]],tblHoliday[Holiday_Date],tblHoliday[Holiday_Type],"Working Day ")</f>
        <v xml:space="preserve">Working Day </v>
      </c>
    </row>
    <row r="58" spans="1:35" hidden="1" x14ac:dyDescent="0.3">
      <c r="A58" t="s">
        <v>206</v>
      </c>
      <c r="B58" s="1">
        <v>45658</v>
      </c>
      <c r="C58" t="s">
        <v>49</v>
      </c>
      <c r="D58" t="s">
        <v>50</v>
      </c>
      <c r="E58" t="s">
        <v>51</v>
      </c>
      <c r="F58" t="s">
        <v>207</v>
      </c>
      <c r="G58" t="s">
        <v>208</v>
      </c>
      <c r="H58" t="s">
        <v>64</v>
      </c>
      <c r="I58" t="s">
        <v>65</v>
      </c>
      <c r="J58" t="s">
        <v>30</v>
      </c>
      <c r="K58" t="s">
        <v>81</v>
      </c>
      <c r="L58" s="2">
        <v>0.91666666666666663</v>
      </c>
      <c r="M58" s="2">
        <v>0.29166666666666669</v>
      </c>
      <c r="N58">
        <v>10</v>
      </c>
      <c r="O58">
        <v>2</v>
      </c>
      <c r="P58" t="s">
        <v>32</v>
      </c>
      <c r="R58">
        <v>5</v>
      </c>
      <c r="S58" t="s">
        <v>33</v>
      </c>
      <c r="T58" t="s">
        <v>68</v>
      </c>
      <c r="U58" t="s">
        <v>47</v>
      </c>
      <c r="W58">
        <f>_xlfn.XLOOKUP(F58,tblEmployee[Employee_ID],tblEmployee[Age],"Not Found")</f>
        <v>33</v>
      </c>
      <c r="X58" t="str">
        <f>_xlfn.XLOOKUP(F58,tblEmployee[Employee_ID],tblEmployee[Gender],"Not Found")</f>
        <v>Male</v>
      </c>
      <c r="Y58">
        <f>_xlfn.XLOOKUP(F58,tblEmployee[Employee_ID],tblEmployee[Joining_Date],"")</f>
        <v>43631</v>
      </c>
      <c r="Z58">
        <f>_xlfn.XLOOKUP(H58,tblDepartment[Department],tblDepartment[Annual_Budget_INR],"")</f>
        <v>85000000</v>
      </c>
      <c r="AA58" t="str">
        <f>_xlfn.XLOOKUP(H58,tblDepartment[Department],tblDepartment[Monthly_Target],"")</f>
        <v>99.5% System Uptime</v>
      </c>
      <c r="AB58">
        <f>_xlfn.XLOOKUP(H58,tblDepartment[Department],tblDepartment[Average_Salary_INR],"")</f>
        <v>720000</v>
      </c>
      <c r="AC58" t="str">
        <f>_xlfn.XLOOKUP(H58,tblDepartment[Department],tblDepartment[Priority_Level],"")</f>
        <v>High</v>
      </c>
      <c r="AD58" t="str">
        <f>_xlfn.XLOOKUP(H58,tblDepartment[Department],tblDepartment[Key_KPI],"")</f>
        <v>Project Delivery</v>
      </c>
      <c r="AE58">
        <f>_xlfn.XLOOKUP(tblMaster[[#This Row],[Shift]],tblShift[Shift_Name],tblShift[Login_Time],"")</f>
        <v>0.91666666666666663</v>
      </c>
      <c r="AF58">
        <f>_xlfn.XLOOKUP(tblMaster[[#This Row],[Shift]],tblShift[Shift_Name],tblShift[Logout_Time]," ")</f>
        <v>0.29166666666666669</v>
      </c>
      <c r="AG58">
        <f>_xlfn.XLOOKUP(tblMaster[[#This Row],[Shift]],tblShift[Shift_Name],tblShift[Standard_Working_Hours],"")</f>
        <v>8</v>
      </c>
      <c r="AH58" t="str">
        <f>_xlfn.XLOOKUP(tblMaster[[#This Row],[Attendance_Date]],tblHoliday[Holiday_Date],tblHoliday[Holiday_Name],"Working Day")</f>
        <v>New Year's Day</v>
      </c>
      <c r="AI58" t="str">
        <f>_xlfn.XLOOKUP(tblMaster[[#This Row],[Attendance_Date]],tblHoliday[Holiday_Date],tblHoliday[Holiday_Type],"Working Day ")</f>
        <v>National</v>
      </c>
    </row>
    <row r="59" spans="1:35" hidden="1" x14ac:dyDescent="0.3">
      <c r="A59" t="s">
        <v>209</v>
      </c>
      <c r="B59" s="3">
        <v>45767</v>
      </c>
      <c r="C59" t="s">
        <v>37</v>
      </c>
      <c r="D59" t="s">
        <v>24</v>
      </c>
      <c r="E59" t="s">
        <v>103</v>
      </c>
      <c r="F59" t="s">
        <v>192</v>
      </c>
      <c r="G59" t="s">
        <v>193</v>
      </c>
      <c r="H59" t="s">
        <v>79</v>
      </c>
      <c r="I59" t="s">
        <v>80</v>
      </c>
      <c r="J59" t="s">
        <v>66</v>
      </c>
      <c r="K59" t="s">
        <v>31</v>
      </c>
      <c r="L59" s="2">
        <v>0.375</v>
      </c>
      <c r="M59" s="2">
        <v>0.75</v>
      </c>
      <c r="N59">
        <v>8</v>
      </c>
      <c r="O59">
        <v>0</v>
      </c>
      <c r="P59" t="s">
        <v>32</v>
      </c>
      <c r="R59">
        <v>4</v>
      </c>
      <c r="S59" t="s">
        <v>92</v>
      </c>
      <c r="T59" t="s">
        <v>84</v>
      </c>
      <c r="U59" t="s">
        <v>55</v>
      </c>
      <c r="W59">
        <f>_xlfn.XLOOKUP(F59,tblEmployee[Employee_ID],tblEmployee[Age],"Not Found")</f>
        <v>32</v>
      </c>
      <c r="X59" t="str">
        <f>_xlfn.XLOOKUP(F59,tblEmployee[Employee_ID],tblEmployee[Gender],"Not Found")</f>
        <v>Female</v>
      </c>
      <c r="Y59">
        <f>_xlfn.XLOOKUP(F59,tblEmployee[Employee_ID],tblEmployee[Joining_Date],"")</f>
        <v>44880</v>
      </c>
      <c r="Z59">
        <f>_xlfn.XLOOKUP(H59,tblDepartment[Department],tblDepartment[Annual_Budget_INR],"")</f>
        <v>26000000</v>
      </c>
      <c r="AA59" t="str">
        <f>_xlfn.XLOOKUP(H59,tblDepartment[Department],tblDepartment[Monthly_Target],"")</f>
        <v>100% Payroll Accuracy</v>
      </c>
      <c r="AB59">
        <f>_xlfn.XLOOKUP(H59,tblDepartment[Department],tblDepartment[Average_Salary_INR],"")</f>
        <v>640000</v>
      </c>
      <c r="AC59" t="str">
        <f>_xlfn.XLOOKUP(H59,tblDepartment[Department],tblDepartment[Priority_Level],"")</f>
        <v>High</v>
      </c>
      <c r="AD59" t="str">
        <f>_xlfn.XLOOKUP(H59,tblDepartment[Department],tblDepartment[Key_KPI],"")</f>
        <v>Financial Compliance</v>
      </c>
      <c r="AE59">
        <f>_xlfn.XLOOKUP(tblMaster[[#This Row],[Shift]],tblShift[Shift_Name],tblShift[Login_Time],"")</f>
        <v>0.25</v>
      </c>
      <c r="AF59">
        <f>_xlfn.XLOOKUP(tblMaster[[#This Row],[Shift]],tblShift[Shift_Name],tblShift[Logout_Time]," ")</f>
        <v>0.625</v>
      </c>
      <c r="AG59">
        <f>_xlfn.XLOOKUP(tblMaster[[#This Row],[Shift]],tblShift[Shift_Name],tblShift[Standard_Working_Hours],"")</f>
        <v>8</v>
      </c>
      <c r="AH59" t="str">
        <f>_xlfn.XLOOKUP(tblMaster[[#This Row],[Attendance_Date]],tblHoliday[Holiday_Date],tblHoliday[Holiday_Name],"Working Day")</f>
        <v>Working Day</v>
      </c>
      <c r="AI59" t="str">
        <f>_xlfn.XLOOKUP(tblMaster[[#This Row],[Attendance_Date]],tblHoliday[Holiday_Date],tblHoliday[Holiday_Type],"Working Day ")</f>
        <v xml:space="preserve">Working Day </v>
      </c>
    </row>
    <row r="60" spans="1:35" hidden="1" x14ac:dyDescent="0.3">
      <c r="A60" t="s">
        <v>210</v>
      </c>
      <c r="B60" s="3">
        <v>45732</v>
      </c>
      <c r="C60" t="s">
        <v>71</v>
      </c>
      <c r="D60" t="s">
        <v>50</v>
      </c>
      <c r="E60" t="s">
        <v>103</v>
      </c>
      <c r="F60" t="s">
        <v>211</v>
      </c>
      <c r="G60" t="s">
        <v>212</v>
      </c>
      <c r="H60" t="s">
        <v>64</v>
      </c>
      <c r="I60" t="s">
        <v>65</v>
      </c>
      <c r="J60" t="s">
        <v>74</v>
      </c>
      <c r="K60" t="s">
        <v>44</v>
      </c>
      <c r="L60" s="2">
        <v>0.375</v>
      </c>
      <c r="M60" s="2">
        <v>0.75</v>
      </c>
      <c r="N60">
        <v>8.5</v>
      </c>
      <c r="O60">
        <v>0.5</v>
      </c>
      <c r="P60" t="s">
        <v>32</v>
      </c>
      <c r="R60">
        <v>5</v>
      </c>
      <c r="S60" t="s">
        <v>45</v>
      </c>
      <c r="T60" t="s">
        <v>68</v>
      </c>
      <c r="U60" t="s">
        <v>55</v>
      </c>
      <c r="W60">
        <f>_xlfn.XLOOKUP(F60,tblEmployee[Employee_ID],tblEmployee[Age],"Not Found")</f>
        <v>26</v>
      </c>
      <c r="X60" t="str">
        <f>_xlfn.XLOOKUP(F60,tblEmployee[Employee_ID],tblEmployee[Gender],"Not Found")</f>
        <v>Female</v>
      </c>
      <c r="Y60">
        <f>_xlfn.XLOOKUP(F60,tblEmployee[Employee_ID],tblEmployee[Joining_Date],"")</f>
        <v>43784</v>
      </c>
      <c r="Z60">
        <f>_xlfn.XLOOKUP(H60,tblDepartment[Department],tblDepartment[Annual_Budget_INR],"")</f>
        <v>85000000</v>
      </c>
      <c r="AA60" t="str">
        <f>_xlfn.XLOOKUP(H60,tblDepartment[Department],tblDepartment[Monthly_Target],"")</f>
        <v>99.5% System Uptime</v>
      </c>
      <c r="AB60">
        <f>_xlfn.XLOOKUP(H60,tblDepartment[Department],tblDepartment[Average_Salary_INR],"")</f>
        <v>720000</v>
      </c>
      <c r="AC60" t="str">
        <f>_xlfn.XLOOKUP(H60,tblDepartment[Department],tblDepartment[Priority_Level],"")</f>
        <v>High</v>
      </c>
      <c r="AD60" t="str">
        <f>_xlfn.XLOOKUP(H60,tblDepartment[Department],tblDepartment[Key_KPI],"")</f>
        <v>Project Delivery</v>
      </c>
      <c r="AE60">
        <f>_xlfn.XLOOKUP(tblMaster[[#This Row],[Shift]],tblShift[Shift_Name],tblShift[Login_Time],"")</f>
        <v>0.41666666666666669</v>
      </c>
      <c r="AF60">
        <f>_xlfn.XLOOKUP(tblMaster[[#This Row],[Shift]],tblShift[Shift_Name],tblShift[Logout_Time]," ")</f>
        <v>0.79166666666666663</v>
      </c>
      <c r="AG60">
        <f>_xlfn.XLOOKUP(tblMaster[[#This Row],[Shift]],tblShift[Shift_Name],tblShift[Standard_Working_Hours],"")</f>
        <v>8</v>
      </c>
      <c r="AH60" t="str">
        <f>_xlfn.XLOOKUP(tblMaster[[#This Row],[Attendance_Date]],tblHoliday[Holiday_Date],tblHoliday[Holiday_Name],"Working Day")</f>
        <v>Working Day</v>
      </c>
      <c r="AI60" t="str">
        <f>_xlfn.XLOOKUP(tblMaster[[#This Row],[Attendance_Date]],tblHoliday[Holiday_Date],tblHoliday[Holiday_Type],"Working Day ")</f>
        <v xml:space="preserve">Working Day </v>
      </c>
    </row>
    <row r="61" spans="1:35" hidden="1" x14ac:dyDescent="0.3">
      <c r="A61" t="s">
        <v>213</v>
      </c>
      <c r="B61" s="1">
        <v>45767</v>
      </c>
      <c r="C61" t="s">
        <v>37</v>
      </c>
      <c r="D61" t="s">
        <v>24</v>
      </c>
      <c r="E61" t="s">
        <v>103</v>
      </c>
      <c r="F61" t="s">
        <v>207</v>
      </c>
      <c r="G61" t="s">
        <v>208</v>
      </c>
      <c r="H61" t="s">
        <v>64</v>
      </c>
      <c r="I61" t="s">
        <v>65</v>
      </c>
      <c r="J61" t="s">
        <v>30</v>
      </c>
      <c r="K61" t="s">
        <v>31</v>
      </c>
      <c r="L61" s="2">
        <v>0.375</v>
      </c>
      <c r="M61" s="2">
        <v>0.75</v>
      </c>
      <c r="N61">
        <v>10</v>
      </c>
      <c r="O61">
        <v>2</v>
      </c>
      <c r="P61" t="s">
        <v>32</v>
      </c>
      <c r="R61">
        <v>4</v>
      </c>
      <c r="S61" t="s">
        <v>33</v>
      </c>
      <c r="T61" t="s">
        <v>68</v>
      </c>
      <c r="U61" t="s">
        <v>85</v>
      </c>
      <c r="W61">
        <f>_xlfn.XLOOKUP(F61,tblEmployee[Employee_ID],tblEmployee[Age],"Not Found")</f>
        <v>33</v>
      </c>
      <c r="X61" t="str">
        <f>_xlfn.XLOOKUP(F61,tblEmployee[Employee_ID],tblEmployee[Gender],"Not Found")</f>
        <v>Male</v>
      </c>
      <c r="Y61">
        <f>_xlfn.XLOOKUP(F61,tblEmployee[Employee_ID],tblEmployee[Joining_Date],"")</f>
        <v>43631</v>
      </c>
      <c r="Z61">
        <f>_xlfn.XLOOKUP(H61,tblDepartment[Department],tblDepartment[Annual_Budget_INR],"")</f>
        <v>85000000</v>
      </c>
      <c r="AA61" t="str">
        <f>_xlfn.XLOOKUP(H61,tblDepartment[Department],tblDepartment[Monthly_Target],"")</f>
        <v>99.5% System Uptime</v>
      </c>
      <c r="AB61">
        <f>_xlfn.XLOOKUP(H61,tblDepartment[Department],tblDepartment[Average_Salary_INR],"")</f>
        <v>720000</v>
      </c>
      <c r="AC61" t="str">
        <f>_xlfn.XLOOKUP(H61,tblDepartment[Department],tblDepartment[Priority_Level],"")</f>
        <v>High</v>
      </c>
      <c r="AD61" t="str">
        <f>_xlfn.XLOOKUP(H61,tblDepartment[Department],tblDepartment[Key_KPI],"")</f>
        <v>Project Delivery</v>
      </c>
      <c r="AE61">
        <f>_xlfn.XLOOKUP(tblMaster[[#This Row],[Shift]],tblShift[Shift_Name],tblShift[Login_Time],"")</f>
        <v>0.25</v>
      </c>
      <c r="AF61">
        <f>_xlfn.XLOOKUP(tblMaster[[#This Row],[Shift]],tblShift[Shift_Name],tblShift[Logout_Time]," ")</f>
        <v>0.625</v>
      </c>
      <c r="AG61">
        <f>_xlfn.XLOOKUP(tblMaster[[#This Row],[Shift]],tblShift[Shift_Name],tblShift[Standard_Working_Hours],"")</f>
        <v>8</v>
      </c>
      <c r="AH61" t="str">
        <f>_xlfn.XLOOKUP(tblMaster[[#This Row],[Attendance_Date]],tblHoliday[Holiday_Date],tblHoliday[Holiday_Name],"Working Day")</f>
        <v>Working Day</v>
      </c>
      <c r="AI61" t="str">
        <f>_xlfn.XLOOKUP(tblMaster[[#This Row],[Attendance_Date]],tblHoliday[Holiday_Date],tblHoliday[Holiday_Type],"Working Day ")</f>
        <v xml:space="preserve">Working Day </v>
      </c>
    </row>
    <row r="62" spans="1:35" hidden="1" x14ac:dyDescent="0.3">
      <c r="A62" t="s">
        <v>214</v>
      </c>
      <c r="B62" s="3">
        <v>45821</v>
      </c>
      <c r="C62" t="s">
        <v>23</v>
      </c>
      <c r="D62" t="s">
        <v>24</v>
      </c>
      <c r="E62" t="s">
        <v>119</v>
      </c>
      <c r="F62" t="s">
        <v>215</v>
      </c>
      <c r="G62" t="s">
        <v>216</v>
      </c>
      <c r="H62" t="s">
        <v>79</v>
      </c>
      <c r="I62" t="s">
        <v>80</v>
      </c>
      <c r="J62" t="s">
        <v>30</v>
      </c>
      <c r="K62" t="s">
        <v>54</v>
      </c>
      <c r="L62" s="2">
        <v>0.375</v>
      </c>
      <c r="M62" s="2">
        <v>0.75</v>
      </c>
      <c r="N62">
        <v>8</v>
      </c>
      <c r="O62">
        <v>0</v>
      </c>
      <c r="P62" t="s">
        <v>32</v>
      </c>
      <c r="S62" t="s">
        <v>33</v>
      </c>
      <c r="T62" t="s">
        <v>84</v>
      </c>
      <c r="U62" t="s">
        <v>85</v>
      </c>
      <c r="W62">
        <f>_xlfn.XLOOKUP(F62,tblEmployee[Employee_ID],tblEmployee[Age],"Not Found")</f>
        <v>25</v>
      </c>
      <c r="X62" t="str">
        <f>_xlfn.XLOOKUP(F62,tblEmployee[Employee_ID],tblEmployee[Gender],"Not Found")</f>
        <v>Female</v>
      </c>
      <c r="Y62">
        <f>_xlfn.XLOOKUP(F62,tblEmployee[Employee_ID],tblEmployee[Joining_Date],"")</f>
        <v>44666</v>
      </c>
      <c r="Z62">
        <f>_xlfn.XLOOKUP(H62,tblDepartment[Department],tblDepartment[Annual_Budget_INR],"")</f>
        <v>26000000</v>
      </c>
      <c r="AA62" t="str">
        <f>_xlfn.XLOOKUP(H62,tblDepartment[Department],tblDepartment[Monthly_Target],"")</f>
        <v>100% Payroll Accuracy</v>
      </c>
      <c r="AB62">
        <f>_xlfn.XLOOKUP(H62,tblDepartment[Department],tblDepartment[Average_Salary_INR],"")</f>
        <v>640000</v>
      </c>
      <c r="AC62" t="str">
        <f>_xlfn.XLOOKUP(H62,tblDepartment[Department],tblDepartment[Priority_Level],"")</f>
        <v>High</v>
      </c>
      <c r="AD62" t="str">
        <f>_xlfn.XLOOKUP(H62,tblDepartment[Department],tblDepartment[Key_KPI],"")</f>
        <v>Financial Compliance</v>
      </c>
      <c r="AE62">
        <f>_xlfn.XLOOKUP(tblMaster[[#This Row],[Shift]],tblShift[Shift_Name],tblShift[Login_Time],"")</f>
        <v>0.58333333333333337</v>
      </c>
      <c r="AF62">
        <f>_xlfn.XLOOKUP(tblMaster[[#This Row],[Shift]],tblShift[Shift_Name],tblShift[Logout_Time]," ")</f>
        <v>0.95833333333333337</v>
      </c>
      <c r="AG62">
        <f>_xlfn.XLOOKUP(tblMaster[[#This Row],[Shift]],tblShift[Shift_Name],tblShift[Standard_Working_Hours],"")</f>
        <v>8</v>
      </c>
      <c r="AH62" t="str">
        <f>_xlfn.XLOOKUP(tblMaster[[#This Row],[Attendance_Date]],tblHoliday[Holiday_Date],tblHoliday[Holiday_Name],"Working Day")</f>
        <v>Working Day</v>
      </c>
      <c r="AI62" t="str">
        <f>_xlfn.XLOOKUP(tblMaster[[#This Row],[Attendance_Date]],tblHoliday[Holiday_Date],tblHoliday[Holiday_Type],"Working Day ")</f>
        <v xml:space="preserve">Working Day </v>
      </c>
    </row>
    <row r="63" spans="1:35" x14ac:dyDescent="0.3">
      <c r="A63" t="s">
        <v>217</v>
      </c>
      <c r="B63" s="3">
        <v>45690</v>
      </c>
      <c r="C63" t="s">
        <v>95</v>
      </c>
      <c r="D63" t="s">
        <v>50</v>
      </c>
      <c r="E63" t="s">
        <v>103</v>
      </c>
      <c r="F63" t="s">
        <v>154</v>
      </c>
      <c r="G63" t="s">
        <v>155</v>
      </c>
      <c r="H63" t="s">
        <v>41</v>
      </c>
      <c r="I63" t="s">
        <v>42</v>
      </c>
      <c r="J63" t="s">
        <v>74</v>
      </c>
      <c r="K63" t="s">
        <v>81</v>
      </c>
      <c r="L63" s="2">
        <v>0.91666666666666663</v>
      </c>
      <c r="M63" s="2">
        <v>0.29166666666666669</v>
      </c>
      <c r="N63">
        <v>8.5</v>
      </c>
      <c r="O63">
        <v>0.5</v>
      </c>
      <c r="P63" t="s">
        <v>32</v>
      </c>
      <c r="S63" t="s">
        <v>45</v>
      </c>
      <c r="T63" t="s">
        <v>46</v>
      </c>
      <c r="U63" t="str">
        <f>_xlfn.XLOOKUP(tblMaster[[#This Row],[Employee_ID]],tblEmployee[Employee_ID],tblEmployee[Work_Mode]," ")</f>
        <v>Remote</v>
      </c>
      <c r="V63" t="s">
        <v>60</v>
      </c>
      <c r="W63">
        <f>_xlfn.XLOOKUP(F63,tblEmployee[Employee_ID],tblEmployee[Age],"Not Found")</f>
        <v>33</v>
      </c>
      <c r="X63" t="str">
        <f>_xlfn.XLOOKUP(F63,tblEmployee[Employee_ID],tblEmployee[Gender],"Not Found")</f>
        <v>Male</v>
      </c>
      <c r="Y63">
        <f>_xlfn.XLOOKUP(F63,tblEmployee[Employee_ID],tblEmployee[Joining_Date],"")</f>
        <v>45275</v>
      </c>
      <c r="Z63">
        <f>_xlfn.XLOOKUP(H63,tblDepartment[Department],tblDepartment[Annual_Budget_INR],"")</f>
        <v>34000000</v>
      </c>
      <c r="AA63" t="str">
        <f>_xlfn.XLOOKUP(H63,tblDepartment[Department],tblDepartment[Monthly_Target],"")</f>
        <v>95% Process Efficiency</v>
      </c>
      <c r="AB63">
        <f>_xlfn.XLOOKUP(H63,tblDepartment[Department],tblDepartment[Average_Salary_INR],"")</f>
        <v>610000</v>
      </c>
      <c r="AC63" t="str">
        <f>_xlfn.XLOOKUP(H63,tblDepartment[Department],tblDepartment[Priority_Level],"")</f>
        <v>High</v>
      </c>
      <c r="AD63" t="str">
        <f>_xlfn.XLOOKUP(H63,tblDepartment[Department],tblDepartment[Key_KPI],"")</f>
        <v>Operational Efficiency</v>
      </c>
      <c r="AE63">
        <f>_xlfn.XLOOKUP(tblMaster[[#This Row],[Shift]],tblShift[Shift_Name],tblShift[Login_Time],"")</f>
        <v>0.91666666666666663</v>
      </c>
      <c r="AF63">
        <f>_xlfn.XLOOKUP(tblMaster[[#This Row],[Shift]],tblShift[Shift_Name],tblShift[Logout_Time]," ")</f>
        <v>0.29166666666666669</v>
      </c>
      <c r="AG63">
        <f>_xlfn.XLOOKUP(tblMaster[[#This Row],[Shift]],tblShift[Shift_Name],tblShift[Standard_Working_Hours],"")</f>
        <v>8</v>
      </c>
      <c r="AH63" t="str">
        <f>_xlfn.XLOOKUP(tblMaster[[#This Row],[Attendance_Date]],tblHoliday[Holiday_Date],tblHoliday[Holiday_Name],"Working Day")</f>
        <v>Working Day</v>
      </c>
      <c r="AI63" t="str">
        <f>_xlfn.XLOOKUP(tblMaster[[#This Row],[Attendance_Date]],tblHoliday[Holiday_Date],tblHoliday[Holiday_Type],"Working Day ")</f>
        <v xml:space="preserve">Working Day </v>
      </c>
    </row>
    <row r="64" spans="1:35" hidden="1" x14ac:dyDescent="0.3">
      <c r="A64" t="s">
        <v>218</v>
      </c>
      <c r="B64" s="3">
        <v>45816</v>
      </c>
      <c r="C64" t="s">
        <v>23</v>
      </c>
      <c r="D64" t="s">
        <v>24</v>
      </c>
      <c r="E64" t="s">
        <v>103</v>
      </c>
      <c r="F64" t="s">
        <v>77</v>
      </c>
      <c r="G64" t="s">
        <v>78</v>
      </c>
      <c r="H64" t="s">
        <v>79</v>
      </c>
      <c r="I64" t="s">
        <v>80</v>
      </c>
      <c r="J64" t="s">
        <v>30</v>
      </c>
      <c r="K64" t="s">
        <v>75</v>
      </c>
      <c r="M64" s="2">
        <v>0.75</v>
      </c>
      <c r="N64">
        <v>8</v>
      </c>
      <c r="O64">
        <v>0</v>
      </c>
      <c r="P64" t="s">
        <v>32</v>
      </c>
      <c r="R64">
        <v>4</v>
      </c>
      <c r="S64" t="s">
        <v>33</v>
      </c>
      <c r="T64" t="s">
        <v>84</v>
      </c>
      <c r="U64" t="s">
        <v>47</v>
      </c>
      <c r="V64" t="s">
        <v>60</v>
      </c>
      <c r="W64">
        <f>_xlfn.XLOOKUP(F64,tblEmployee[Employee_ID],tblEmployee[Age],"Not Found")</f>
        <v>26</v>
      </c>
      <c r="X64" t="str">
        <f>_xlfn.XLOOKUP(F64,tblEmployee[Employee_ID],tblEmployee[Gender],"Not Found")</f>
        <v>Female</v>
      </c>
      <c r="Y64">
        <f>_xlfn.XLOOKUP(F64,tblEmployee[Employee_ID],tblEmployee[Joining_Date],"")</f>
        <v>44696</v>
      </c>
      <c r="Z64">
        <f>_xlfn.XLOOKUP(H64,tblDepartment[Department],tblDepartment[Annual_Budget_INR],"")</f>
        <v>26000000</v>
      </c>
      <c r="AA64" t="str">
        <f>_xlfn.XLOOKUP(H64,tblDepartment[Department],tblDepartment[Monthly_Target],"")</f>
        <v>100% Payroll Accuracy</v>
      </c>
      <c r="AB64">
        <f>_xlfn.XLOOKUP(H64,tblDepartment[Department],tblDepartment[Average_Salary_INR],"")</f>
        <v>640000</v>
      </c>
      <c r="AC64" t="str">
        <f>_xlfn.XLOOKUP(H64,tblDepartment[Department],tblDepartment[Priority_Level],"")</f>
        <v>High</v>
      </c>
      <c r="AD64" t="str">
        <f>_xlfn.XLOOKUP(H64,tblDepartment[Department],tblDepartment[Key_KPI],"")</f>
        <v>Financial Compliance</v>
      </c>
      <c r="AE64">
        <f>_xlfn.XLOOKUP(tblMaster[[#This Row],[Shift]],tblShift[Shift_Name],tblShift[Login_Time],"")</f>
        <v>0.375</v>
      </c>
      <c r="AF64">
        <f>_xlfn.XLOOKUP(tblMaster[[#This Row],[Shift]],tblShift[Shift_Name],tblShift[Logout_Time]," ")</f>
        <v>0.75</v>
      </c>
      <c r="AG64">
        <f>_xlfn.XLOOKUP(tblMaster[[#This Row],[Shift]],tblShift[Shift_Name],tblShift[Standard_Working_Hours],"")</f>
        <v>8</v>
      </c>
      <c r="AH64" t="str">
        <f>_xlfn.XLOOKUP(tblMaster[[#This Row],[Attendance_Date]],tblHoliday[Holiday_Date],tblHoliday[Holiday_Name],"Working Day")</f>
        <v>Working Day</v>
      </c>
      <c r="AI64" t="str">
        <f>_xlfn.XLOOKUP(tblMaster[[#This Row],[Attendance_Date]],tblHoliday[Holiday_Date],tblHoliday[Holiday_Type],"Working Day ")</f>
        <v xml:space="preserve">Working Day </v>
      </c>
    </row>
    <row r="65" spans="1:35" hidden="1" x14ac:dyDescent="0.3">
      <c r="A65" t="s">
        <v>219</v>
      </c>
      <c r="B65" s="3">
        <v>45676</v>
      </c>
      <c r="C65" t="s">
        <v>49</v>
      </c>
      <c r="D65" t="s">
        <v>50</v>
      </c>
      <c r="E65" t="s">
        <v>103</v>
      </c>
      <c r="F65" t="s">
        <v>220</v>
      </c>
      <c r="G65" t="s">
        <v>221</v>
      </c>
      <c r="H65" t="s">
        <v>79</v>
      </c>
      <c r="I65" t="s">
        <v>80</v>
      </c>
      <c r="J65" t="s">
        <v>100</v>
      </c>
      <c r="K65" t="s">
        <v>54</v>
      </c>
      <c r="L65" s="2">
        <v>0.375</v>
      </c>
      <c r="M65" s="2">
        <v>0.75</v>
      </c>
      <c r="N65">
        <v>8</v>
      </c>
      <c r="O65">
        <v>0</v>
      </c>
      <c r="P65" t="s">
        <v>32</v>
      </c>
      <c r="R65">
        <v>3</v>
      </c>
      <c r="S65" t="s">
        <v>33</v>
      </c>
      <c r="T65" t="s">
        <v>84</v>
      </c>
      <c r="U65" t="s">
        <v>55</v>
      </c>
      <c r="W65">
        <f>_xlfn.XLOOKUP(F65,tblEmployee[Employee_ID],tblEmployee[Age],"Not Found")</f>
        <v>22</v>
      </c>
      <c r="X65" t="str">
        <f>_xlfn.XLOOKUP(F65,tblEmployee[Employee_ID],tblEmployee[Gender],"Not Found")</f>
        <v>Male</v>
      </c>
      <c r="Y65">
        <f>_xlfn.XLOOKUP(F65,tblEmployee[Employee_ID],tblEmployee[Joining_Date],"")</f>
        <v>44757</v>
      </c>
      <c r="Z65">
        <f>_xlfn.XLOOKUP(H65,tblDepartment[Department],tblDepartment[Annual_Budget_INR],"")</f>
        <v>26000000</v>
      </c>
      <c r="AA65" t="str">
        <f>_xlfn.XLOOKUP(H65,tblDepartment[Department],tblDepartment[Monthly_Target],"")</f>
        <v>100% Payroll Accuracy</v>
      </c>
      <c r="AB65">
        <f>_xlfn.XLOOKUP(H65,tblDepartment[Department],tblDepartment[Average_Salary_INR],"")</f>
        <v>640000</v>
      </c>
      <c r="AC65" t="str">
        <f>_xlfn.XLOOKUP(H65,tblDepartment[Department],tblDepartment[Priority_Level],"")</f>
        <v>High</v>
      </c>
      <c r="AD65" t="str">
        <f>_xlfn.XLOOKUP(H65,tblDepartment[Department],tblDepartment[Key_KPI],"")</f>
        <v>Financial Compliance</v>
      </c>
      <c r="AE65">
        <f>_xlfn.XLOOKUP(tblMaster[[#This Row],[Shift]],tblShift[Shift_Name],tblShift[Login_Time],"")</f>
        <v>0.58333333333333337</v>
      </c>
      <c r="AF65">
        <f>_xlfn.XLOOKUP(tblMaster[[#This Row],[Shift]],tblShift[Shift_Name],tblShift[Logout_Time]," ")</f>
        <v>0.95833333333333337</v>
      </c>
      <c r="AG65">
        <f>_xlfn.XLOOKUP(tblMaster[[#This Row],[Shift]],tblShift[Shift_Name],tblShift[Standard_Working_Hours],"")</f>
        <v>8</v>
      </c>
      <c r="AH65" t="str">
        <f>_xlfn.XLOOKUP(tblMaster[[#This Row],[Attendance_Date]],tblHoliday[Holiday_Date],tblHoliday[Holiday_Name],"Working Day")</f>
        <v>Working Day</v>
      </c>
      <c r="AI65" t="str">
        <f>_xlfn.XLOOKUP(tblMaster[[#This Row],[Attendance_Date]],tblHoliday[Holiday_Date],tblHoliday[Holiday_Type],"Working Day ")</f>
        <v xml:space="preserve">Working Day </v>
      </c>
    </row>
    <row r="66" spans="1:35" hidden="1" x14ac:dyDescent="0.3">
      <c r="A66" t="s">
        <v>222</v>
      </c>
      <c r="B66" s="3">
        <v>45690</v>
      </c>
      <c r="C66" t="s">
        <v>95</v>
      </c>
      <c r="D66" t="s">
        <v>50</v>
      </c>
      <c r="E66" t="s">
        <v>103</v>
      </c>
      <c r="F66" t="s">
        <v>127</v>
      </c>
      <c r="G66" t="s">
        <v>128</v>
      </c>
      <c r="H66" t="s">
        <v>90</v>
      </c>
      <c r="I66" t="s">
        <v>91</v>
      </c>
      <c r="J66" t="s">
        <v>66</v>
      </c>
      <c r="K66" t="s">
        <v>75</v>
      </c>
      <c r="L66" s="2">
        <v>0.375</v>
      </c>
      <c r="M66" s="2">
        <v>0.75</v>
      </c>
      <c r="N66">
        <v>8</v>
      </c>
      <c r="O66">
        <v>0</v>
      </c>
      <c r="P66" t="s">
        <v>32</v>
      </c>
      <c r="R66">
        <v>4</v>
      </c>
      <c r="S66" t="s">
        <v>45</v>
      </c>
      <c r="T66" t="s">
        <v>93</v>
      </c>
      <c r="U66" t="s">
        <v>85</v>
      </c>
      <c r="V66" t="s">
        <v>69</v>
      </c>
      <c r="W66">
        <f>_xlfn.XLOOKUP(F66,tblEmployee[Employee_ID],tblEmployee[Age],"Not Found")</f>
        <v>38</v>
      </c>
      <c r="X66" t="str">
        <f>_xlfn.XLOOKUP(F66,tblEmployee[Employee_ID],tblEmployee[Gender],"Not Found")</f>
        <v>Female</v>
      </c>
      <c r="Y66">
        <f>_xlfn.XLOOKUP(F66,tblEmployee[Employee_ID],tblEmployee[Joining_Date],"")</f>
        <v>43966</v>
      </c>
      <c r="Z66">
        <f>_xlfn.XLOOKUP(H66,tblDepartment[Department],tblDepartment[Annual_Budget_INR],"")</f>
        <v>18000000</v>
      </c>
      <c r="AA66" t="str">
        <f>_xlfn.XLOOKUP(H66,tblDepartment[Department],tblDepartment[Monthly_Target],"")</f>
        <v>&lt;30 Days Hiring Cycle</v>
      </c>
      <c r="AB66">
        <f>_xlfn.XLOOKUP(H66,tblDepartment[Department],tblDepartment[Average_Salary_INR],"")</f>
        <v>560000</v>
      </c>
      <c r="AC66" t="str">
        <f>_xlfn.XLOOKUP(H66,tblDepartment[Department],tblDepartment[Priority_Level],"")</f>
        <v>Medium</v>
      </c>
      <c r="AD66" t="str">
        <f>_xlfn.XLOOKUP(H66,tblDepartment[Department],tblDepartment[Key_KPI],"")</f>
        <v>Hiring &amp; Retention</v>
      </c>
      <c r="AE66">
        <f>_xlfn.XLOOKUP(tblMaster[[#This Row],[Shift]],tblShift[Shift_Name],tblShift[Login_Time],"")</f>
        <v>0.375</v>
      </c>
      <c r="AF66">
        <f>_xlfn.XLOOKUP(tblMaster[[#This Row],[Shift]],tblShift[Shift_Name],tblShift[Logout_Time]," ")</f>
        <v>0.75</v>
      </c>
      <c r="AG66">
        <f>_xlfn.XLOOKUP(tblMaster[[#This Row],[Shift]],tblShift[Shift_Name],tblShift[Standard_Working_Hours],"")</f>
        <v>8</v>
      </c>
      <c r="AH66" t="str">
        <f>_xlfn.XLOOKUP(tblMaster[[#This Row],[Attendance_Date]],tblHoliday[Holiday_Date],tblHoliday[Holiday_Name],"Working Day")</f>
        <v>Working Day</v>
      </c>
      <c r="AI66" t="str">
        <f>_xlfn.XLOOKUP(tblMaster[[#This Row],[Attendance_Date]],tblHoliday[Holiday_Date],tblHoliday[Holiday_Type],"Working Day ")</f>
        <v xml:space="preserve">Working Day </v>
      </c>
    </row>
    <row r="67" spans="1:35" x14ac:dyDescent="0.3">
      <c r="A67" t="s">
        <v>223</v>
      </c>
      <c r="B67" s="1">
        <v>45761</v>
      </c>
      <c r="C67" t="s">
        <v>37</v>
      </c>
      <c r="D67" t="s">
        <v>24</v>
      </c>
      <c r="E67" t="s">
        <v>109</v>
      </c>
      <c r="F67" t="s">
        <v>159</v>
      </c>
      <c r="G67" t="s">
        <v>160</v>
      </c>
      <c r="H67" t="s">
        <v>64</v>
      </c>
      <c r="I67" t="s">
        <v>65</v>
      </c>
      <c r="J67" t="s">
        <v>100</v>
      </c>
      <c r="K67" t="s">
        <v>75</v>
      </c>
      <c r="L67" s="2">
        <v>0.375</v>
      </c>
      <c r="M67" s="2">
        <v>0.75</v>
      </c>
      <c r="N67">
        <v>10</v>
      </c>
      <c r="O67">
        <v>2</v>
      </c>
      <c r="P67" t="s">
        <v>32</v>
      </c>
      <c r="R67">
        <v>5</v>
      </c>
      <c r="S67" t="s">
        <v>92</v>
      </c>
      <c r="T67" t="s">
        <v>68</v>
      </c>
      <c r="U67" t="str">
        <f>_xlfn.XLOOKUP(tblMaster[[#This Row],[Employee_ID]],tblEmployee[Employee_ID],tblEmployee[Work_Mode]," ")</f>
        <v>Remote</v>
      </c>
      <c r="V67" t="s">
        <v>69</v>
      </c>
      <c r="W67">
        <f>_xlfn.XLOOKUP(F67,tblEmployee[Employee_ID],tblEmployee[Age],"Not Found")</f>
        <v>30</v>
      </c>
      <c r="X67" t="str">
        <f>_xlfn.XLOOKUP(F67,tblEmployee[Employee_ID],tblEmployee[Gender],"Not Found")</f>
        <v>Female</v>
      </c>
      <c r="Y67">
        <f>_xlfn.XLOOKUP(F67,tblEmployee[Employee_ID],tblEmployee[Joining_Date],"")</f>
        <v>43723</v>
      </c>
      <c r="Z67">
        <f>_xlfn.XLOOKUP(H67,tblDepartment[Department],tblDepartment[Annual_Budget_INR],"")</f>
        <v>85000000</v>
      </c>
      <c r="AA67" t="str">
        <f>_xlfn.XLOOKUP(H67,tblDepartment[Department],tblDepartment[Monthly_Target],"")</f>
        <v>99.5% System Uptime</v>
      </c>
      <c r="AB67">
        <f>_xlfn.XLOOKUP(H67,tblDepartment[Department],tblDepartment[Average_Salary_INR],"")</f>
        <v>720000</v>
      </c>
      <c r="AC67" t="str">
        <f>_xlfn.XLOOKUP(H67,tblDepartment[Department],tblDepartment[Priority_Level],"")</f>
        <v>High</v>
      </c>
      <c r="AD67" t="str">
        <f>_xlfn.XLOOKUP(H67,tblDepartment[Department],tblDepartment[Key_KPI],"")</f>
        <v>Project Delivery</v>
      </c>
      <c r="AE67">
        <f>_xlfn.XLOOKUP(tblMaster[[#This Row],[Shift]],tblShift[Shift_Name],tblShift[Login_Time],"")</f>
        <v>0.375</v>
      </c>
      <c r="AF67">
        <f>_xlfn.XLOOKUP(tblMaster[[#This Row],[Shift]],tblShift[Shift_Name],tblShift[Logout_Time]," ")</f>
        <v>0.75</v>
      </c>
      <c r="AG67">
        <f>_xlfn.XLOOKUP(tblMaster[[#This Row],[Shift]],tblShift[Shift_Name],tblShift[Standard_Working_Hours],"")</f>
        <v>8</v>
      </c>
      <c r="AH67" t="str">
        <f>_xlfn.XLOOKUP(tblMaster[[#This Row],[Attendance_Date]],tblHoliday[Holiday_Date],tblHoliday[Holiday_Name],"Working Day")</f>
        <v>Tamil New Year</v>
      </c>
      <c r="AI67" t="str">
        <f>_xlfn.XLOOKUP(tblMaster[[#This Row],[Attendance_Date]],tblHoliday[Holiday_Date],tblHoliday[Holiday_Type],"Working Day ")</f>
        <v>Festival</v>
      </c>
    </row>
    <row r="68" spans="1:35" hidden="1" x14ac:dyDescent="0.3">
      <c r="A68" t="s">
        <v>224</v>
      </c>
      <c r="B68" s="3">
        <v>45679</v>
      </c>
      <c r="C68" t="s">
        <v>49</v>
      </c>
      <c r="D68" t="s">
        <v>50</v>
      </c>
      <c r="E68" t="s">
        <v>51</v>
      </c>
      <c r="F68" t="s">
        <v>116</v>
      </c>
      <c r="G68" t="s">
        <v>117</v>
      </c>
      <c r="H68" t="s">
        <v>112</v>
      </c>
      <c r="I68" t="s">
        <v>113</v>
      </c>
      <c r="J68" t="s">
        <v>100</v>
      </c>
      <c r="K68" t="s">
        <v>31</v>
      </c>
      <c r="P68" t="s">
        <v>82</v>
      </c>
      <c r="Q68" t="s">
        <v>225</v>
      </c>
      <c r="S68" t="s">
        <v>92</v>
      </c>
      <c r="T68" t="s">
        <v>114</v>
      </c>
      <c r="U68" t="s">
        <v>55</v>
      </c>
      <c r="V68" t="s">
        <v>69</v>
      </c>
      <c r="W68">
        <f>_xlfn.XLOOKUP(F68,tblEmployee[Employee_ID],tblEmployee[Age],"Not Found")</f>
        <v>24</v>
      </c>
      <c r="X68" t="str">
        <f>_xlfn.XLOOKUP(F68,tblEmployee[Employee_ID],tblEmployee[Gender],"Not Found")</f>
        <v>Male</v>
      </c>
      <c r="Y68">
        <f>_xlfn.XLOOKUP(F68,tblEmployee[Employee_ID],tblEmployee[Joining_Date],"")</f>
        <v>44270</v>
      </c>
      <c r="Z68">
        <f>_xlfn.XLOOKUP(H68,tblDepartment[Department],tblDepartment[Annual_Budget_INR],"")</f>
        <v>42000000</v>
      </c>
      <c r="AA68" t="str">
        <f>_xlfn.XLOOKUP(H68,tblDepartment[Department],tblDepartment[Monthly_Target],"")</f>
        <v>₹2.5 Cr Monthly Sales</v>
      </c>
      <c r="AB68">
        <f>_xlfn.XLOOKUP(H68,tblDepartment[Department],tblDepartment[Average_Salary_INR],"")</f>
        <v>680000</v>
      </c>
      <c r="AC68" t="str">
        <f>_xlfn.XLOOKUP(H68,tblDepartment[Department],tblDepartment[Priority_Level],"")</f>
        <v>High</v>
      </c>
      <c r="AD68" t="str">
        <f>_xlfn.XLOOKUP(H68,tblDepartment[Department],tblDepartment[Key_KPI],"")</f>
        <v>Revenue Achievement</v>
      </c>
      <c r="AE68">
        <f>_xlfn.XLOOKUP(tblMaster[[#This Row],[Shift]],tblShift[Shift_Name],tblShift[Login_Time],"")</f>
        <v>0.25</v>
      </c>
      <c r="AF68">
        <f>_xlfn.XLOOKUP(tblMaster[[#This Row],[Shift]],tblShift[Shift_Name],tblShift[Logout_Time]," ")</f>
        <v>0.625</v>
      </c>
      <c r="AG68">
        <f>_xlfn.XLOOKUP(tblMaster[[#This Row],[Shift]],tblShift[Shift_Name],tblShift[Standard_Working_Hours],"")</f>
        <v>8</v>
      </c>
      <c r="AH68" t="str">
        <f>_xlfn.XLOOKUP(tblMaster[[#This Row],[Attendance_Date]],tblHoliday[Holiday_Date],tblHoliday[Holiday_Name],"Working Day")</f>
        <v>Working Day</v>
      </c>
      <c r="AI68" t="str">
        <f>_xlfn.XLOOKUP(tblMaster[[#This Row],[Attendance_Date]],tblHoliday[Holiday_Date],tblHoliday[Holiday_Type],"Working Day ")</f>
        <v xml:space="preserve">Working Day </v>
      </c>
    </row>
    <row r="69" spans="1:35" hidden="1" x14ac:dyDescent="0.3">
      <c r="A69" t="s">
        <v>226</v>
      </c>
      <c r="B69" s="3">
        <v>45689</v>
      </c>
      <c r="C69" t="s">
        <v>95</v>
      </c>
      <c r="D69" t="s">
        <v>50</v>
      </c>
      <c r="E69" t="s">
        <v>38</v>
      </c>
      <c r="F69" t="s">
        <v>201</v>
      </c>
      <c r="G69" t="s">
        <v>202</v>
      </c>
      <c r="H69" t="s">
        <v>112</v>
      </c>
      <c r="I69" t="s">
        <v>113</v>
      </c>
      <c r="J69" t="s">
        <v>66</v>
      </c>
      <c r="K69" t="s">
        <v>81</v>
      </c>
      <c r="L69" s="2">
        <v>0.39930555555555558</v>
      </c>
      <c r="M69" s="2">
        <v>0.29166666666666669</v>
      </c>
      <c r="N69">
        <v>9.5</v>
      </c>
      <c r="O69">
        <v>1.5</v>
      </c>
      <c r="P69" t="s">
        <v>32</v>
      </c>
      <c r="S69" t="s">
        <v>33</v>
      </c>
      <c r="T69" t="s">
        <v>114</v>
      </c>
      <c r="U69" t="s">
        <v>85</v>
      </c>
      <c r="V69" t="s">
        <v>69</v>
      </c>
      <c r="W69">
        <f>_xlfn.XLOOKUP(F69,tblEmployee[Employee_ID],tblEmployee[Age],"Not Found")</f>
        <v>35</v>
      </c>
      <c r="X69" t="str">
        <f>_xlfn.XLOOKUP(F69,tblEmployee[Employee_ID],tblEmployee[Gender],"Not Found")</f>
        <v>Male</v>
      </c>
      <c r="Y69">
        <f>_xlfn.XLOOKUP(F69,tblEmployee[Employee_ID],tblEmployee[Joining_Date],"")</f>
        <v>44423</v>
      </c>
      <c r="Z69">
        <f>_xlfn.XLOOKUP(H69,tblDepartment[Department],tblDepartment[Annual_Budget_INR],"")</f>
        <v>42000000</v>
      </c>
      <c r="AA69" t="str">
        <f>_xlfn.XLOOKUP(H69,tblDepartment[Department],tblDepartment[Monthly_Target],"")</f>
        <v>₹2.5 Cr Monthly Sales</v>
      </c>
      <c r="AB69">
        <f>_xlfn.XLOOKUP(H69,tblDepartment[Department],tblDepartment[Average_Salary_INR],"")</f>
        <v>680000</v>
      </c>
      <c r="AC69" t="str">
        <f>_xlfn.XLOOKUP(H69,tblDepartment[Department],tblDepartment[Priority_Level],"")</f>
        <v>High</v>
      </c>
      <c r="AD69" t="str">
        <f>_xlfn.XLOOKUP(H69,tblDepartment[Department],tblDepartment[Key_KPI],"")</f>
        <v>Revenue Achievement</v>
      </c>
      <c r="AE69">
        <f>_xlfn.XLOOKUP(tblMaster[[#This Row],[Shift]],tblShift[Shift_Name],tblShift[Login_Time],"")</f>
        <v>0.91666666666666663</v>
      </c>
      <c r="AF69">
        <f>_xlfn.XLOOKUP(tblMaster[[#This Row],[Shift]],tblShift[Shift_Name],tblShift[Logout_Time]," ")</f>
        <v>0.29166666666666669</v>
      </c>
      <c r="AG69">
        <f>_xlfn.XLOOKUP(tblMaster[[#This Row],[Shift]],tblShift[Shift_Name],tblShift[Standard_Working_Hours],"")</f>
        <v>8</v>
      </c>
      <c r="AH69" t="str">
        <f>_xlfn.XLOOKUP(tblMaster[[#This Row],[Attendance_Date]],tblHoliday[Holiday_Date],tblHoliday[Holiday_Name],"Working Day")</f>
        <v>Working Day</v>
      </c>
      <c r="AI69" t="str">
        <f>_xlfn.XLOOKUP(tblMaster[[#This Row],[Attendance_Date]],tblHoliday[Holiday_Date],tblHoliday[Holiday_Type],"Working Day ")</f>
        <v xml:space="preserve">Working Day </v>
      </c>
    </row>
    <row r="70" spans="1:35" hidden="1" x14ac:dyDescent="0.3">
      <c r="A70" t="s">
        <v>227</v>
      </c>
      <c r="B70" s="3">
        <v>45709</v>
      </c>
      <c r="C70" t="s">
        <v>95</v>
      </c>
      <c r="D70" t="s">
        <v>50</v>
      </c>
      <c r="E70" t="s">
        <v>119</v>
      </c>
      <c r="F70" t="s">
        <v>228</v>
      </c>
      <c r="G70" t="s">
        <v>229</v>
      </c>
      <c r="H70" t="s">
        <v>79</v>
      </c>
      <c r="I70" t="s">
        <v>80</v>
      </c>
      <c r="J70" t="s">
        <v>43</v>
      </c>
      <c r="K70" t="s">
        <v>31</v>
      </c>
      <c r="L70" s="2">
        <v>0.375</v>
      </c>
      <c r="M70" s="2">
        <v>0.75</v>
      </c>
      <c r="N70">
        <v>8</v>
      </c>
      <c r="O70">
        <v>0</v>
      </c>
      <c r="P70" t="s">
        <v>32</v>
      </c>
      <c r="R70">
        <v>4</v>
      </c>
      <c r="S70" t="s">
        <v>33</v>
      </c>
      <c r="T70" t="s">
        <v>84</v>
      </c>
      <c r="U70" t="s">
        <v>47</v>
      </c>
      <c r="V70" t="s">
        <v>69</v>
      </c>
      <c r="W70">
        <f>_xlfn.XLOOKUP(F70,tblEmployee[Employee_ID],tblEmployee[Age],"Not Found")</f>
        <v>29</v>
      </c>
      <c r="X70" t="str">
        <f>_xlfn.XLOOKUP(F70,tblEmployee[Employee_ID],tblEmployee[Gender],"Not Found")</f>
        <v>Female</v>
      </c>
      <c r="Y70">
        <f>_xlfn.XLOOKUP(F70,tblEmployee[Employee_ID],tblEmployee[Joining_Date],"")</f>
        <v>44607</v>
      </c>
      <c r="Z70">
        <f>_xlfn.XLOOKUP(H70,tblDepartment[Department],tblDepartment[Annual_Budget_INR],"")</f>
        <v>26000000</v>
      </c>
      <c r="AA70" t="str">
        <f>_xlfn.XLOOKUP(H70,tblDepartment[Department],tblDepartment[Monthly_Target],"")</f>
        <v>100% Payroll Accuracy</v>
      </c>
      <c r="AB70">
        <f>_xlfn.XLOOKUP(H70,tblDepartment[Department],tblDepartment[Average_Salary_INR],"")</f>
        <v>640000</v>
      </c>
      <c r="AC70" t="str">
        <f>_xlfn.XLOOKUP(H70,tblDepartment[Department],tblDepartment[Priority_Level],"")</f>
        <v>High</v>
      </c>
      <c r="AD70" t="str">
        <f>_xlfn.XLOOKUP(H70,tblDepartment[Department],tblDepartment[Key_KPI],"")</f>
        <v>Financial Compliance</v>
      </c>
      <c r="AE70">
        <f>_xlfn.XLOOKUP(tblMaster[[#This Row],[Shift]],tblShift[Shift_Name],tblShift[Login_Time],"")</f>
        <v>0.25</v>
      </c>
      <c r="AF70">
        <f>_xlfn.XLOOKUP(tblMaster[[#This Row],[Shift]],tblShift[Shift_Name],tblShift[Logout_Time]," ")</f>
        <v>0.625</v>
      </c>
      <c r="AG70">
        <f>_xlfn.XLOOKUP(tblMaster[[#This Row],[Shift]],tblShift[Shift_Name],tblShift[Standard_Working_Hours],"")</f>
        <v>8</v>
      </c>
      <c r="AH70" t="str">
        <f>_xlfn.XLOOKUP(tblMaster[[#This Row],[Attendance_Date]],tblHoliday[Holiday_Date],tblHoliday[Holiday_Name],"Working Day")</f>
        <v>Working Day</v>
      </c>
      <c r="AI70" t="str">
        <f>_xlfn.XLOOKUP(tblMaster[[#This Row],[Attendance_Date]],tblHoliday[Holiday_Date],tblHoliday[Holiday_Type],"Working Day ")</f>
        <v xml:space="preserve">Working Day </v>
      </c>
    </row>
    <row r="71" spans="1:35" hidden="1" x14ac:dyDescent="0.3">
      <c r="A71" t="s">
        <v>230</v>
      </c>
      <c r="B71" s="3">
        <v>45746</v>
      </c>
      <c r="C71" t="s">
        <v>71</v>
      </c>
      <c r="D71" t="s">
        <v>50</v>
      </c>
      <c r="E71" t="s">
        <v>103</v>
      </c>
      <c r="F71" t="s">
        <v>231</v>
      </c>
      <c r="G71" t="s">
        <v>232</v>
      </c>
      <c r="H71" t="s">
        <v>98</v>
      </c>
      <c r="I71" t="s">
        <v>99</v>
      </c>
      <c r="J71" t="s">
        <v>74</v>
      </c>
      <c r="K71" t="s">
        <v>81</v>
      </c>
      <c r="L71" s="2">
        <v>0.91666666666666663</v>
      </c>
      <c r="N71">
        <v>10</v>
      </c>
      <c r="O71">
        <v>2</v>
      </c>
      <c r="P71" t="s">
        <v>32</v>
      </c>
      <c r="S71" t="s">
        <v>33</v>
      </c>
      <c r="T71" t="s">
        <v>101</v>
      </c>
      <c r="U71" t="s">
        <v>85</v>
      </c>
      <c r="V71" t="s">
        <v>60</v>
      </c>
      <c r="W71">
        <f>_xlfn.XLOOKUP(F71,tblEmployee[Employee_ID],tblEmployee[Age],"Not Found")</f>
        <v>31</v>
      </c>
      <c r="X71" t="str">
        <f>_xlfn.XLOOKUP(F71,tblEmployee[Employee_ID],tblEmployee[Gender],"Not Found")</f>
        <v>Male</v>
      </c>
      <c r="Y71">
        <f>_xlfn.XLOOKUP(F71,tblEmployee[Employee_ID],tblEmployee[Joining_Date],"")</f>
        <v>45397</v>
      </c>
      <c r="Z71">
        <f>_xlfn.XLOOKUP(H71,tblDepartment[Department],tblDepartment[Annual_Budget_INR],"")</f>
        <v>22000000</v>
      </c>
      <c r="AA71" t="str">
        <f>_xlfn.XLOOKUP(H71,tblDepartment[Department],tblDepartment[Monthly_Target],"")</f>
        <v>2500 Qualified Leads</v>
      </c>
      <c r="AB71">
        <f>_xlfn.XLOOKUP(H71,tblDepartment[Department],tblDepartment[Average_Salary_INR],"")</f>
        <v>590000</v>
      </c>
      <c r="AC71" t="str">
        <f>_xlfn.XLOOKUP(H71,tblDepartment[Department],tblDepartment[Priority_Level],"")</f>
        <v>Medium</v>
      </c>
      <c r="AD71" t="str">
        <f>_xlfn.XLOOKUP(H71,tblDepartment[Department],tblDepartment[Key_KPI],"")</f>
        <v>Lead Generation</v>
      </c>
      <c r="AE71">
        <f>_xlfn.XLOOKUP(tblMaster[[#This Row],[Shift]],tblShift[Shift_Name],tblShift[Login_Time],"")</f>
        <v>0.91666666666666663</v>
      </c>
      <c r="AF71">
        <f>_xlfn.XLOOKUP(tblMaster[[#This Row],[Shift]],tblShift[Shift_Name],tblShift[Logout_Time]," ")</f>
        <v>0.29166666666666669</v>
      </c>
      <c r="AG71">
        <f>_xlfn.XLOOKUP(tblMaster[[#This Row],[Shift]],tblShift[Shift_Name],tblShift[Standard_Working_Hours],"")</f>
        <v>8</v>
      </c>
      <c r="AH71" t="str">
        <f>_xlfn.XLOOKUP(tblMaster[[#This Row],[Attendance_Date]],tblHoliday[Holiday_Date],tblHoliday[Holiday_Name],"Working Day")</f>
        <v>Working Day</v>
      </c>
      <c r="AI71" t="str">
        <f>_xlfn.XLOOKUP(tblMaster[[#This Row],[Attendance_Date]],tblHoliday[Holiday_Date],tblHoliday[Holiday_Type],"Working Day ")</f>
        <v xml:space="preserve">Working Day </v>
      </c>
    </row>
    <row r="72" spans="1:35" hidden="1" x14ac:dyDescent="0.3">
      <c r="A72" t="s">
        <v>233</v>
      </c>
      <c r="B72" s="1">
        <v>45791</v>
      </c>
      <c r="C72" t="s">
        <v>57</v>
      </c>
      <c r="D72" t="s">
        <v>24</v>
      </c>
      <c r="E72" t="s">
        <v>51</v>
      </c>
      <c r="F72" t="s">
        <v>142</v>
      </c>
      <c r="G72" t="s">
        <v>143</v>
      </c>
      <c r="H72" t="s">
        <v>64</v>
      </c>
      <c r="I72" t="s">
        <v>65</v>
      </c>
      <c r="J72" t="s">
        <v>43</v>
      </c>
      <c r="K72" t="s">
        <v>44</v>
      </c>
      <c r="L72" s="2">
        <v>0.375</v>
      </c>
      <c r="M72" s="2">
        <v>0.75</v>
      </c>
      <c r="N72">
        <v>8.5</v>
      </c>
      <c r="O72">
        <v>0.5</v>
      </c>
      <c r="P72" t="s">
        <v>32</v>
      </c>
      <c r="R72">
        <v>3</v>
      </c>
      <c r="S72" t="s">
        <v>45</v>
      </c>
      <c r="T72" t="s">
        <v>68</v>
      </c>
      <c r="U72" t="s">
        <v>47</v>
      </c>
      <c r="V72" t="s">
        <v>35</v>
      </c>
      <c r="W72">
        <f>_xlfn.XLOOKUP(F72,tblEmployee[Employee_ID],tblEmployee[Age],"Not Found")</f>
        <v>37</v>
      </c>
      <c r="X72" t="str">
        <f>_xlfn.XLOOKUP(F72,tblEmployee[Employee_ID],tblEmployee[Gender],"Not Found")</f>
        <v>Male</v>
      </c>
      <c r="Y72">
        <f>_xlfn.XLOOKUP(F72,tblEmployee[Employee_ID],tblEmployee[Joining_Date],"")</f>
        <v>43570</v>
      </c>
      <c r="Z72">
        <f>_xlfn.XLOOKUP(H72,tblDepartment[Department],tblDepartment[Annual_Budget_INR],"")</f>
        <v>85000000</v>
      </c>
      <c r="AA72" t="str">
        <f>_xlfn.XLOOKUP(H72,tblDepartment[Department],tblDepartment[Monthly_Target],"")</f>
        <v>99.5% System Uptime</v>
      </c>
      <c r="AB72">
        <f>_xlfn.XLOOKUP(H72,tblDepartment[Department],tblDepartment[Average_Salary_INR],"")</f>
        <v>720000</v>
      </c>
      <c r="AC72" t="str">
        <f>_xlfn.XLOOKUP(H72,tblDepartment[Department],tblDepartment[Priority_Level],"")</f>
        <v>High</v>
      </c>
      <c r="AD72" t="str">
        <f>_xlfn.XLOOKUP(H72,tblDepartment[Department],tblDepartment[Key_KPI],"")</f>
        <v>Project Delivery</v>
      </c>
      <c r="AE72">
        <f>_xlfn.XLOOKUP(tblMaster[[#This Row],[Shift]],tblShift[Shift_Name],tblShift[Login_Time],"")</f>
        <v>0.41666666666666669</v>
      </c>
      <c r="AF72">
        <f>_xlfn.XLOOKUP(tblMaster[[#This Row],[Shift]],tblShift[Shift_Name],tblShift[Logout_Time]," ")</f>
        <v>0.79166666666666663</v>
      </c>
      <c r="AG72">
        <f>_xlfn.XLOOKUP(tblMaster[[#This Row],[Shift]],tblShift[Shift_Name],tblShift[Standard_Working_Hours],"")</f>
        <v>8</v>
      </c>
      <c r="AH72" t="str">
        <f>_xlfn.XLOOKUP(tblMaster[[#This Row],[Attendance_Date]],tblHoliday[Holiday_Date],tblHoliday[Holiday_Name],"Working Day")</f>
        <v>Working Day</v>
      </c>
      <c r="AI72" t="str">
        <f>_xlfn.XLOOKUP(tblMaster[[#This Row],[Attendance_Date]],tblHoliday[Holiday_Date],tblHoliday[Holiday_Type],"Working Day ")</f>
        <v xml:space="preserve">Working Day </v>
      </c>
    </row>
    <row r="73" spans="1:35" hidden="1" x14ac:dyDescent="0.3">
      <c r="A73" t="s">
        <v>234</v>
      </c>
      <c r="B73" s="3">
        <v>45785</v>
      </c>
      <c r="C73" t="s">
        <v>57</v>
      </c>
      <c r="D73" t="s">
        <v>24</v>
      </c>
      <c r="E73" t="s">
        <v>25</v>
      </c>
      <c r="F73" t="s">
        <v>148</v>
      </c>
      <c r="G73" t="s">
        <v>149</v>
      </c>
      <c r="H73" t="s">
        <v>112</v>
      </c>
      <c r="I73" t="s">
        <v>113</v>
      </c>
      <c r="J73" t="s">
        <v>43</v>
      </c>
      <c r="K73" t="s">
        <v>31</v>
      </c>
      <c r="L73" s="2">
        <v>0.39930555555555558</v>
      </c>
      <c r="M73" s="2">
        <v>0.75</v>
      </c>
      <c r="N73">
        <v>8</v>
      </c>
      <c r="O73">
        <v>0</v>
      </c>
      <c r="P73" t="s">
        <v>32</v>
      </c>
      <c r="R73">
        <v>5</v>
      </c>
      <c r="S73" t="s">
        <v>92</v>
      </c>
      <c r="T73" t="s">
        <v>114</v>
      </c>
      <c r="U73" t="s">
        <v>47</v>
      </c>
      <c r="V73" t="s">
        <v>35</v>
      </c>
      <c r="W73">
        <f>_xlfn.XLOOKUP(F73,tblEmployee[Employee_ID],tblEmployee[Age],"Not Found")</f>
        <v>31</v>
      </c>
      <c r="X73" t="str">
        <f>_xlfn.XLOOKUP(F73,tblEmployee[Employee_ID],tblEmployee[Gender],"Not Found")</f>
        <v>Male</v>
      </c>
      <c r="Y73">
        <f>_xlfn.XLOOKUP(F73,tblEmployee[Employee_ID],tblEmployee[Joining_Date],"")</f>
        <v>44484</v>
      </c>
      <c r="Z73">
        <f>_xlfn.XLOOKUP(H73,tblDepartment[Department],tblDepartment[Annual_Budget_INR],"")</f>
        <v>42000000</v>
      </c>
      <c r="AA73" t="str">
        <f>_xlfn.XLOOKUP(H73,tblDepartment[Department],tblDepartment[Monthly_Target],"")</f>
        <v>₹2.5 Cr Monthly Sales</v>
      </c>
      <c r="AB73">
        <f>_xlfn.XLOOKUP(H73,tblDepartment[Department],tblDepartment[Average_Salary_INR],"")</f>
        <v>680000</v>
      </c>
      <c r="AC73" t="str">
        <f>_xlfn.XLOOKUP(H73,tblDepartment[Department],tblDepartment[Priority_Level],"")</f>
        <v>High</v>
      </c>
      <c r="AD73" t="str">
        <f>_xlfn.XLOOKUP(H73,tblDepartment[Department],tblDepartment[Key_KPI],"")</f>
        <v>Revenue Achievement</v>
      </c>
      <c r="AE73">
        <f>_xlfn.XLOOKUP(tblMaster[[#This Row],[Shift]],tblShift[Shift_Name],tblShift[Login_Time],"")</f>
        <v>0.25</v>
      </c>
      <c r="AF73">
        <f>_xlfn.XLOOKUP(tblMaster[[#This Row],[Shift]],tblShift[Shift_Name],tblShift[Logout_Time]," ")</f>
        <v>0.625</v>
      </c>
      <c r="AG73">
        <f>_xlfn.XLOOKUP(tblMaster[[#This Row],[Shift]],tblShift[Shift_Name],tblShift[Standard_Working_Hours],"")</f>
        <v>8</v>
      </c>
      <c r="AH73" t="str">
        <f>_xlfn.XLOOKUP(tblMaster[[#This Row],[Attendance_Date]],tblHoliday[Holiday_Date],tblHoliday[Holiday_Name],"Working Day")</f>
        <v>Working Day</v>
      </c>
      <c r="AI73" t="str">
        <f>_xlfn.XLOOKUP(tblMaster[[#This Row],[Attendance_Date]],tblHoliday[Holiday_Date],tblHoliday[Holiday_Type],"Working Day ")</f>
        <v xml:space="preserve">Working Day </v>
      </c>
    </row>
    <row r="74" spans="1:35" hidden="1" x14ac:dyDescent="0.3">
      <c r="A74" t="s">
        <v>235</v>
      </c>
      <c r="B74" s="3">
        <v>45680</v>
      </c>
      <c r="C74" t="s">
        <v>49</v>
      </c>
      <c r="D74" t="s">
        <v>50</v>
      </c>
      <c r="E74" t="s">
        <v>25</v>
      </c>
      <c r="F74" t="s">
        <v>182</v>
      </c>
      <c r="G74" t="s">
        <v>183</v>
      </c>
      <c r="H74" t="s">
        <v>112</v>
      </c>
      <c r="I74" t="s">
        <v>113</v>
      </c>
      <c r="J74" t="s">
        <v>30</v>
      </c>
      <c r="K74" t="s">
        <v>31</v>
      </c>
      <c r="L74" s="2">
        <v>0.375</v>
      </c>
      <c r="M74" s="2">
        <v>0.75</v>
      </c>
      <c r="N74">
        <v>8</v>
      </c>
      <c r="O74">
        <v>0</v>
      </c>
      <c r="P74" t="s">
        <v>32</v>
      </c>
      <c r="R74">
        <v>3</v>
      </c>
      <c r="S74" t="s">
        <v>92</v>
      </c>
      <c r="T74" t="s">
        <v>114</v>
      </c>
      <c r="U74" t="s">
        <v>47</v>
      </c>
      <c r="V74" t="s">
        <v>35</v>
      </c>
      <c r="W74">
        <f>_xlfn.XLOOKUP(F74,tblEmployee[Employee_ID],tblEmployee[Age],"Not Found")</f>
        <v>28</v>
      </c>
      <c r="X74" t="str">
        <f>_xlfn.XLOOKUP(F74,tblEmployee[Employee_ID],tblEmployee[Gender],"Not Found")</f>
        <v>Male</v>
      </c>
      <c r="Y74">
        <f>_xlfn.XLOOKUP(F74,tblEmployee[Employee_ID],tblEmployee[Joining_Date],"")</f>
        <v>44211</v>
      </c>
      <c r="Z74">
        <f>_xlfn.XLOOKUP(H74,tblDepartment[Department],tblDepartment[Annual_Budget_INR],"")</f>
        <v>42000000</v>
      </c>
      <c r="AA74" t="str">
        <f>_xlfn.XLOOKUP(H74,tblDepartment[Department],tblDepartment[Monthly_Target],"")</f>
        <v>₹2.5 Cr Monthly Sales</v>
      </c>
      <c r="AB74">
        <f>_xlfn.XLOOKUP(H74,tblDepartment[Department],tblDepartment[Average_Salary_INR],"")</f>
        <v>680000</v>
      </c>
      <c r="AC74" t="str">
        <f>_xlfn.XLOOKUP(H74,tblDepartment[Department],tblDepartment[Priority_Level],"")</f>
        <v>High</v>
      </c>
      <c r="AD74" t="str">
        <f>_xlfn.XLOOKUP(H74,tblDepartment[Department],tblDepartment[Key_KPI],"")</f>
        <v>Revenue Achievement</v>
      </c>
      <c r="AE74">
        <f>_xlfn.XLOOKUP(tblMaster[[#This Row],[Shift]],tblShift[Shift_Name],tblShift[Login_Time],"")</f>
        <v>0.25</v>
      </c>
      <c r="AF74">
        <f>_xlfn.XLOOKUP(tblMaster[[#This Row],[Shift]],tblShift[Shift_Name],tblShift[Logout_Time]," ")</f>
        <v>0.625</v>
      </c>
      <c r="AG74">
        <f>_xlfn.XLOOKUP(tblMaster[[#This Row],[Shift]],tblShift[Shift_Name],tblShift[Standard_Working_Hours],"")</f>
        <v>8</v>
      </c>
      <c r="AH74" t="str">
        <f>_xlfn.XLOOKUP(tblMaster[[#This Row],[Attendance_Date]],tblHoliday[Holiday_Date],tblHoliday[Holiday_Name],"Working Day")</f>
        <v>Working Day</v>
      </c>
      <c r="AI74" t="str">
        <f>_xlfn.XLOOKUP(tblMaster[[#This Row],[Attendance_Date]],tblHoliday[Holiday_Date],tblHoliday[Holiday_Type],"Working Day ")</f>
        <v xml:space="preserve">Working Day </v>
      </c>
    </row>
    <row r="75" spans="1:35" x14ac:dyDescent="0.3">
      <c r="A75" t="s">
        <v>236</v>
      </c>
      <c r="B75" s="3">
        <v>45746</v>
      </c>
      <c r="C75" t="s">
        <v>71</v>
      </c>
      <c r="D75" t="s">
        <v>50</v>
      </c>
      <c r="E75" t="s">
        <v>103</v>
      </c>
      <c r="F75" t="s">
        <v>204</v>
      </c>
      <c r="G75" t="s">
        <v>205</v>
      </c>
      <c r="H75" t="s">
        <v>90</v>
      </c>
      <c r="I75" t="s">
        <v>91</v>
      </c>
      <c r="J75" t="s">
        <v>74</v>
      </c>
      <c r="K75" t="s">
        <v>31</v>
      </c>
      <c r="L75" s="2">
        <v>0.375</v>
      </c>
      <c r="M75" s="2">
        <v>0.75</v>
      </c>
      <c r="N75">
        <v>8</v>
      </c>
      <c r="O75">
        <v>0</v>
      </c>
      <c r="P75" t="s">
        <v>32</v>
      </c>
      <c r="S75" t="s">
        <v>33</v>
      </c>
      <c r="T75" t="s">
        <v>93</v>
      </c>
      <c r="U75" t="str">
        <f>_xlfn.XLOOKUP(tblMaster[[#This Row],[Employee_ID]],tblEmployee[Employee_ID],tblEmployee[Work_Mode]," ")</f>
        <v>Remote</v>
      </c>
      <c r="W75">
        <f>_xlfn.XLOOKUP(F75,tblEmployee[Employee_ID],tblEmployee[Age],"Not Found")</f>
        <v>24</v>
      </c>
      <c r="X75" t="str">
        <f>_xlfn.XLOOKUP(F75,tblEmployee[Employee_ID],tblEmployee[Gender],"Not Found")</f>
        <v>Female</v>
      </c>
      <c r="Y75">
        <f>_xlfn.XLOOKUP(F75,tblEmployee[Employee_ID],tblEmployee[Joining_Date],"")</f>
        <v>43905</v>
      </c>
      <c r="Z75">
        <f>_xlfn.XLOOKUP(H75,tblDepartment[Department],tblDepartment[Annual_Budget_INR],"")</f>
        <v>18000000</v>
      </c>
      <c r="AA75" t="str">
        <f>_xlfn.XLOOKUP(H75,tblDepartment[Department],tblDepartment[Monthly_Target],"")</f>
        <v>&lt;30 Days Hiring Cycle</v>
      </c>
      <c r="AB75">
        <f>_xlfn.XLOOKUP(H75,tblDepartment[Department],tblDepartment[Average_Salary_INR],"")</f>
        <v>560000</v>
      </c>
      <c r="AC75" t="str">
        <f>_xlfn.XLOOKUP(H75,tblDepartment[Department],tblDepartment[Priority_Level],"")</f>
        <v>Medium</v>
      </c>
      <c r="AD75" t="str">
        <f>_xlfn.XLOOKUP(H75,tblDepartment[Department],tblDepartment[Key_KPI],"")</f>
        <v>Hiring &amp; Retention</v>
      </c>
      <c r="AE75">
        <f>_xlfn.XLOOKUP(tblMaster[[#This Row],[Shift]],tblShift[Shift_Name],tblShift[Login_Time],"")</f>
        <v>0.25</v>
      </c>
      <c r="AF75">
        <f>_xlfn.XLOOKUP(tblMaster[[#This Row],[Shift]],tblShift[Shift_Name],tblShift[Logout_Time]," ")</f>
        <v>0.625</v>
      </c>
      <c r="AG75">
        <f>_xlfn.XLOOKUP(tblMaster[[#This Row],[Shift]],tblShift[Shift_Name],tblShift[Standard_Working_Hours],"")</f>
        <v>8</v>
      </c>
      <c r="AH75" t="str">
        <f>_xlfn.XLOOKUP(tblMaster[[#This Row],[Attendance_Date]],tblHoliday[Holiday_Date],tblHoliday[Holiday_Name],"Working Day")</f>
        <v>Working Day</v>
      </c>
      <c r="AI75" t="str">
        <f>_xlfn.XLOOKUP(tblMaster[[#This Row],[Attendance_Date]],tblHoliday[Holiday_Date],tblHoliday[Holiday_Type],"Working Day ")</f>
        <v xml:space="preserve">Working Day </v>
      </c>
    </row>
    <row r="76" spans="1:35" hidden="1" x14ac:dyDescent="0.3">
      <c r="A76" t="s">
        <v>237</v>
      </c>
      <c r="B76" s="1">
        <v>45774</v>
      </c>
      <c r="C76" t="s">
        <v>37</v>
      </c>
      <c r="D76" t="s">
        <v>24</v>
      </c>
      <c r="E76" t="s">
        <v>103</v>
      </c>
      <c r="F76" t="s">
        <v>148</v>
      </c>
      <c r="G76" t="s">
        <v>149</v>
      </c>
      <c r="H76" t="s">
        <v>112</v>
      </c>
      <c r="I76" t="s">
        <v>113</v>
      </c>
      <c r="J76" t="s">
        <v>43</v>
      </c>
      <c r="K76" t="s">
        <v>44</v>
      </c>
      <c r="L76" s="2">
        <v>0.3888888888888889</v>
      </c>
      <c r="M76" s="2">
        <v>0.75</v>
      </c>
      <c r="N76">
        <v>8</v>
      </c>
      <c r="O76">
        <v>0</v>
      </c>
      <c r="P76" t="s">
        <v>32</v>
      </c>
      <c r="R76">
        <v>4</v>
      </c>
      <c r="S76" t="s">
        <v>67</v>
      </c>
      <c r="T76" t="s">
        <v>114</v>
      </c>
      <c r="U76" t="s">
        <v>85</v>
      </c>
      <c r="V76" t="s">
        <v>69</v>
      </c>
      <c r="W76">
        <f>_xlfn.XLOOKUP(F76,tblEmployee[Employee_ID],tblEmployee[Age],"Not Found")</f>
        <v>31</v>
      </c>
      <c r="X76" t="str">
        <f>_xlfn.XLOOKUP(F76,tblEmployee[Employee_ID],tblEmployee[Gender],"Not Found")</f>
        <v>Male</v>
      </c>
      <c r="Y76">
        <f>_xlfn.XLOOKUP(F76,tblEmployee[Employee_ID],tblEmployee[Joining_Date],"")</f>
        <v>44484</v>
      </c>
      <c r="Z76">
        <f>_xlfn.XLOOKUP(H76,tblDepartment[Department],tblDepartment[Annual_Budget_INR],"")</f>
        <v>42000000</v>
      </c>
      <c r="AA76" t="str">
        <f>_xlfn.XLOOKUP(H76,tblDepartment[Department],tblDepartment[Monthly_Target],"")</f>
        <v>₹2.5 Cr Monthly Sales</v>
      </c>
      <c r="AB76">
        <f>_xlfn.XLOOKUP(H76,tblDepartment[Department],tblDepartment[Average_Salary_INR],"")</f>
        <v>680000</v>
      </c>
      <c r="AC76" t="str">
        <f>_xlfn.XLOOKUP(H76,tblDepartment[Department],tblDepartment[Priority_Level],"")</f>
        <v>High</v>
      </c>
      <c r="AD76" t="str">
        <f>_xlfn.XLOOKUP(H76,tblDepartment[Department],tblDepartment[Key_KPI],"")</f>
        <v>Revenue Achievement</v>
      </c>
      <c r="AE76">
        <f>_xlfn.XLOOKUP(tblMaster[[#This Row],[Shift]],tblShift[Shift_Name],tblShift[Login_Time],"")</f>
        <v>0.41666666666666669</v>
      </c>
      <c r="AF76">
        <f>_xlfn.XLOOKUP(tblMaster[[#This Row],[Shift]],tblShift[Shift_Name],tblShift[Logout_Time]," ")</f>
        <v>0.79166666666666663</v>
      </c>
      <c r="AG76">
        <f>_xlfn.XLOOKUP(tblMaster[[#This Row],[Shift]],tblShift[Shift_Name],tblShift[Standard_Working_Hours],"")</f>
        <v>8</v>
      </c>
      <c r="AH76" t="str">
        <f>_xlfn.XLOOKUP(tblMaster[[#This Row],[Attendance_Date]],tblHoliday[Holiday_Date],tblHoliday[Holiday_Name],"Working Day")</f>
        <v>Working Day</v>
      </c>
      <c r="AI76" t="str">
        <f>_xlfn.XLOOKUP(tblMaster[[#This Row],[Attendance_Date]],tblHoliday[Holiday_Date],tblHoliday[Holiday_Type],"Working Day ")</f>
        <v xml:space="preserve">Working Day </v>
      </c>
    </row>
    <row r="77" spans="1:35" hidden="1" x14ac:dyDescent="0.3">
      <c r="A77" t="s">
        <v>238</v>
      </c>
      <c r="B77" s="1">
        <v>45786</v>
      </c>
      <c r="C77" t="s">
        <v>57</v>
      </c>
      <c r="D77" t="s">
        <v>24</v>
      </c>
      <c r="E77" t="s">
        <v>119</v>
      </c>
      <c r="F77" t="s">
        <v>145</v>
      </c>
      <c r="G77" t="s">
        <v>146</v>
      </c>
      <c r="H77" t="s">
        <v>90</v>
      </c>
      <c r="I77" t="s">
        <v>91</v>
      </c>
      <c r="J77" t="s">
        <v>100</v>
      </c>
      <c r="K77" t="s">
        <v>54</v>
      </c>
      <c r="L77" s="2">
        <v>0.375</v>
      </c>
      <c r="M77" s="2">
        <v>0.75</v>
      </c>
      <c r="N77">
        <v>8</v>
      </c>
      <c r="O77">
        <v>0</v>
      </c>
      <c r="P77" t="s">
        <v>32</v>
      </c>
      <c r="R77">
        <v>5</v>
      </c>
      <c r="S77" t="s">
        <v>92</v>
      </c>
      <c r="T77" t="s">
        <v>93</v>
      </c>
      <c r="U77" t="s">
        <v>47</v>
      </c>
      <c r="V77" t="s">
        <v>60</v>
      </c>
      <c r="W77">
        <f>_xlfn.XLOOKUP(F77,tblEmployee[Employee_ID],tblEmployee[Age],"Not Found")</f>
        <v>27</v>
      </c>
      <c r="X77" t="str">
        <f>_xlfn.XLOOKUP(F77,tblEmployee[Employee_ID],tblEmployee[Gender],"Not Found")</f>
        <v>Male</v>
      </c>
      <c r="Y77">
        <f>_xlfn.XLOOKUP(F77,tblEmployee[Employee_ID],tblEmployee[Joining_Date],"")</f>
        <v>44180</v>
      </c>
      <c r="Z77">
        <f>_xlfn.XLOOKUP(H77,tblDepartment[Department],tblDepartment[Annual_Budget_INR],"")</f>
        <v>18000000</v>
      </c>
      <c r="AA77" t="str">
        <f>_xlfn.XLOOKUP(H77,tblDepartment[Department],tblDepartment[Monthly_Target],"")</f>
        <v>&lt;30 Days Hiring Cycle</v>
      </c>
      <c r="AB77">
        <f>_xlfn.XLOOKUP(H77,tblDepartment[Department],tblDepartment[Average_Salary_INR],"")</f>
        <v>560000</v>
      </c>
      <c r="AC77" t="str">
        <f>_xlfn.XLOOKUP(H77,tblDepartment[Department],tblDepartment[Priority_Level],"")</f>
        <v>Medium</v>
      </c>
      <c r="AD77" t="str">
        <f>_xlfn.XLOOKUP(H77,tblDepartment[Department],tblDepartment[Key_KPI],"")</f>
        <v>Hiring &amp; Retention</v>
      </c>
      <c r="AE77">
        <f>_xlfn.XLOOKUP(tblMaster[[#This Row],[Shift]],tblShift[Shift_Name],tblShift[Login_Time],"")</f>
        <v>0.58333333333333337</v>
      </c>
      <c r="AF77">
        <f>_xlfn.XLOOKUP(tblMaster[[#This Row],[Shift]],tblShift[Shift_Name],tblShift[Logout_Time]," ")</f>
        <v>0.95833333333333337</v>
      </c>
      <c r="AG77">
        <f>_xlfn.XLOOKUP(tblMaster[[#This Row],[Shift]],tblShift[Shift_Name],tblShift[Standard_Working_Hours],"")</f>
        <v>8</v>
      </c>
      <c r="AH77" t="str">
        <f>_xlfn.XLOOKUP(tblMaster[[#This Row],[Attendance_Date]],tblHoliday[Holiday_Date],tblHoliday[Holiday_Name],"Working Day")</f>
        <v>Working Day</v>
      </c>
      <c r="AI77" t="str">
        <f>_xlfn.XLOOKUP(tblMaster[[#This Row],[Attendance_Date]],tblHoliday[Holiday_Date],tblHoliday[Holiday_Type],"Working Day ")</f>
        <v xml:space="preserve">Working Day </v>
      </c>
    </row>
    <row r="78" spans="1:35" hidden="1" x14ac:dyDescent="0.3">
      <c r="A78" t="s">
        <v>239</v>
      </c>
      <c r="B78" s="1">
        <v>45673</v>
      </c>
      <c r="C78" t="s">
        <v>49</v>
      </c>
      <c r="D78" t="s">
        <v>50</v>
      </c>
      <c r="E78" t="s">
        <v>25</v>
      </c>
      <c r="F78" t="s">
        <v>240</v>
      </c>
      <c r="G78" t="s">
        <v>241</v>
      </c>
      <c r="H78" t="s">
        <v>41</v>
      </c>
      <c r="I78" t="s">
        <v>42</v>
      </c>
      <c r="J78" t="s">
        <v>66</v>
      </c>
      <c r="K78" t="s">
        <v>75</v>
      </c>
      <c r="L78" s="2">
        <v>0.375</v>
      </c>
      <c r="M78" s="2">
        <v>0.75</v>
      </c>
      <c r="N78">
        <v>8</v>
      </c>
      <c r="O78">
        <v>0</v>
      </c>
      <c r="P78" t="s">
        <v>32</v>
      </c>
      <c r="S78" t="s">
        <v>45</v>
      </c>
      <c r="T78" t="s">
        <v>46</v>
      </c>
      <c r="U78" t="s">
        <v>47</v>
      </c>
      <c r="V78" t="s">
        <v>69</v>
      </c>
      <c r="W78">
        <f>_xlfn.XLOOKUP(F78,tblEmployee[Employee_ID],tblEmployee[Age],"Not Found")</f>
        <v>30</v>
      </c>
      <c r="X78" t="str">
        <f>_xlfn.XLOOKUP(F78,tblEmployee[Employee_ID],tblEmployee[Gender],"Not Found")</f>
        <v>Female</v>
      </c>
      <c r="Y78">
        <f>_xlfn.XLOOKUP(F78,tblEmployee[Employee_ID],tblEmployee[Joining_Date],"")</f>
        <v>45000</v>
      </c>
      <c r="Z78">
        <f>_xlfn.XLOOKUP(H78,tblDepartment[Department],tblDepartment[Annual_Budget_INR],"")</f>
        <v>34000000</v>
      </c>
      <c r="AA78" t="str">
        <f>_xlfn.XLOOKUP(H78,tblDepartment[Department],tblDepartment[Monthly_Target],"")</f>
        <v>95% Process Efficiency</v>
      </c>
      <c r="AB78">
        <f>_xlfn.XLOOKUP(H78,tblDepartment[Department],tblDepartment[Average_Salary_INR],"")</f>
        <v>610000</v>
      </c>
      <c r="AC78" t="str">
        <f>_xlfn.XLOOKUP(H78,tblDepartment[Department],tblDepartment[Priority_Level],"")</f>
        <v>High</v>
      </c>
      <c r="AD78" t="str">
        <f>_xlfn.XLOOKUP(H78,tblDepartment[Department],tblDepartment[Key_KPI],"")</f>
        <v>Operational Efficiency</v>
      </c>
      <c r="AE78">
        <f>_xlfn.XLOOKUP(tblMaster[[#This Row],[Shift]],tblShift[Shift_Name],tblShift[Login_Time],"")</f>
        <v>0.375</v>
      </c>
      <c r="AF78">
        <f>_xlfn.XLOOKUP(tblMaster[[#This Row],[Shift]],tblShift[Shift_Name],tblShift[Logout_Time]," ")</f>
        <v>0.75</v>
      </c>
      <c r="AG78">
        <f>_xlfn.XLOOKUP(tblMaster[[#This Row],[Shift]],tblShift[Shift_Name],tblShift[Standard_Working_Hours],"")</f>
        <v>8</v>
      </c>
      <c r="AH78" t="str">
        <f>_xlfn.XLOOKUP(tblMaster[[#This Row],[Attendance_Date]],tblHoliday[Holiday_Date],tblHoliday[Holiday_Name],"Working Day")</f>
        <v>Working Day</v>
      </c>
      <c r="AI78" t="str">
        <f>_xlfn.XLOOKUP(tblMaster[[#This Row],[Attendance_Date]],tblHoliday[Holiday_Date],tblHoliday[Holiday_Type],"Working Day ")</f>
        <v xml:space="preserve">Working Day </v>
      </c>
    </row>
    <row r="79" spans="1:35" hidden="1" x14ac:dyDescent="0.3">
      <c r="A79" t="s">
        <v>242</v>
      </c>
      <c r="B79" s="3">
        <v>45666</v>
      </c>
      <c r="C79" t="s">
        <v>49</v>
      </c>
      <c r="D79" t="s">
        <v>50</v>
      </c>
      <c r="E79" t="s">
        <v>25</v>
      </c>
      <c r="F79" t="s">
        <v>243</v>
      </c>
      <c r="G79" t="s">
        <v>244</v>
      </c>
      <c r="H79" t="s">
        <v>90</v>
      </c>
      <c r="I79" t="s">
        <v>91</v>
      </c>
      <c r="J79" t="s">
        <v>30</v>
      </c>
      <c r="K79" t="s">
        <v>75</v>
      </c>
      <c r="L79" s="2">
        <v>0.375</v>
      </c>
      <c r="M79" s="2">
        <v>0.75</v>
      </c>
      <c r="N79">
        <v>8</v>
      </c>
      <c r="O79">
        <v>0</v>
      </c>
      <c r="P79" t="s">
        <v>32</v>
      </c>
      <c r="R79">
        <v>4</v>
      </c>
      <c r="S79" t="s">
        <v>33</v>
      </c>
      <c r="T79" t="s">
        <v>93</v>
      </c>
      <c r="U79" t="s">
        <v>47</v>
      </c>
      <c r="W79">
        <f>_xlfn.XLOOKUP(F79,tblEmployee[Employee_ID],tblEmployee[Age],"Not Found")</f>
        <v>30</v>
      </c>
      <c r="X79" t="str">
        <f>_xlfn.XLOOKUP(F79,tblEmployee[Employee_ID],tblEmployee[Gender],"Not Found")</f>
        <v>Female</v>
      </c>
      <c r="Y79">
        <f>_xlfn.XLOOKUP(F79,tblEmployee[Employee_ID],tblEmployee[Joining_Date],"")</f>
        <v>44089</v>
      </c>
      <c r="Z79">
        <f>_xlfn.XLOOKUP(H79,tblDepartment[Department],tblDepartment[Annual_Budget_INR],"")</f>
        <v>18000000</v>
      </c>
      <c r="AA79" t="str">
        <f>_xlfn.XLOOKUP(H79,tblDepartment[Department],tblDepartment[Monthly_Target],"")</f>
        <v>&lt;30 Days Hiring Cycle</v>
      </c>
      <c r="AB79">
        <f>_xlfn.XLOOKUP(H79,tblDepartment[Department],tblDepartment[Average_Salary_INR],"")</f>
        <v>560000</v>
      </c>
      <c r="AC79" t="str">
        <f>_xlfn.XLOOKUP(H79,tblDepartment[Department],tblDepartment[Priority_Level],"")</f>
        <v>Medium</v>
      </c>
      <c r="AD79" t="str">
        <f>_xlfn.XLOOKUP(H79,tblDepartment[Department],tblDepartment[Key_KPI],"")</f>
        <v>Hiring &amp; Retention</v>
      </c>
      <c r="AE79">
        <f>_xlfn.XLOOKUP(tblMaster[[#This Row],[Shift]],tblShift[Shift_Name],tblShift[Login_Time],"")</f>
        <v>0.375</v>
      </c>
      <c r="AF79">
        <f>_xlfn.XLOOKUP(tblMaster[[#This Row],[Shift]],tblShift[Shift_Name],tblShift[Logout_Time]," ")</f>
        <v>0.75</v>
      </c>
      <c r="AG79">
        <f>_xlfn.XLOOKUP(tblMaster[[#This Row],[Shift]],tblShift[Shift_Name],tblShift[Standard_Working_Hours],"")</f>
        <v>8</v>
      </c>
      <c r="AH79" t="str">
        <f>_xlfn.XLOOKUP(tblMaster[[#This Row],[Attendance_Date]],tblHoliday[Holiday_Date],tblHoliday[Holiday_Name],"Working Day")</f>
        <v>Working Day</v>
      </c>
      <c r="AI79" t="str">
        <f>_xlfn.XLOOKUP(tblMaster[[#This Row],[Attendance_Date]],tblHoliday[Holiday_Date],tblHoliday[Holiday_Type],"Working Day ")</f>
        <v xml:space="preserve">Working Day </v>
      </c>
    </row>
    <row r="80" spans="1:35" hidden="1" x14ac:dyDescent="0.3">
      <c r="A80" t="s">
        <v>245</v>
      </c>
      <c r="B80" s="3">
        <v>45802</v>
      </c>
      <c r="C80" t="s">
        <v>57</v>
      </c>
      <c r="D80" t="s">
        <v>24</v>
      </c>
      <c r="E80" t="s">
        <v>103</v>
      </c>
      <c r="F80" t="s">
        <v>88</v>
      </c>
      <c r="G80" t="s">
        <v>89</v>
      </c>
      <c r="H80" t="s">
        <v>90</v>
      </c>
      <c r="I80" t="s">
        <v>91</v>
      </c>
      <c r="J80" t="s">
        <v>43</v>
      </c>
      <c r="K80" t="s">
        <v>54</v>
      </c>
      <c r="L80" s="2">
        <v>0.375</v>
      </c>
      <c r="M80" s="2">
        <v>0.75</v>
      </c>
      <c r="N80">
        <v>8</v>
      </c>
      <c r="O80">
        <v>0</v>
      </c>
      <c r="P80" t="s">
        <v>32</v>
      </c>
      <c r="R80">
        <v>4</v>
      </c>
      <c r="S80" t="s">
        <v>92</v>
      </c>
      <c r="T80" t="s">
        <v>93</v>
      </c>
      <c r="U80" t="s">
        <v>55</v>
      </c>
      <c r="V80" t="s">
        <v>60</v>
      </c>
      <c r="W80">
        <f>_xlfn.XLOOKUP(F80,tblEmployee[Employee_ID],tblEmployee[Age],"Not Found")</f>
        <v>34</v>
      </c>
      <c r="X80" t="str">
        <f>_xlfn.XLOOKUP(F80,tblEmployee[Employee_ID],tblEmployee[Gender],"Not Found")</f>
        <v>Female</v>
      </c>
      <c r="Y80">
        <f>_xlfn.XLOOKUP(F80,tblEmployee[Employee_ID],tblEmployee[Joining_Date],"")</f>
        <v>44027</v>
      </c>
      <c r="Z80">
        <f>_xlfn.XLOOKUP(H80,tblDepartment[Department],tblDepartment[Annual_Budget_INR],"")</f>
        <v>18000000</v>
      </c>
      <c r="AA80" t="str">
        <f>_xlfn.XLOOKUP(H80,tblDepartment[Department],tblDepartment[Monthly_Target],"")</f>
        <v>&lt;30 Days Hiring Cycle</v>
      </c>
      <c r="AB80">
        <f>_xlfn.XLOOKUP(H80,tblDepartment[Department],tblDepartment[Average_Salary_INR],"")</f>
        <v>560000</v>
      </c>
      <c r="AC80" t="str">
        <f>_xlfn.XLOOKUP(H80,tblDepartment[Department],tblDepartment[Priority_Level],"")</f>
        <v>Medium</v>
      </c>
      <c r="AD80" t="str">
        <f>_xlfn.XLOOKUP(H80,tblDepartment[Department],tblDepartment[Key_KPI],"")</f>
        <v>Hiring &amp; Retention</v>
      </c>
      <c r="AE80">
        <f>_xlfn.XLOOKUP(tblMaster[[#This Row],[Shift]],tblShift[Shift_Name],tblShift[Login_Time],"")</f>
        <v>0.58333333333333337</v>
      </c>
      <c r="AF80">
        <f>_xlfn.XLOOKUP(tblMaster[[#This Row],[Shift]],tblShift[Shift_Name],tblShift[Logout_Time]," ")</f>
        <v>0.95833333333333337</v>
      </c>
      <c r="AG80">
        <f>_xlfn.XLOOKUP(tblMaster[[#This Row],[Shift]],tblShift[Shift_Name],tblShift[Standard_Working_Hours],"")</f>
        <v>8</v>
      </c>
      <c r="AH80" t="str">
        <f>_xlfn.XLOOKUP(tblMaster[[#This Row],[Attendance_Date]],tblHoliday[Holiday_Date],tblHoliday[Holiday_Name],"Working Day")</f>
        <v>Working Day</v>
      </c>
      <c r="AI80" t="str">
        <f>_xlfn.XLOOKUP(tblMaster[[#This Row],[Attendance_Date]],tblHoliday[Holiday_Date],tblHoliday[Holiday_Type],"Working Day ")</f>
        <v xml:space="preserve">Working Day </v>
      </c>
    </row>
    <row r="81" spans="1:35" hidden="1" x14ac:dyDescent="0.3">
      <c r="A81" t="s">
        <v>246</v>
      </c>
      <c r="B81" s="3">
        <v>45689</v>
      </c>
      <c r="C81" t="s">
        <v>95</v>
      </c>
      <c r="D81" t="s">
        <v>50</v>
      </c>
      <c r="E81" t="s">
        <v>38</v>
      </c>
      <c r="F81" t="s">
        <v>247</v>
      </c>
      <c r="G81" t="s">
        <v>248</v>
      </c>
      <c r="H81" t="s">
        <v>64</v>
      </c>
      <c r="I81" t="s">
        <v>65</v>
      </c>
      <c r="J81" t="s">
        <v>66</v>
      </c>
      <c r="K81" t="s">
        <v>81</v>
      </c>
      <c r="L81" s="2">
        <v>0.91666666666666663</v>
      </c>
      <c r="M81" s="2">
        <v>0.29166666666666669</v>
      </c>
      <c r="N81">
        <v>9</v>
      </c>
      <c r="O81">
        <v>1</v>
      </c>
      <c r="P81" t="s">
        <v>32</v>
      </c>
      <c r="R81">
        <v>4</v>
      </c>
      <c r="S81" t="s">
        <v>67</v>
      </c>
      <c r="T81" t="s">
        <v>68</v>
      </c>
      <c r="U81" t="s">
        <v>47</v>
      </c>
      <c r="W81">
        <f>_xlfn.XLOOKUP(F81,tblEmployee[Employee_ID],tblEmployee[Age],"Not Found")</f>
        <v>22</v>
      </c>
      <c r="X81" t="str">
        <f>_xlfn.XLOOKUP(F81,tblEmployee[Employee_ID],tblEmployee[Gender],"Not Found")</f>
        <v>Male</v>
      </c>
      <c r="Y81">
        <f>_xlfn.XLOOKUP(F81,tblEmployee[Employee_ID],tblEmployee[Joining_Date],"")</f>
        <v>43480</v>
      </c>
      <c r="Z81">
        <f>_xlfn.XLOOKUP(H81,tblDepartment[Department],tblDepartment[Annual_Budget_INR],"")</f>
        <v>85000000</v>
      </c>
      <c r="AA81" t="str">
        <f>_xlfn.XLOOKUP(H81,tblDepartment[Department],tblDepartment[Monthly_Target],"")</f>
        <v>99.5% System Uptime</v>
      </c>
      <c r="AB81">
        <f>_xlfn.XLOOKUP(H81,tblDepartment[Department],tblDepartment[Average_Salary_INR],"")</f>
        <v>720000</v>
      </c>
      <c r="AC81" t="str">
        <f>_xlfn.XLOOKUP(H81,tblDepartment[Department],tblDepartment[Priority_Level],"")</f>
        <v>High</v>
      </c>
      <c r="AD81" t="str">
        <f>_xlfn.XLOOKUP(H81,tblDepartment[Department],tblDepartment[Key_KPI],"")</f>
        <v>Project Delivery</v>
      </c>
      <c r="AE81">
        <f>_xlfn.XLOOKUP(tblMaster[[#This Row],[Shift]],tblShift[Shift_Name],tblShift[Login_Time],"")</f>
        <v>0.91666666666666663</v>
      </c>
      <c r="AF81">
        <f>_xlfn.XLOOKUP(tblMaster[[#This Row],[Shift]],tblShift[Shift_Name],tblShift[Logout_Time]," ")</f>
        <v>0.29166666666666669</v>
      </c>
      <c r="AG81">
        <f>_xlfn.XLOOKUP(tblMaster[[#This Row],[Shift]],tblShift[Shift_Name],tblShift[Standard_Working_Hours],"")</f>
        <v>8</v>
      </c>
      <c r="AH81" t="str">
        <f>_xlfn.XLOOKUP(tblMaster[[#This Row],[Attendance_Date]],tblHoliday[Holiday_Date],tblHoliday[Holiday_Name],"Working Day")</f>
        <v>Working Day</v>
      </c>
      <c r="AI81" t="str">
        <f>_xlfn.XLOOKUP(tblMaster[[#This Row],[Attendance_Date]],tblHoliday[Holiday_Date],tblHoliday[Holiday_Type],"Working Day ")</f>
        <v xml:space="preserve">Working Day </v>
      </c>
    </row>
    <row r="82" spans="1:35" hidden="1" x14ac:dyDescent="0.3">
      <c r="A82" t="s">
        <v>249</v>
      </c>
      <c r="B82" s="3">
        <v>45779</v>
      </c>
      <c r="C82" t="s">
        <v>57</v>
      </c>
      <c r="D82" t="s">
        <v>24</v>
      </c>
      <c r="E82" t="s">
        <v>119</v>
      </c>
      <c r="F82" t="s">
        <v>72</v>
      </c>
      <c r="G82" t="s">
        <v>73</v>
      </c>
      <c r="H82" t="s">
        <v>28</v>
      </c>
      <c r="I82" t="s">
        <v>29</v>
      </c>
      <c r="J82" t="s">
        <v>74</v>
      </c>
      <c r="K82" t="s">
        <v>31</v>
      </c>
      <c r="L82" s="2">
        <v>0.375</v>
      </c>
      <c r="M82" s="2">
        <v>0.75</v>
      </c>
      <c r="N82">
        <v>8</v>
      </c>
      <c r="O82">
        <v>0</v>
      </c>
      <c r="P82" t="s">
        <v>32</v>
      </c>
      <c r="R82">
        <v>4</v>
      </c>
      <c r="S82" t="s">
        <v>67</v>
      </c>
      <c r="T82" t="s">
        <v>34</v>
      </c>
      <c r="U82" t="s">
        <v>47</v>
      </c>
      <c r="V82" t="s">
        <v>35</v>
      </c>
      <c r="W82">
        <f>_xlfn.XLOOKUP(F82,tblEmployee[Employee_ID],tblEmployee[Age],"Not Found")</f>
        <v>28</v>
      </c>
      <c r="X82" t="str">
        <f>_xlfn.XLOOKUP(F82,tblEmployee[Employee_ID],tblEmployee[Gender],"Not Found")</f>
        <v>Female</v>
      </c>
      <c r="Y82">
        <f>_xlfn.XLOOKUP(F82,tblEmployee[Employee_ID],tblEmployee[Joining_Date],"")</f>
        <v>43296</v>
      </c>
      <c r="Z82">
        <f>_xlfn.XLOOKUP(H82,tblDepartment[Department],tblDepartment[Annual_Budget_INR],"")</f>
        <v>24000000</v>
      </c>
      <c r="AA82" t="str">
        <f>_xlfn.XLOOKUP(H82,tblDepartment[Department],tblDepartment[Monthly_Target],"")</f>
        <v>90% Customer Satisfaction</v>
      </c>
      <c r="AB82">
        <f>_xlfn.XLOOKUP(H82,tblDepartment[Department],tblDepartment[Average_Salary_INR],"")</f>
        <v>520000</v>
      </c>
      <c r="AC82" t="str">
        <f>_xlfn.XLOOKUP(H82,tblDepartment[Department],tblDepartment[Priority_Level],"")</f>
        <v>High</v>
      </c>
      <c r="AD82" t="str">
        <f>_xlfn.XLOOKUP(H82,tblDepartment[Department],tblDepartment[Key_KPI],"")</f>
        <v>Customer Satisfaction</v>
      </c>
      <c r="AE82">
        <f>_xlfn.XLOOKUP(tblMaster[[#This Row],[Shift]],tblShift[Shift_Name],tblShift[Login_Time],"")</f>
        <v>0.25</v>
      </c>
      <c r="AF82">
        <f>_xlfn.XLOOKUP(tblMaster[[#This Row],[Shift]],tblShift[Shift_Name],tblShift[Logout_Time]," ")</f>
        <v>0.625</v>
      </c>
      <c r="AG82">
        <f>_xlfn.XLOOKUP(tblMaster[[#This Row],[Shift]],tblShift[Shift_Name],tblShift[Standard_Working_Hours],"")</f>
        <v>8</v>
      </c>
      <c r="AH82" t="str">
        <f>_xlfn.XLOOKUP(tblMaster[[#This Row],[Attendance_Date]],tblHoliday[Holiday_Date],tblHoliday[Holiday_Name],"Working Day")</f>
        <v>Working Day</v>
      </c>
      <c r="AI82" t="str">
        <f>_xlfn.XLOOKUP(tblMaster[[#This Row],[Attendance_Date]],tblHoliday[Holiday_Date],tblHoliday[Holiday_Type],"Working Day ")</f>
        <v xml:space="preserve">Working Day </v>
      </c>
    </row>
    <row r="83" spans="1:35" hidden="1" x14ac:dyDescent="0.3">
      <c r="A83" t="s">
        <v>250</v>
      </c>
      <c r="B83" s="3">
        <v>45772</v>
      </c>
      <c r="C83" t="s">
        <v>37</v>
      </c>
      <c r="D83" t="s">
        <v>24</v>
      </c>
      <c r="E83" t="s">
        <v>119</v>
      </c>
      <c r="F83" t="s">
        <v>166</v>
      </c>
      <c r="G83" t="s">
        <v>167</v>
      </c>
      <c r="H83" t="s">
        <v>41</v>
      </c>
      <c r="I83" t="s">
        <v>42</v>
      </c>
      <c r="J83" t="s">
        <v>100</v>
      </c>
      <c r="K83" t="s">
        <v>54</v>
      </c>
      <c r="L83" s="2">
        <v>0.375</v>
      </c>
      <c r="M83" s="2">
        <v>0.75</v>
      </c>
      <c r="N83">
        <v>8</v>
      </c>
      <c r="O83">
        <v>0</v>
      </c>
      <c r="P83" t="s">
        <v>32</v>
      </c>
      <c r="R83">
        <v>4</v>
      </c>
      <c r="S83" t="s">
        <v>92</v>
      </c>
      <c r="T83" t="s">
        <v>46</v>
      </c>
      <c r="U83" t="s">
        <v>85</v>
      </c>
      <c r="V83" t="s">
        <v>35</v>
      </c>
      <c r="W83">
        <f>_xlfn.XLOOKUP(F83,tblEmployee[Employee_ID],tblEmployee[Age],"Not Found")</f>
        <v>37</v>
      </c>
      <c r="X83" t="str">
        <f>_xlfn.XLOOKUP(F83,tblEmployee[Employee_ID],tblEmployee[Gender],"Not Found")</f>
        <v>Male</v>
      </c>
      <c r="Y83">
        <f>_xlfn.XLOOKUP(F83,tblEmployee[Employee_ID],tblEmployee[Joining_Date],"")</f>
        <v>45214</v>
      </c>
      <c r="Z83">
        <f>_xlfn.XLOOKUP(H83,tblDepartment[Department],tblDepartment[Annual_Budget_INR],"")</f>
        <v>34000000</v>
      </c>
      <c r="AA83" t="str">
        <f>_xlfn.XLOOKUP(H83,tblDepartment[Department],tblDepartment[Monthly_Target],"")</f>
        <v>95% Process Efficiency</v>
      </c>
      <c r="AB83">
        <f>_xlfn.XLOOKUP(H83,tblDepartment[Department],tblDepartment[Average_Salary_INR],"")</f>
        <v>610000</v>
      </c>
      <c r="AC83" t="str">
        <f>_xlfn.XLOOKUP(H83,tblDepartment[Department],tblDepartment[Priority_Level],"")</f>
        <v>High</v>
      </c>
      <c r="AD83" t="str">
        <f>_xlfn.XLOOKUP(H83,tblDepartment[Department],tblDepartment[Key_KPI],"")</f>
        <v>Operational Efficiency</v>
      </c>
      <c r="AE83">
        <f>_xlfn.XLOOKUP(tblMaster[[#This Row],[Shift]],tblShift[Shift_Name],tblShift[Login_Time],"")</f>
        <v>0.58333333333333337</v>
      </c>
      <c r="AF83">
        <f>_xlfn.XLOOKUP(tblMaster[[#This Row],[Shift]],tblShift[Shift_Name],tblShift[Logout_Time]," ")</f>
        <v>0.95833333333333337</v>
      </c>
      <c r="AG83">
        <f>_xlfn.XLOOKUP(tblMaster[[#This Row],[Shift]],tblShift[Shift_Name],tblShift[Standard_Working_Hours],"")</f>
        <v>8</v>
      </c>
      <c r="AH83" t="str">
        <f>_xlfn.XLOOKUP(tblMaster[[#This Row],[Attendance_Date]],tblHoliday[Holiday_Date],tblHoliday[Holiday_Name],"Working Day")</f>
        <v>Working Day</v>
      </c>
      <c r="AI83" t="str">
        <f>_xlfn.XLOOKUP(tblMaster[[#This Row],[Attendance_Date]],tblHoliday[Holiday_Date],tblHoliday[Holiday_Type],"Working Day ")</f>
        <v xml:space="preserve">Working Day </v>
      </c>
    </row>
    <row r="84" spans="1:35" hidden="1" x14ac:dyDescent="0.3">
      <c r="A84" t="s">
        <v>251</v>
      </c>
      <c r="B84" s="3">
        <v>45810</v>
      </c>
      <c r="C84" t="s">
        <v>23</v>
      </c>
      <c r="D84" t="s">
        <v>24</v>
      </c>
      <c r="E84" t="s">
        <v>109</v>
      </c>
      <c r="F84" t="s">
        <v>120</v>
      </c>
      <c r="G84" t="s">
        <v>121</v>
      </c>
      <c r="H84" t="s">
        <v>41</v>
      </c>
      <c r="I84" t="s">
        <v>42</v>
      </c>
      <c r="J84" t="s">
        <v>74</v>
      </c>
      <c r="K84" t="s">
        <v>31</v>
      </c>
      <c r="L84" s="2">
        <v>0.375</v>
      </c>
      <c r="M84" s="2">
        <v>0.75</v>
      </c>
      <c r="N84">
        <v>8</v>
      </c>
      <c r="O84">
        <v>0</v>
      </c>
      <c r="P84" t="s">
        <v>32</v>
      </c>
      <c r="S84" t="s">
        <v>33</v>
      </c>
      <c r="T84" t="s">
        <v>46</v>
      </c>
      <c r="U84" t="s">
        <v>47</v>
      </c>
      <c r="W84">
        <f>_xlfn.XLOOKUP(F84,tblEmployee[Employee_ID],tblEmployee[Age],"Not Found")</f>
        <v>34</v>
      </c>
      <c r="X84" t="str">
        <f>_xlfn.XLOOKUP(F84,tblEmployee[Employee_ID],tblEmployee[Gender],"Not Found")</f>
        <v>Female</v>
      </c>
      <c r="Y84">
        <f>_xlfn.XLOOKUP(F84,tblEmployee[Employee_ID],tblEmployee[Joining_Date],"")</f>
        <v>44941</v>
      </c>
      <c r="Z84">
        <f>_xlfn.XLOOKUP(H84,tblDepartment[Department],tblDepartment[Annual_Budget_INR],"")</f>
        <v>34000000</v>
      </c>
      <c r="AA84" t="str">
        <f>_xlfn.XLOOKUP(H84,tblDepartment[Department],tblDepartment[Monthly_Target],"")</f>
        <v>95% Process Efficiency</v>
      </c>
      <c r="AB84">
        <f>_xlfn.XLOOKUP(H84,tblDepartment[Department],tblDepartment[Average_Salary_INR],"")</f>
        <v>610000</v>
      </c>
      <c r="AC84" t="str">
        <f>_xlfn.XLOOKUP(H84,tblDepartment[Department],tblDepartment[Priority_Level],"")</f>
        <v>High</v>
      </c>
      <c r="AD84" t="str">
        <f>_xlfn.XLOOKUP(H84,tblDepartment[Department],tblDepartment[Key_KPI],"")</f>
        <v>Operational Efficiency</v>
      </c>
      <c r="AE84">
        <f>_xlfn.XLOOKUP(tblMaster[[#This Row],[Shift]],tblShift[Shift_Name],tblShift[Login_Time],"")</f>
        <v>0.25</v>
      </c>
      <c r="AF84">
        <f>_xlfn.XLOOKUP(tblMaster[[#This Row],[Shift]],tblShift[Shift_Name],tblShift[Logout_Time]," ")</f>
        <v>0.625</v>
      </c>
      <c r="AG84">
        <f>_xlfn.XLOOKUP(tblMaster[[#This Row],[Shift]],tblShift[Shift_Name],tblShift[Standard_Working_Hours],"")</f>
        <v>8</v>
      </c>
      <c r="AH84" t="str">
        <f>_xlfn.XLOOKUP(tblMaster[[#This Row],[Attendance_Date]],tblHoliday[Holiday_Date],tblHoliday[Holiday_Name],"Working Day")</f>
        <v>Working Day</v>
      </c>
      <c r="AI84" t="str">
        <f>_xlfn.XLOOKUP(tblMaster[[#This Row],[Attendance_Date]],tblHoliday[Holiday_Date],tblHoliday[Holiday_Type],"Working Day ")</f>
        <v xml:space="preserve">Working Day </v>
      </c>
    </row>
    <row r="85" spans="1:35" x14ac:dyDescent="0.3">
      <c r="A85" t="s">
        <v>252</v>
      </c>
      <c r="B85" s="1">
        <v>45818</v>
      </c>
      <c r="C85" t="s">
        <v>23</v>
      </c>
      <c r="D85" t="s">
        <v>24</v>
      </c>
      <c r="E85" t="s">
        <v>87</v>
      </c>
      <c r="F85" t="s">
        <v>58</v>
      </c>
      <c r="G85" t="s">
        <v>59</v>
      </c>
      <c r="H85" t="s">
        <v>41</v>
      </c>
      <c r="I85" t="s">
        <v>42</v>
      </c>
      <c r="J85" t="s">
        <v>30</v>
      </c>
      <c r="K85" t="s">
        <v>44</v>
      </c>
      <c r="L85" s="2">
        <v>0.375</v>
      </c>
      <c r="M85" s="2">
        <v>0.75</v>
      </c>
      <c r="N85">
        <v>8</v>
      </c>
      <c r="O85">
        <v>0</v>
      </c>
      <c r="P85" t="s">
        <v>32</v>
      </c>
      <c r="R85">
        <v>5</v>
      </c>
      <c r="S85" t="s">
        <v>67</v>
      </c>
      <c r="T85" t="s">
        <v>46</v>
      </c>
      <c r="U85" t="str">
        <f>_xlfn.XLOOKUP(tblMaster[[#This Row],[Employee_ID]],tblEmployee[Employee_ID],tblEmployee[Work_Mode]," ")</f>
        <v>Hybrid</v>
      </c>
      <c r="V85" t="s">
        <v>69</v>
      </c>
      <c r="W85">
        <f>_xlfn.XLOOKUP(F85,tblEmployee[Employee_ID],tblEmployee[Age],"Not Found")</f>
        <v>23</v>
      </c>
      <c r="X85" t="str">
        <f>_xlfn.XLOOKUP(F85,tblEmployee[Employee_ID],tblEmployee[Gender],"Not Found")</f>
        <v>Female</v>
      </c>
      <c r="Y85">
        <f>_xlfn.XLOOKUP(F85,tblEmployee[Employee_ID],tblEmployee[Joining_Date],"")</f>
        <v>45153</v>
      </c>
      <c r="Z85">
        <f>_xlfn.XLOOKUP(H85,tblDepartment[Department],tblDepartment[Annual_Budget_INR],"")</f>
        <v>34000000</v>
      </c>
      <c r="AA85" t="str">
        <f>_xlfn.XLOOKUP(H85,tblDepartment[Department],tblDepartment[Monthly_Target],"")</f>
        <v>95% Process Efficiency</v>
      </c>
      <c r="AB85">
        <f>_xlfn.XLOOKUP(H85,tblDepartment[Department],tblDepartment[Average_Salary_INR],"")</f>
        <v>610000</v>
      </c>
      <c r="AC85" t="str">
        <f>_xlfn.XLOOKUP(H85,tblDepartment[Department],tblDepartment[Priority_Level],"")</f>
        <v>High</v>
      </c>
      <c r="AD85" t="str">
        <f>_xlfn.XLOOKUP(H85,tblDepartment[Department],tblDepartment[Key_KPI],"")</f>
        <v>Operational Efficiency</v>
      </c>
      <c r="AE85">
        <f>_xlfn.XLOOKUP(tblMaster[[#This Row],[Shift]],tblShift[Shift_Name],tblShift[Login_Time],"")</f>
        <v>0.41666666666666669</v>
      </c>
      <c r="AF85">
        <f>_xlfn.XLOOKUP(tblMaster[[#This Row],[Shift]],tblShift[Shift_Name],tblShift[Logout_Time]," ")</f>
        <v>0.79166666666666663</v>
      </c>
      <c r="AG85">
        <f>_xlfn.XLOOKUP(tblMaster[[#This Row],[Shift]],tblShift[Shift_Name],tblShift[Standard_Working_Hours],"")</f>
        <v>8</v>
      </c>
      <c r="AH85" t="str">
        <f>_xlfn.XLOOKUP(tblMaster[[#This Row],[Attendance_Date]],tblHoliday[Holiday_Date],tblHoliday[Holiday_Name],"Working Day")</f>
        <v>Working Day</v>
      </c>
      <c r="AI85" t="str">
        <f>_xlfn.XLOOKUP(tblMaster[[#This Row],[Attendance_Date]],tblHoliday[Holiday_Date],tblHoliday[Holiday_Type],"Working Day ")</f>
        <v xml:space="preserve">Working Day </v>
      </c>
    </row>
    <row r="86" spans="1:35" hidden="1" x14ac:dyDescent="0.3">
      <c r="A86" t="s">
        <v>253</v>
      </c>
      <c r="B86" s="1">
        <v>45796</v>
      </c>
      <c r="C86" t="s">
        <v>57</v>
      </c>
      <c r="D86" t="s">
        <v>24</v>
      </c>
      <c r="E86" t="s">
        <v>109</v>
      </c>
      <c r="F86" t="s">
        <v>166</v>
      </c>
      <c r="G86" t="s">
        <v>167</v>
      </c>
      <c r="H86" t="s">
        <v>41</v>
      </c>
      <c r="I86" t="s">
        <v>42</v>
      </c>
      <c r="J86" t="s">
        <v>100</v>
      </c>
      <c r="K86" t="s">
        <v>44</v>
      </c>
      <c r="P86" t="s">
        <v>135</v>
      </c>
      <c r="S86" t="s">
        <v>33</v>
      </c>
      <c r="T86" t="s">
        <v>46</v>
      </c>
      <c r="U86" t="s">
        <v>85</v>
      </c>
      <c r="V86" t="s">
        <v>35</v>
      </c>
      <c r="W86">
        <f>_xlfn.XLOOKUP(F86,tblEmployee[Employee_ID],tblEmployee[Age],"Not Found")</f>
        <v>37</v>
      </c>
      <c r="X86" t="str">
        <f>_xlfn.XLOOKUP(F86,tblEmployee[Employee_ID],tblEmployee[Gender],"Not Found")</f>
        <v>Male</v>
      </c>
      <c r="Y86">
        <f>_xlfn.XLOOKUP(F86,tblEmployee[Employee_ID],tblEmployee[Joining_Date],"")</f>
        <v>45214</v>
      </c>
      <c r="Z86">
        <f>_xlfn.XLOOKUP(H86,tblDepartment[Department],tblDepartment[Annual_Budget_INR],"")</f>
        <v>34000000</v>
      </c>
      <c r="AA86" t="str">
        <f>_xlfn.XLOOKUP(H86,tblDepartment[Department],tblDepartment[Monthly_Target],"")</f>
        <v>95% Process Efficiency</v>
      </c>
      <c r="AB86">
        <f>_xlfn.XLOOKUP(H86,tblDepartment[Department],tblDepartment[Average_Salary_INR],"")</f>
        <v>610000</v>
      </c>
      <c r="AC86" t="str">
        <f>_xlfn.XLOOKUP(H86,tblDepartment[Department],tblDepartment[Priority_Level],"")</f>
        <v>High</v>
      </c>
      <c r="AD86" t="str">
        <f>_xlfn.XLOOKUP(H86,tblDepartment[Department],tblDepartment[Key_KPI],"")</f>
        <v>Operational Efficiency</v>
      </c>
      <c r="AE86">
        <f>_xlfn.XLOOKUP(tblMaster[[#This Row],[Shift]],tblShift[Shift_Name],tblShift[Login_Time],"")</f>
        <v>0.41666666666666669</v>
      </c>
      <c r="AF86">
        <f>_xlfn.XLOOKUP(tblMaster[[#This Row],[Shift]],tblShift[Shift_Name],tblShift[Logout_Time]," ")</f>
        <v>0.79166666666666663</v>
      </c>
      <c r="AG86">
        <f>_xlfn.XLOOKUP(tblMaster[[#This Row],[Shift]],tblShift[Shift_Name],tblShift[Standard_Working_Hours],"")</f>
        <v>8</v>
      </c>
      <c r="AH86" t="str">
        <f>_xlfn.XLOOKUP(tblMaster[[#This Row],[Attendance_Date]],tblHoliday[Holiday_Date],tblHoliday[Holiday_Name],"Working Day")</f>
        <v>Working Day</v>
      </c>
      <c r="AI86" t="str">
        <f>_xlfn.XLOOKUP(tblMaster[[#This Row],[Attendance_Date]],tblHoliday[Holiday_Date],tblHoliday[Holiday_Type],"Working Day ")</f>
        <v xml:space="preserve">Working Day </v>
      </c>
    </row>
    <row r="87" spans="1:35" hidden="1" x14ac:dyDescent="0.3">
      <c r="A87" t="s">
        <v>254</v>
      </c>
      <c r="B87" s="1">
        <v>45688</v>
      </c>
      <c r="C87" t="s">
        <v>49</v>
      </c>
      <c r="D87" t="s">
        <v>50</v>
      </c>
      <c r="E87" t="s">
        <v>119</v>
      </c>
      <c r="F87" t="s">
        <v>220</v>
      </c>
      <c r="G87" t="s">
        <v>221</v>
      </c>
      <c r="H87" t="s">
        <v>79</v>
      </c>
      <c r="I87" t="s">
        <v>80</v>
      </c>
      <c r="J87" t="s">
        <v>100</v>
      </c>
      <c r="K87" t="s">
        <v>75</v>
      </c>
      <c r="L87" s="2">
        <v>0.375</v>
      </c>
      <c r="M87" s="2">
        <v>0.75</v>
      </c>
      <c r="N87">
        <v>8</v>
      </c>
      <c r="O87">
        <v>0</v>
      </c>
      <c r="P87" t="s">
        <v>32</v>
      </c>
      <c r="S87" t="s">
        <v>33</v>
      </c>
      <c r="T87" t="s">
        <v>84</v>
      </c>
      <c r="U87" t="s">
        <v>85</v>
      </c>
      <c r="W87">
        <f>_xlfn.XLOOKUP(F87,tblEmployee[Employee_ID],tblEmployee[Age],"Not Found")</f>
        <v>22</v>
      </c>
      <c r="X87" t="str">
        <f>_xlfn.XLOOKUP(F87,tblEmployee[Employee_ID],tblEmployee[Gender],"Not Found")</f>
        <v>Male</v>
      </c>
      <c r="Y87">
        <f>_xlfn.XLOOKUP(F87,tblEmployee[Employee_ID],tblEmployee[Joining_Date],"")</f>
        <v>44757</v>
      </c>
      <c r="Z87">
        <f>_xlfn.XLOOKUP(H87,tblDepartment[Department],tblDepartment[Annual_Budget_INR],"")</f>
        <v>26000000</v>
      </c>
      <c r="AA87" t="str">
        <f>_xlfn.XLOOKUP(H87,tblDepartment[Department],tblDepartment[Monthly_Target],"")</f>
        <v>100% Payroll Accuracy</v>
      </c>
      <c r="AB87">
        <f>_xlfn.XLOOKUP(H87,tblDepartment[Department],tblDepartment[Average_Salary_INR],"")</f>
        <v>640000</v>
      </c>
      <c r="AC87" t="str">
        <f>_xlfn.XLOOKUP(H87,tblDepartment[Department],tblDepartment[Priority_Level],"")</f>
        <v>High</v>
      </c>
      <c r="AD87" t="str">
        <f>_xlfn.XLOOKUP(H87,tblDepartment[Department],tblDepartment[Key_KPI],"")</f>
        <v>Financial Compliance</v>
      </c>
      <c r="AE87">
        <f>_xlfn.XLOOKUP(tblMaster[[#This Row],[Shift]],tblShift[Shift_Name],tblShift[Login_Time],"")</f>
        <v>0.375</v>
      </c>
      <c r="AF87">
        <f>_xlfn.XLOOKUP(tblMaster[[#This Row],[Shift]],tblShift[Shift_Name],tblShift[Logout_Time]," ")</f>
        <v>0.75</v>
      </c>
      <c r="AG87">
        <f>_xlfn.XLOOKUP(tblMaster[[#This Row],[Shift]],tblShift[Shift_Name],tblShift[Standard_Working_Hours],"")</f>
        <v>8</v>
      </c>
      <c r="AH87" t="str">
        <f>_xlfn.XLOOKUP(tblMaster[[#This Row],[Attendance_Date]],tblHoliday[Holiday_Date],tblHoliday[Holiday_Name],"Working Day")</f>
        <v>Working Day</v>
      </c>
      <c r="AI87" t="str">
        <f>_xlfn.XLOOKUP(tblMaster[[#This Row],[Attendance_Date]],tblHoliday[Holiday_Date],tblHoliday[Holiday_Type],"Working Day ")</f>
        <v xml:space="preserve">Working Day </v>
      </c>
    </row>
    <row r="88" spans="1:35" hidden="1" x14ac:dyDescent="0.3">
      <c r="A88" t="s">
        <v>255</v>
      </c>
      <c r="B88" s="1">
        <v>45815</v>
      </c>
      <c r="C88" t="s">
        <v>23</v>
      </c>
      <c r="D88" t="s">
        <v>24</v>
      </c>
      <c r="E88" t="s">
        <v>38</v>
      </c>
      <c r="F88" t="s">
        <v>62</v>
      </c>
      <c r="G88" t="s">
        <v>63</v>
      </c>
      <c r="H88" t="s">
        <v>64</v>
      </c>
      <c r="I88" t="s">
        <v>65</v>
      </c>
      <c r="J88" t="s">
        <v>66</v>
      </c>
      <c r="K88" t="s">
        <v>31</v>
      </c>
      <c r="L88" s="2">
        <v>0.375</v>
      </c>
      <c r="M88" s="2">
        <v>0.75</v>
      </c>
      <c r="N88">
        <v>9.5</v>
      </c>
      <c r="O88">
        <v>1.5</v>
      </c>
      <c r="P88" t="s">
        <v>32</v>
      </c>
      <c r="R88">
        <v>4</v>
      </c>
      <c r="S88" t="s">
        <v>67</v>
      </c>
      <c r="T88" t="s">
        <v>68</v>
      </c>
      <c r="U88" t="s">
        <v>47</v>
      </c>
      <c r="W88">
        <f>_xlfn.XLOOKUP(F88,tblEmployee[Employee_ID],tblEmployee[Age],"Not Found")</f>
        <v>23</v>
      </c>
      <c r="X88" t="str">
        <f>_xlfn.XLOOKUP(F88,tblEmployee[Employee_ID],tblEmployee[Gender],"Not Found")</f>
        <v>Male</v>
      </c>
      <c r="Y88">
        <f>_xlfn.XLOOKUP(F88,tblEmployee[Employee_ID],tblEmployee[Joining_Date],"")</f>
        <v>43511</v>
      </c>
      <c r="Z88">
        <f>_xlfn.XLOOKUP(H88,tblDepartment[Department],tblDepartment[Annual_Budget_INR],"")</f>
        <v>85000000</v>
      </c>
      <c r="AA88" t="str">
        <f>_xlfn.XLOOKUP(H88,tblDepartment[Department],tblDepartment[Monthly_Target],"")</f>
        <v>99.5% System Uptime</v>
      </c>
      <c r="AB88">
        <f>_xlfn.XLOOKUP(H88,tblDepartment[Department],tblDepartment[Average_Salary_INR],"")</f>
        <v>720000</v>
      </c>
      <c r="AC88" t="str">
        <f>_xlfn.XLOOKUP(H88,tblDepartment[Department],tblDepartment[Priority_Level],"")</f>
        <v>High</v>
      </c>
      <c r="AD88" t="str">
        <f>_xlfn.XLOOKUP(H88,tblDepartment[Department],tblDepartment[Key_KPI],"")</f>
        <v>Project Delivery</v>
      </c>
      <c r="AE88">
        <f>_xlfn.XLOOKUP(tblMaster[[#This Row],[Shift]],tblShift[Shift_Name],tblShift[Login_Time],"")</f>
        <v>0.25</v>
      </c>
      <c r="AF88">
        <f>_xlfn.XLOOKUP(tblMaster[[#This Row],[Shift]],tblShift[Shift_Name],tblShift[Logout_Time]," ")</f>
        <v>0.625</v>
      </c>
      <c r="AG88">
        <f>_xlfn.XLOOKUP(tblMaster[[#This Row],[Shift]],tblShift[Shift_Name],tblShift[Standard_Working_Hours],"")</f>
        <v>8</v>
      </c>
      <c r="AH88" t="str">
        <f>_xlfn.XLOOKUP(tblMaster[[#This Row],[Attendance_Date]],tblHoliday[Holiday_Date],tblHoliday[Holiday_Name],"Working Day")</f>
        <v>Bakrid</v>
      </c>
      <c r="AI88" t="str">
        <f>_xlfn.XLOOKUP(tblMaster[[#This Row],[Attendance_Date]],tblHoliday[Holiday_Date],tblHoliday[Holiday_Type],"Working Day ")</f>
        <v>Restricted</v>
      </c>
    </row>
    <row r="89" spans="1:35" hidden="1" x14ac:dyDescent="0.3">
      <c r="A89" t="s">
        <v>256</v>
      </c>
      <c r="B89" s="1">
        <v>45792</v>
      </c>
      <c r="C89" t="s">
        <v>57</v>
      </c>
      <c r="D89" t="s">
        <v>24</v>
      </c>
      <c r="E89" t="s">
        <v>25</v>
      </c>
      <c r="F89" t="s">
        <v>127</v>
      </c>
      <c r="G89" t="s">
        <v>128</v>
      </c>
      <c r="H89" t="s">
        <v>90</v>
      </c>
      <c r="I89" t="s">
        <v>91</v>
      </c>
      <c r="J89" t="s">
        <v>66</v>
      </c>
      <c r="K89" t="s">
        <v>31</v>
      </c>
      <c r="L89" s="2">
        <v>0.375</v>
      </c>
      <c r="M89" s="2">
        <v>0.75</v>
      </c>
      <c r="N89">
        <v>8</v>
      </c>
      <c r="O89">
        <v>0</v>
      </c>
      <c r="P89" t="s">
        <v>32</v>
      </c>
      <c r="R89">
        <v>4</v>
      </c>
      <c r="S89" t="s">
        <v>67</v>
      </c>
      <c r="T89" t="s">
        <v>93</v>
      </c>
      <c r="U89" t="s">
        <v>85</v>
      </c>
      <c r="V89" t="s">
        <v>35</v>
      </c>
      <c r="W89">
        <f>_xlfn.XLOOKUP(F89,tblEmployee[Employee_ID],tblEmployee[Age],"Not Found")</f>
        <v>38</v>
      </c>
      <c r="X89" t="str">
        <f>_xlfn.XLOOKUP(F89,tblEmployee[Employee_ID],tblEmployee[Gender],"Not Found")</f>
        <v>Female</v>
      </c>
      <c r="Y89">
        <f>_xlfn.XLOOKUP(F89,tblEmployee[Employee_ID],tblEmployee[Joining_Date],"")</f>
        <v>43966</v>
      </c>
      <c r="Z89">
        <f>_xlfn.XLOOKUP(H89,tblDepartment[Department],tblDepartment[Annual_Budget_INR],"")</f>
        <v>18000000</v>
      </c>
      <c r="AA89" t="str">
        <f>_xlfn.XLOOKUP(H89,tblDepartment[Department],tblDepartment[Monthly_Target],"")</f>
        <v>&lt;30 Days Hiring Cycle</v>
      </c>
      <c r="AB89">
        <f>_xlfn.XLOOKUP(H89,tblDepartment[Department],tblDepartment[Average_Salary_INR],"")</f>
        <v>560000</v>
      </c>
      <c r="AC89" t="str">
        <f>_xlfn.XLOOKUP(H89,tblDepartment[Department],tblDepartment[Priority_Level],"")</f>
        <v>Medium</v>
      </c>
      <c r="AD89" t="str">
        <f>_xlfn.XLOOKUP(H89,tblDepartment[Department],tblDepartment[Key_KPI],"")</f>
        <v>Hiring &amp; Retention</v>
      </c>
      <c r="AE89">
        <f>_xlfn.XLOOKUP(tblMaster[[#This Row],[Shift]],tblShift[Shift_Name],tblShift[Login_Time],"")</f>
        <v>0.25</v>
      </c>
      <c r="AF89">
        <f>_xlfn.XLOOKUP(tblMaster[[#This Row],[Shift]],tblShift[Shift_Name],tblShift[Logout_Time]," ")</f>
        <v>0.625</v>
      </c>
      <c r="AG89">
        <f>_xlfn.XLOOKUP(tblMaster[[#This Row],[Shift]],tblShift[Shift_Name],tblShift[Standard_Working_Hours],"")</f>
        <v>8</v>
      </c>
      <c r="AH89" t="str">
        <f>_xlfn.XLOOKUP(tblMaster[[#This Row],[Attendance_Date]],tblHoliday[Holiday_Date],tblHoliday[Holiday_Name],"Working Day")</f>
        <v>Working Day</v>
      </c>
      <c r="AI89" t="str">
        <f>_xlfn.XLOOKUP(tblMaster[[#This Row],[Attendance_Date]],tblHoliday[Holiday_Date],tblHoliday[Holiday_Type],"Working Day ")</f>
        <v xml:space="preserve">Working Day </v>
      </c>
    </row>
    <row r="90" spans="1:35" hidden="1" x14ac:dyDescent="0.3">
      <c r="A90" t="s">
        <v>257</v>
      </c>
      <c r="B90" s="3">
        <v>45710</v>
      </c>
      <c r="C90" t="s">
        <v>95</v>
      </c>
      <c r="D90" t="s">
        <v>50</v>
      </c>
      <c r="E90" t="s">
        <v>38</v>
      </c>
      <c r="F90" t="s">
        <v>258</v>
      </c>
      <c r="G90" t="s">
        <v>259</v>
      </c>
      <c r="H90" t="s">
        <v>112</v>
      </c>
      <c r="I90" t="s">
        <v>113</v>
      </c>
      <c r="J90" t="s">
        <v>74</v>
      </c>
      <c r="K90" t="s">
        <v>81</v>
      </c>
      <c r="L90" s="2">
        <v>0.375</v>
      </c>
      <c r="M90" s="2">
        <v>0.29166666666666669</v>
      </c>
      <c r="N90">
        <v>10</v>
      </c>
      <c r="O90">
        <v>2</v>
      </c>
      <c r="P90" t="s">
        <v>32</v>
      </c>
      <c r="R90">
        <v>5</v>
      </c>
      <c r="S90" t="s">
        <v>67</v>
      </c>
      <c r="T90" t="s">
        <v>114</v>
      </c>
      <c r="U90" t="s">
        <v>47</v>
      </c>
      <c r="V90" t="s">
        <v>60</v>
      </c>
      <c r="W90">
        <f>_xlfn.XLOOKUP(F90,tblEmployee[Employee_ID],tblEmployee[Age],"Not Found")</f>
        <v>39</v>
      </c>
      <c r="X90" t="str">
        <f>_xlfn.XLOOKUP(F90,tblEmployee[Employee_ID],tblEmployee[Gender],"Not Found")</f>
        <v>Male</v>
      </c>
      <c r="Y90">
        <f>_xlfn.XLOOKUP(F90,tblEmployee[Employee_ID],tblEmployee[Joining_Date],"")</f>
        <v>44362</v>
      </c>
      <c r="Z90">
        <f>_xlfn.XLOOKUP(H90,tblDepartment[Department],tblDepartment[Annual_Budget_INR],"")</f>
        <v>42000000</v>
      </c>
      <c r="AA90" t="str">
        <f>_xlfn.XLOOKUP(H90,tblDepartment[Department],tblDepartment[Monthly_Target],"")</f>
        <v>₹2.5 Cr Monthly Sales</v>
      </c>
      <c r="AB90">
        <f>_xlfn.XLOOKUP(H90,tblDepartment[Department],tblDepartment[Average_Salary_INR],"")</f>
        <v>680000</v>
      </c>
      <c r="AC90" t="str">
        <f>_xlfn.XLOOKUP(H90,tblDepartment[Department],tblDepartment[Priority_Level],"")</f>
        <v>High</v>
      </c>
      <c r="AD90" t="str">
        <f>_xlfn.XLOOKUP(H90,tblDepartment[Department],tblDepartment[Key_KPI],"")</f>
        <v>Revenue Achievement</v>
      </c>
      <c r="AE90">
        <f>_xlfn.XLOOKUP(tblMaster[[#This Row],[Shift]],tblShift[Shift_Name],tblShift[Login_Time],"")</f>
        <v>0.91666666666666663</v>
      </c>
      <c r="AF90">
        <f>_xlfn.XLOOKUP(tblMaster[[#This Row],[Shift]],tblShift[Shift_Name],tblShift[Logout_Time]," ")</f>
        <v>0.29166666666666669</v>
      </c>
      <c r="AG90">
        <f>_xlfn.XLOOKUP(tblMaster[[#This Row],[Shift]],tblShift[Shift_Name],tblShift[Standard_Working_Hours],"")</f>
        <v>8</v>
      </c>
      <c r="AH90" t="str">
        <f>_xlfn.XLOOKUP(tblMaster[[#This Row],[Attendance_Date]],tblHoliday[Holiday_Date],tblHoliday[Holiday_Name],"Working Day")</f>
        <v>Working Day</v>
      </c>
      <c r="AI90" t="str">
        <f>_xlfn.XLOOKUP(tblMaster[[#This Row],[Attendance_Date]],tblHoliday[Holiday_Date],tblHoliday[Holiday_Type],"Working Day ")</f>
        <v xml:space="preserve">Working Day </v>
      </c>
    </row>
    <row r="91" spans="1:35" hidden="1" x14ac:dyDescent="0.3">
      <c r="A91" t="s">
        <v>260</v>
      </c>
      <c r="B91" s="3">
        <v>45821</v>
      </c>
      <c r="C91" t="s">
        <v>23</v>
      </c>
      <c r="D91" t="s">
        <v>24</v>
      </c>
      <c r="E91" t="s">
        <v>119</v>
      </c>
      <c r="F91" t="s">
        <v>163</v>
      </c>
      <c r="G91" t="s">
        <v>164</v>
      </c>
      <c r="H91" t="s">
        <v>112</v>
      </c>
      <c r="I91" t="s">
        <v>113</v>
      </c>
      <c r="J91" t="s">
        <v>100</v>
      </c>
      <c r="K91" t="s">
        <v>44</v>
      </c>
      <c r="L91" s="2">
        <v>0.39930555555555558</v>
      </c>
      <c r="M91" s="2">
        <v>0.75</v>
      </c>
      <c r="N91">
        <v>8</v>
      </c>
      <c r="O91">
        <v>0</v>
      </c>
      <c r="P91" t="s">
        <v>32</v>
      </c>
      <c r="R91">
        <v>4</v>
      </c>
      <c r="S91" t="s">
        <v>33</v>
      </c>
      <c r="T91" t="s">
        <v>114</v>
      </c>
      <c r="U91" t="s">
        <v>47</v>
      </c>
      <c r="V91" t="s">
        <v>60</v>
      </c>
      <c r="W91">
        <f>_xlfn.XLOOKUP(F91,tblEmployee[Employee_ID],tblEmployee[Age],"Not Found")</f>
        <v>25</v>
      </c>
      <c r="X91" t="str">
        <f>_xlfn.XLOOKUP(F91,tblEmployee[Employee_ID],tblEmployee[Gender],"Not Found")</f>
        <v>Male</v>
      </c>
      <c r="Y91">
        <f>_xlfn.XLOOKUP(F91,tblEmployee[Employee_ID],tblEmployee[Joining_Date],"")</f>
        <v>44301</v>
      </c>
      <c r="Z91">
        <f>_xlfn.XLOOKUP(H91,tblDepartment[Department],tblDepartment[Annual_Budget_INR],"")</f>
        <v>42000000</v>
      </c>
      <c r="AA91" t="str">
        <f>_xlfn.XLOOKUP(H91,tblDepartment[Department],tblDepartment[Monthly_Target],"")</f>
        <v>₹2.5 Cr Monthly Sales</v>
      </c>
      <c r="AB91">
        <f>_xlfn.XLOOKUP(H91,tblDepartment[Department],tblDepartment[Average_Salary_INR],"")</f>
        <v>680000</v>
      </c>
      <c r="AC91" t="str">
        <f>_xlfn.XLOOKUP(H91,tblDepartment[Department],tblDepartment[Priority_Level],"")</f>
        <v>High</v>
      </c>
      <c r="AD91" t="str">
        <f>_xlfn.XLOOKUP(H91,tblDepartment[Department],tblDepartment[Key_KPI],"")</f>
        <v>Revenue Achievement</v>
      </c>
      <c r="AE91">
        <f>_xlfn.XLOOKUP(tblMaster[[#This Row],[Shift]],tblShift[Shift_Name],tblShift[Login_Time],"")</f>
        <v>0.41666666666666669</v>
      </c>
      <c r="AF91">
        <f>_xlfn.XLOOKUP(tblMaster[[#This Row],[Shift]],tblShift[Shift_Name],tblShift[Logout_Time]," ")</f>
        <v>0.79166666666666663</v>
      </c>
      <c r="AG91">
        <f>_xlfn.XLOOKUP(tblMaster[[#This Row],[Shift]],tblShift[Shift_Name],tblShift[Standard_Working_Hours],"")</f>
        <v>8</v>
      </c>
      <c r="AH91" t="str">
        <f>_xlfn.XLOOKUP(tblMaster[[#This Row],[Attendance_Date]],tblHoliday[Holiday_Date],tblHoliday[Holiday_Name],"Working Day")</f>
        <v>Working Day</v>
      </c>
      <c r="AI91" t="str">
        <f>_xlfn.XLOOKUP(tblMaster[[#This Row],[Attendance_Date]],tblHoliday[Holiday_Date],tblHoliday[Holiday_Type],"Working Day ")</f>
        <v xml:space="preserve">Working Day </v>
      </c>
    </row>
    <row r="92" spans="1:35" hidden="1" x14ac:dyDescent="0.3">
      <c r="A92" t="s">
        <v>261</v>
      </c>
      <c r="B92" s="3">
        <v>45701</v>
      </c>
      <c r="C92" t="s">
        <v>95</v>
      </c>
      <c r="D92" t="s">
        <v>50</v>
      </c>
      <c r="E92" t="s">
        <v>25</v>
      </c>
      <c r="F92" t="s">
        <v>133</v>
      </c>
      <c r="G92" t="s">
        <v>134</v>
      </c>
      <c r="H92" t="s">
        <v>98</v>
      </c>
      <c r="I92" t="s">
        <v>99</v>
      </c>
      <c r="J92" t="s">
        <v>66</v>
      </c>
      <c r="K92" t="s">
        <v>81</v>
      </c>
      <c r="L92" s="2">
        <v>0.91666666666666663</v>
      </c>
      <c r="M92" s="2">
        <v>0.29166666666666669</v>
      </c>
      <c r="N92">
        <v>9</v>
      </c>
      <c r="O92">
        <v>1</v>
      </c>
      <c r="P92" t="s">
        <v>32</v>
      </c>
      <c r="S92" t="s">
        <v>45</v>
      </c>
      <c r="T92" t="s">
        <v>101</v>
      </c>
      <c r="U92" t="s">
        <v>55</v>
      </c>
      <c r="V92" t="s">
        <v>69</v>
      </c>
      <c r="W92">
        <f>_xlfn.XLOOKUP(F92,tblEmployee[Employee_ID],tblEmployee[Age],"Not Found")</f>
        <v>27</v>
      </c>
      <c r="X92" t="str">
        <f>_xlfn.XLOOKUP(F92,tblEmployee[Employee_ID],tblEmployee[Gender],"Not Found")</f>
        <v>Male</v>
      </c>
      <c r="Y92">
        <f>_xlfn.XLOOKUP(F92,tblEmployee[Employee_ID],tblEmployee[Joining_Date],"")</f>
        <v>45458</v>
      </c>
      <c r="Z92">
        <f>_xlfn.XLOOKUP(H92,tblDepartment[Department],tblDepartment[Annual_Budget_INR],"")</f>
        <v>22000000</v>
      </c>
      <c r="AA92" t="str">
        <f>_xlfn.XLOOKUP(H92,tblDepartment[Department],tblDepartment[Monthly_Target],"")</f>
        <v>2500 Qualified Leads</v>
      </c>
      <c r="AB92">
        <f>_xlfn.XLOOKUP(H92,tblDepartment[Department],tblDepartment[Average_Salary_INR],"")</f>
        <v>590000</v>
      </c>
      <c r="AC92" t="str">
        <f>_xlfn.XLOOKUP(H92,tblDepartment[Department],tblDepartment[Priority_Level],"")</f>
        <v>Medium</v>
      </c>
      <c r="AD92" t="str">
        <f>_xlfn.XLOOKUP(H92,tblDepartment[Department],tblDepartment[Key_KPI],"")</f>
        <v>Lead Generation</v>
      </c>
      <c r="AE92">
        <f>_xlfn.XLOOKUP(tblMaster[[#This Row],[Shift]],tblShift[Shift_Name],tblShift[Login_Time],"")</f>
        <v>0.91666666666666663</v>
      </c>
      <c r="AF92">
        <f>_xlfn.XLOOKUP(tblMaster[[#This Row],[Shift]],tblShift[Shift_Name],tblShift[Logout_Time]," ")</f>
        <v>0.29166666666666669</v>
      </c>
      <c r="AG92">
        <f>_xlfn.XLOOKUP(tblMaster[[#This Row],[Shift]],tblShift[Shift_Name],tblShift[Standard_Working_Hours],"")</f>
        <v>8</v>
      </c>
      <c r="AH92" t="str">
        <f>_xlfn.XLOOKUP(tblMaster[[#This Row],[Attendance_Date]],tblHoliday[Holiday_Date],tblHoliday[Holiday_Name],"Working Day")</f>
        <v>Working Day</v>
      </c>
      <c r="AI92" t="str">
        <f>_xlfn.XLOOKUP(tblMaster[[#This Row],[Attendance_Date]],tblHoliday[Holiday_Date],tblHoliday[Holiday_Type],"Working Day ")</f>
        <v xml:space="preserve">Working Day </v>
      </c>
    </row>
    <row r="93" spans="1:35" hidden="1" x14ac:dyDescent="0.3">
      <c r="A93" t="s">
        <v>262</v>
      </c>
      <c r="B93" s="1">
        <v>45690</v>
      </c>
      <c r="C93" t="s">
        <v>95</v>
      </c>
      <c r="D93" t="s">
        <v>50</v>
      </c>
      <c r="E93" t="s">
        <v>103</v>
      </c>
      <c r="F93" t="s">
        <v>110</v>
      </c>
      <c r="G93" t="s">
        <v>111</v>
      </c>
      <c r="H93" t="s">
        <v>112</v>
      </c>
      <c r="I93" t="s">
        <v>113</v>
      </c>
      <c r="J93" t="s">
        <v>43</v>
      </c>
      <c r="K93" t="s">
        <v>31</v>
      </c>
      <c r="L93" s="2">
        <v>0.375</v>
      </c>
      <c r="M93" s="2">
        <v>0.75</v>
      </c>
      <c r="N93">
        <v>8</v>
      </c>
      <c r="O93">
        <v>0</v>
      </c>
      <c r="P93" t="s">
        <v>32</v>
      </c>
      <c r="R93">
        <v>4</v>
      </c>
      <c r="S93" t="s">
        <v>33</v>
      </c>
      <c r="T93" t="s">
        <v>114</v>
      </c>
      <c r="U93" t="s">
        <v>55</v>
      </c>
      <c r="V93" t="s">
        <v>69</v>
      </c>
      <c r="W93">
        <f>_xlfn.XLOOKUP(F93,tblEmployee[Employee_ID],tblEmployee[Age],"Not Found")</f>
        <v>32</v>
      </c>
      <c r="X93" t="str">
        <f>_xlfn.XLOOKUP(F93,tblEmployee[Employee_ID],tblEmployee[Gender],"Not Found")</f>
        <v>Female</v>
      </c>
      <c r="Y93">
        <f>_xlfn.XLOOKUP(F93,tblEmployee[Employee_ID],tblEmployee[Joining_Date],"")</f>
        <v>44515</v>
      </c>
      <c r="Z93">
        <f>_xlfn.XLOOKUP(H93,tblDepartment[Department],tblDepartment[Annual_Budget_INR],"")</f>
        <v>42000000</v>
      </c>
      <c r="AA93" t="str">
        <f>_xlfn.XLOOKUP(H93,tblDepartment[Department],tblDepartment[Monthly_Target],"")</f>
        <v>₹2.5 Cr Monthly Sales</v>
      </c>
      <c r="AB93">
        <f>_xlfn.XLOOKUP(H93,tblDepartment[Department],tblDepartment[Average_Salary_INR],"")</f>
        <v>680000</v>
      </c>
      <c r="AC93" t="str">
        <f>_xlfn.XLOOKUP(H93,tblDepartment[Department],tblDepartment[Priority_Level],"")</f>
        <v>High</v>
      </c>
      <c r="AD93" t="str">
        <f>_xlfn.XLOOKUP(H93,tblDepartment[Department],tblDepartment[Key_KPI],"")</f>
        <v>Revenue Achievement</v>
      </c>
      <c r="AE93">
        <f>_xlfn.XLOOKUP(tblMaster[[#This Row],[Shift]],tblShift[Shift_Name],tblShift[Login_Time],"")</f>
        <v>0.25</v>
      </c>
      <c r="AF93">
        <f>_xlfn.XLOOKUP(tblMaster[[#This Row],[Shift]],tblShift[Shift_Name],tblShift[Logout_Time]," ")</f>
        <v>0.625</v>
      </c>
      <c r="AG93">
        <f>_xlfn.XLOOKUP(tblMaster[[#This Row],[Shift]],tblShift[Shift_Name],tblShift[Standard_Working_Hours],"")</f>
        <v>8</v>
      </c>
      <c r="AH93" t="str">
        <f>_xlfn.XLOOKUP(tblMaster[[#This Row],[Attendance_Date]],tblHoliday[Holiday_Date],tblHoliday[Holiday_Name],"Working Day")</f>
        <v>Working Day</v>
      </c>
      <c r="AI93" t="str">
        <f>_xlfn.XLOOKUP(tblMaster[[#This Row],[Attendance_Date]],tblHoliday[Holiday_Date],tblHoliday[Holiday_Type],"Working Day ")</f>
        <v xml:space="preserve">Working Day </v>
      </c>
    </row>
    <row r="94" spans="1:35" x14ac:dyDescent="0.3">
      <c r="A94" t="s">
        <v>263</v>
      </c>
      <c r="B94" s="1">
        <v>45689</v>
      </c>
      <c r="C94" t="s">
        <v>95</v>
      </c>
      <c r="D94" t="s">
        <v>50</v>
      </c>
      <c r="E94" t="s">
        <v>38</v>
      </c>
      <c r="F94" t="s">
        <v>243</v>
      </c>
      <c r="G94" t="s">
        <v>244</v>
      </c>
      <c r="H94" t="s">
        <v>90</v>
      </c>
      <c r="I94" t="s">
        <v>91</v>
      </c>
      <c r="J94" t="s">
        <v>30</v>
      </c>
      <c r="K94" t="s">
        <v>54</v>
      </c>
      <c r="L94" s="2">
        <v>0.375</v>
      </c>
      <c r="M94" s="2">
        <v>0.75</v>
      </c>
      <c r="N94">
        <v>8</v>
      </c>
      <c r="O94">
        <v>0</v>
      </c>
      <c r="P94" t="s">
        <v>32</v>
      </c>
      <c r="R94">
        <v>4</v>
      </c>
      <c r="S94" t="s">
        <v>92</v>
      </c>
      <c r="T94" t="s">
        <v>93</v>
      </c>
      <c r="U94" t="str">
        <f>_xlfn.XLOOKUP(tblMaster[[#This Row],[Employee_ID]],tblEmployee[Employee_ID],tblEmployee[Work_Mode]," ")</f>
        <v>Remote</v>
      </c>
      <c r="V94" t="s">
        <v>60</v>
      </c>
      <c r="W94">
        <f>_xlfn.XLOOKUP(F94,tblEmployee[Employee_ID],tblEmployee[Age],"Not Found")</f>
        <v>30</v>
      </c>
      <c r="X94" t="str">
        <f>_xlfn.XLOOKUP(F94,tblEmployee[Employee_ID],tblEmployee[Gender],"Not Found")</f>
        <v>Female</v>
      </c>
      <c r="Y94">
        <f>_xlfn.XLOOKUP(F94,tblEmployee[Employee_ID],tblEmployee[Joining_Date],"")</f>
        <v>44089</v>
      </c>
      <c r="Z94">
        <f>_xlfn.XLOOKUP(H94,tblDepartment[Department],tblDepartment[Annual_Budget_INR],"")</f>
        <v>18000000</v>
      </c>
      <c r="AA94" t="str">
        <f>_xlfn.XLOOKUP(H94,tblDepartment[Department],tblDepartment[Monthly_Target],"")</f>
        <v>&lt;30 Days Hiring Cycle</v>
      </c>
      <c r="AB94">
        <f>_xlfn.XLOOKUP(H94,tblDepartment[Department],tblDepartment[Average_Salary_INR],"")</f>
        <v>560000</v>
      </c>
      <c r="AC94" t="str">
        <f>_xlfn.XLOOKUP(H94,tblDepartment[Department],tblDepartment[Priority_Level],"")</f>
        <v>Medium</v>
      </c>
      <c r="AD94" t="str">
        <f>_xlfn.XLOOKUP(H94,tblDepartment[Department],tblDepartment[Key_KPI],"")</f>
        <v>Hiring &amp; Retention</v>
      </c>
      <c r="AE94">
        <f>_xlfn.XLOOKUP(tblMaster[[#This Row],[Shift]],tblShift[Shift_Name],tblShift[Login_Time],"")</f>
        <v>0.58333333333333337</v>
      </c>
      <c r="AF94">
        <f>_xlfn.XLOOKUP(tblMaster[[#This Row],[Shift]],tblShift[Shift_Name],tblShift[Logout_Time]," ")</f>
        <v>0.95833333333333337</v>
      </c>
      <c r="AG94">
        <f>_xlfn.XLOOKUP(tblMaster[[#This Row],[Shift]],tblShift[Shift_Name],tblShift[Standard_Working_Hours],"")</f>
        <v>8</v>
      </c>
      <c r="AH94" t="str">
        <f>_xlfn.XLOOKUP(tblMaster[[#This Row],[Attendance_Date]],tblHoliday[Holiday_Date],tblHoliday[Holiday_Name],"Working Day")</f>
        <v>Working Day</v>
      </c>
      <c r="AI94" t="str">
        <f>_xlfn.XLOOKUP(tblMaster[[#This Row],[Attendance_Date]],tblHoliday[Holiday_Date],tblHoliday[Holiday_Type],"Working Day ")</f>
        <v xml:space="preserve">Working Day </v>
      </c>
    </row>
    <row r="95" spans="1:35" hidden="1" x14ac:dyDescent="0.3">
      <c r="A95" t="s">
        <v>264</v>
      </c>
      <c r="B95" s="3">
        <v>45837</v>
      </c>
      <c r="C95" t="s">
        <v>23</v>
      </c>
      <c r="D95" t="s">
        <v>24</v>
      </c>
      <c r="E95" t="s">
        <v>103</v>
      </c>
      <c r="F95" t="s">
        <v>215</v>
      </c>
      <c r="G95" t="s">
        <v>216</v>
      </c>
      <c r="H95" t="s">
        <v>79</v>
      </c>
      <c r="I95" t="s">
        <v>80</v>
      </c>
      <c r="J95" t="s">
        <v>30</v>
      </c>
      <c r="K95" t="s">
        <v>44</v>
      </c>
      <c r="L95" s="2">
        <v>0.375</v>
      </c>
      <c r="M95" s="2">
        <v>0.75</v>
      </c>
      <c r="N95">
        <v>8</v>
      </c>
      <c r="O95">
        <v>0</v>
      </c>
      <c r="P95" t="s">
        <v>32</v>
      </c>
      <c r="R95">
        <v>4</v>
      </c>
      <c r="S95" t="s">
        <v>33</v>
      </c>
      <c r="T95" t="s">
        <v>84</v>
      </c>
      <c r="U95" t="s">
        <v>47</v>
      </c>
      <c r="W95">
        <f>_xlfn.XLOOKUP(F95,tblEmployee[Employee_ID],tblEmployee[Age],"Not Found")</f>
        <v>25</v>
      </c>
      <c r="X95" t="str">
        <f>_xlfn.XLOOKUP(F95,tblEmployee[Employee_ID],tblEmployee[Gender],"Not Found")</f>
        <v>Female</v>
      </c>
      <c r="Y95">
        <f>_xlfn.XLOOKUP(F95,tblEmployee[Employee_ID],tblEmployee[Joining_Date],"")</f>
        <v>44666</v>
      </c>
      <c r="Z95">
        <f>_xlfn.XLOOKUP(H95,tblDepartment[Department],tblDepartment[Annual_Budget_INR],"")</f>
        <v>26000000</v>
      </c>
      <c r="AA95" t="str">
        <f>_xlfn.XLOOKUP(H95,tblDepartment[Department],tblDepartment[Monthly_Target],"")</f>
        <v>100% Payroll Accuracy</v>
      </c>
      <c r="AB95">
        <f>_xlfn.XLOOKUP(H95,tblDepartment[Department],tblDepartment[Average_Salary_INR],"")</f>
        <v>640000</v>
      </c>
      <c r="AC95" t="str">
        <f>_xlfn.XLOOKUP(H95,tblDepartment[Department],tblDepartment[Priority_Level],"")</f>
        <v>High</v>
      </c>
      <c r="AD95" t="str">
        <f>_xlfn.XLOOKUP(H95,tblDepartment[Department],tblDepartment[Key_KPI],"")</f>
        <v>Financial Compliance</v>
      </c>
      <c r="AE95">
        <f>_xlfn.XLOOKUP(tblMaster[[#This Row],[Shift]],tblShift[Shift_Name],tblShift[Login_Time],"")</f>
        <v>0.41666666666666669</v>
      </c>
      <c r="AF95">
        <f>_xlfn.XLOOKUP(tblMaster[[#This Row],[Shift]],tblShift[Shift_Name],tblShift[Logout_Time]," ")</f>
        <v>0.79166666666666663</v>
      </c>
      <c r="AG95">
        <f>_xlfn.XLOOKUP(tblMaster[[#This Row],[Shift]],tblShift[Shift_Name],tblShift[Standard_Working_Hours],"")</f>
        <v>8</v>
      </c>
      <c r="AH95" t="str">
        <f>_xlfn.XLOOKUP(tblMaster[[#This Row],[Attendance_Date]],tblHoliday[Holiday_Date],tblHoliday[Holiday_Name],"Working Day")</f>
        <v>Working Day</v>
      </c>
      <c r="AI95" t="str">
        <f>_xlfn.XLOOKUP(tblMaster[[#This Row],[Attendance_Date]],tblHoliday[Holiday_Date],tblHoliday[Holiday_Type],"Working Day ")</f>
        <v xml:space="preserve">Working Day </v>
      </c>
    </row>
    <row r="96" spans="1:35" hidden="1" x14ac:dyDescent="0.3">
      <c r="A96" t="s">
        <v>265</v>
      </c>
      <c r="B96" s="3">
        <v>45785</v>
      </c>
      <c r="C96" t="s">
        <v>57</v>
      </c>
      <c r="D96" t="s">
        <v>24</v>
      </c>
      <c r="E96" t="s">
        <v>25</v>
      </c>
      <c r="F96" t="s">
        <v>266</v>
      </c>
      <c r="G96" t="s">
        <v>267</v>
      </c>
      <c r="H96" t="s">
        <v>98</v>
      </c>
      <c r="I96" t="s">
        <v>99</v>
      </c>
      <c r="J96" t="s">
        <v>66</v>
      </c>
      <c r="K96" t="s">
        <v>44</v>
      </c>
      <c r="L96" s="2">
        <v>0.375</v>
      </c>
      <c r="M96" s="2">
        <v>0.75</v>
      </c>
      <c r="N96">
        <v>8</v>
      </c>
      <c r="O96">
        <v>0</v>
      </c>
      <c r="P96" t="s">
        <v>32</v>
      </c>
      <c r="R96">
        <v>4</v>
      </c>
      <c r="S96" t="s">
        <v>92</v>
      </c>
      <c r="T96" t="s">
        <v>101</v>
      </c>
      <c r="U96" t="s">
        <v>85</v>
      </c>
      <c r="W96">
        <f>_xlfn.XLOOKUP(F96,tblEmployee[Employee_ID],tblEmployee[Age],"Not Found")</f>
        <v>28</v>
      </c>
      <c r="X96" t="str">
        <f>_xlfn.XLOOKUP(F96,tblEmployee[Employee_ID],tblEmployee[Gender],"Not Found")</f>
        <v>Female</v>
      </c>
      <c r="Y96">
        <f>_xlfn.XLOOKUP(F96,tblEmployee[Employee_ID],tblEmployee[Joining_Date],"")</f>
        <v>45488</v>
      </c>
      <c r="Z96">
        <f>_xlfn.XLOOKUP(H96,tblDepartment[Department],tblDepartment[Annual_Budget_INR],"")</f>
        <v>22000000</v>
      </c>
      <c r="AA96" t="str">
        <f>_xlfn.XLOOKUP(H96,tblDepartment[Department],tblDepartment[Monthly_Target],"")</f>
        <v>2500 Qualified Leads</v>
      </c>
      <c r="AB96">
        <f>_xlfn.XLOOKUP(H96,tblDepartment[Department],tblDepartment[Average_Salary_INR],"")</f>
        <v>590000</v>
      </c>
      <c r="AC96" t="str">
        <f>_xlfn.XLOOKUP(H96,tblDepartment[Department],tblDepartment[Priority_Level],"")</f>
        <v>Medium</v>
      </c>
      <c r="AD96" t="str">
        <f>_xlfn.XLOOKUP(H96,tblDepartment[Department],tblDepartment[Key_KPI],"")</f>
        <v>Lead Generation</v>
      </c>
      <c r="AE96">
        <f>_xlfn.XLOOKUP(tblMaster[[#This Row],[Shift]],tblShift[Shift_Name],tblShift[Login_Time],"")</f>
        <v>0.41666666666666669</v>
      </c>
      <c r="AF96">
        <f>_xlfn.XLOOKUP(tblMaster[[#This Row],[Shift]],tblShift[Shift_Name],tblShift[Logout_Time]," ")</f>
        <v>0.79166666666666663</v>
      </c>
      <c r="AG96">
        <f>_xlfn.XLOOKUP(tblMaster[[#This Row],[Shift]],tblShift[Shift_Name],tblShift[Standard_Working_Hours],"")</f>
        <v>8</v>
      </c>
      <c r="AH96" t="str">
        <f>_xlfn.XLOOKUP(tblMaster[[#This Row],[Attendance_Date]],tblHoliday[Holiday_Date],tblHoliday[Holiday_Name],"Working Day")</f>
        <v>Working Day</v>
      </c>
      <c r="AI96" t="str">
        <f>_xlfn.XLOOKUP(tblMaster[[#This Row],[Attendance_Date]],tblHoliday[Holiday_Date],tblHoliday[Holiday_Type],"Working Day ")</f>
        <v xml:space="preserve">Working Day </v>
      </c>
    </row>
    <row r="97" spans="1:35" hidden="1" x14ac:dyDescent="0.3">
      <c r="A97" t="s">
        <v>268</v>
      </c>
      <c r="B97" s="3">
        <v>45838</v>
      </c>
      <c r="C97" t="s">
        <v>23</v>
      </c>
      <c r="D97" t="s">
        <v>24</v>
      </c>
      <c r="E97" t="s">
        <v>109</v>
      </c>
      <c r="F97" t="s">
        <v>195</v>
      </c>
      <c r="G97" t="s">
        <v>196</v>
      </c>
      <c r="H97" t="s">
        <v>98</v>
      </c>
      <c r="I97" t="s">
        <v>99</v>
      </c>
      <c r="J97" t="s">
        <v>43</v>
      </c>
      <c r="K97" t="s">
        <v>44</v>
      </c>
      <c r="L97" s="2">
        <v>0.375</v>
      </c>
      <c r="M97" s="2">
        <v>0.75</v>
      </c>
      <c r="N97">
        <v>8</v>
      </c>
      <c r="O97">
        <v>0</v>
      </c>
      <c r="P97" t="s">
        <v>32</v>
      </c>
      <c r="R97">
        <v>5</v>
      </c>
      <c r="S97" t="s">
        <v>67</v>
      </c>
      <c r="T97" t="s">
        <v>101</v>
      </c>
      <c r="U97" t="s">
        <v>85</v>
      </c>
      <c r="W97">
        <f>_xlfn.XLOOKUP(F97,tblEmployee[Employee_ID],tblEmployee[Age],"Not Found")</f>
        <v>24</v>
      </c>
      <c r="X97" t="str">
        <f>_xlfn.XLOOKUP(F97,tblEmployee[Employee_ID],tblEmployee[Gender],"Not Found")</f>
        <v>Male</v>
      </c>
      <c r="Y97">
        <f>_xlfn.XLOOKUP(F97,tblEmployee[Employee_ID],tblEmployee[Joining_Date],"")</f>
        <v>45550</v>
      </c>
      <c r="Z97">
        <f>_xlfn.XLOOKUP(H97,tblDepartment[Department],tblDepartment[Annual_Budget_INR],"")</f>
        <v>22000000</v>
      </c>
      <c r="AA97" t="str">
        <f>_xlfn.XLOOKUP(H97,tblDepartment[Department],tblDepartment[Monthly_Target],"")</f>
        <v>2500 Qualified Leads</v>
      </c>
      <c r="AB97">
        <f>_xlfn.XLOOKUP(H97,tblDepartment[Department],tblDepartment[Average_Salary_INR],"")</f>
        <v>590000</v>
      </c>
      <c r="AC97" t="str">
        <f>_xlfn.XLOOKUP(H97,tblDepartment[Department],tblDepartment[Priority_Level],"")</f>
        <v>Medium</v>
      </c>
      <c r="AD97" t="str">
        <f>_xlfn.XLOOKUP(H97,tblDepartment[Department],tblDepartment[Key_KPI],"")</f>
        <v>Lead Generation</v>
      </c>
      <c r="AE97">
        <f>_xlfn.XLOOKUP(tblMaster[[#This Row],[Shift]],tblShift[Shift_Name],tblShift[Login_Time],"")</f>
        <v>0.41666666666666669</v>
      </c>
      <c r="AF97">
        <f>_xlfn.XLOOKUP(tblMaster[[#This Row],[Shift]],tblShift[Shift_Name],tblShift[Logout_Time]," ")</f>
        <v>0.79166666666666663</v>
      </c>
      <c r="AG97">
        <f>_xlfn.XLOOKUP(tblMaster[[#This Row],[Shift]],tblShift[Shift_Name],tblShift[Standard_Working_Hours],"")</f>
        <v>8</v>
      </c>
      <c r="AH97" t="str">
        <f>_xlfn.XLOOKUP(tblMaster[[#This Row],[Attendance_Date]],tblHoliday[Holiday_Date],tblHoliday[Holiday_Name],"Working Day")</f>
        <v>Working Day</v>
      </c>
      <c r="AI97" t="str">
        <f>_xlfn.XLOOKUP(tblMaster[[#This Row],[Attendance_Date]],tblHoliday[Holiday_Date],tblHoliday[Holiday_Type],"Working Day ")</f>
        <v xml:space="preserve">Working Day </v>
      </c>
    </row>
    <row r="98" spans="1:35" hidden="1" x14ac:dyDescent="0.3">
      <c r="A98" t="s">
        <v>269</v>
      </c>
      <c r="B98" s="3">
        <v>45688</v>
      </c>
      <c r="C98" t="s">
        <v>49</v>
      </c>
      <c r="D98" t="s">
        <v>50</v>
      </c>
      <c r="E98" t="s">
        <v>119</v>
      </c>
      <c r="F98" t="s">
        <v>231</v>
      </c>
      <c r="G98" t="s">
        <v>232</v>
      </c>
      <c r="H98" t="s">
        <v>98</v>
      </c>
      <c r="I98" t="s">
        <v>99</v>
      </c>
      <c r="J98" t="s">
        <v>74</v>
      </c>
      <c r="K98" t="s">
        <v>81</v>
      </c>
      <c r="L98" s="2">
        <v>0.91666666666666663</v>
      </c>
      <c r="M98" s="2">
        <v>0.29166666666666669</v>
      </c>
      <c r="N98">
        <v>10</v>
      </c>
      <c r="O98">
        <v>2</v>
      </c>
      <c r="P98" t="s">
        <v>32</v>
      </c>
      <c r="R98">
        <v>3</v>
      </c>
      <c r="S98" t="s">
        <v>92</v>
      </c>
      <c r="T98" t="s">
        <v>101</v>
      </c>
      <c r="U98" t="s">
        <v>55</v>
      </c>
      <c r="V98" t="s">
        <v>35</v>
      </c>
      <c r="W98">
        <f>_xlfn.XLOOKUP(F98,tblEmployee[Employee_ID],tblEmployee[Age],"Not Found")</f>
        <v>31</v>
      </c>
      <c r="X98" t="str">
        <f>_xlfn.XLOOKUP(F98,tblEmployee[Employee_ID],tblEmployee[Gender],"Not Found")</f>
        <v>Male</v>
      </c>
      <c r="Y98">
        <f>_xlfn.XLOOKUP(F98,tblEmployee[Employee_ID],tblEmployee[Joining_Date],"")</f>
        <v>45397</v>
      </c>
      <c r="Z98">
        <f>_xlfn.XLOOKUP(H98,tblDepartment[Department],tblDepartment[Annual_Budget_INR],"")</f>
        <v>22000000</v>
      </c>
      <c r="AA98" t="str">
        <f>_xlfn.XLOOKUP(H98,tblDepartment[Department],tblDepartment[Monthly_Target],"")</f>
        <v>2500 Qualified Leads</v>
      </c>
      <c r="AB98">
        <f>_xlfn.XLOOKUP(H98,tblDepartment[Department],tblDepartment[Average_Salary_INR],"")</f>
        <v>590000</v>
      </c>
      <c r="AC98" t="str">
        <f>_xlfn.XLOOKUP(H98,tblDepartment[Department],tblDepartment[Priority_Level],"")</f>
        <v>Medium</v>
      </c>
      <c r="AD98" t="str">
        <f>_xlfn.XLOOKUP(H98,tblDepartment[Department],tblDepartment[Key_KPI],"")</f>
        <v>Lead Generation</v>
      </c>
      <c r="AE98">
        <f>_xlfn.XLOOKUP(tblMaster[[#This Row],[Shift]],tblShift[Shift_Name],tblShift[Login_Time],"")</f>
        <v>0.91666666666666663</v>
      </c>
      <c r="AF98">
        <f>_xlfn.XLOOKUP(tblMaster[[#This Row],[Shift]],tblShift[Shift_Name],tblShift[Logout_Time]," ")</f>
        <v>0.29166666666666669</v>
      </c>
      <c r="AG98">
        <f>_xlfn.XLOOKUP(tblMaster[[#This Row],[Shift]],tblShift[Shift_Name],tblShift[Standard_Working_Hours],"")</f>
        <v>8</v>
      </c>
      <c r="AH98" t="str">
        <f>_xlfn.XLOOKUP(tblMaster[[#This Row],[Attendance_Date]],tblHoliday[Holiday_Date],tblHoliday[Holiday_Name],"Working Day")</f>
        <v>Working Day</v>
      </c>
      <c r="AI98" t="str">
        <f>_xlfn.XLOOKUP(tblMaster[[#This Row],[Attendance_Date]],tblHoliday[Holiday_Date],tblHoliday[Holiday_Type],"Working Day ")</f>
        <v xml:space="preserve">Working Day </v>
      </c>
    </row>
    <row r="99" spans="1:35" hidden="1" x14ac:dyDescent="0.3">
      <c r="A99" t="s">
        <v>270</v>
      </c>
      <c r="B99" s="3">
        <v>45820</v>
      </c>
      <c r="C99" t="s">
        <v>23</v>
      </c>
      <c r="D99" t="s">
        <v>24</v>
      </c>
      <c r="E99" t="s">
        <v>25</v>
      </c>
      <c r="F99" t="s">
        <v>258</v>
      </c>
      <c r="G99" t="s">
        <v>259</v>
      </c>
      <c r="H99" t="s">
        <v>112</v>
      </c>
      <c r="I99" t="s">
        <v>113</v>
      </c>
      <c r="J99" t="s">
        <v>74</v>
      </c>
      <c r="K99" t="s">
        <v>75</v>
      </c>
      <c r="L99" s="2">
        <v>0.3888888888888889</v>
      </c>
      <c r="M99" s="2">
        <v>0.75</v>
      </c>
      <c r="N99">
        <v>8</v>
      </c>
      <c r="O99">
        <v>0</v>
      </c>
      <c r="P99" t="s">
        <v>32</v>
      </c>
      <c r="R99">
        <v>4</v>
      </c>
      <c r="S99" t="s">
        <v>67</v>
      </c>
      <c r="T99" t="s">
        <v>114</v>
      </c>
      <c r="U99" t="s">
        <v>85</v>
      </c>
      <c r="V99" t="s">
        <v>60</v>
      </c>
      <c r="W99">
        <f>_xlfn.XLOOKUP(F99,tblEmployee[Employee_ID],tblEmployee[Age],"Not Found")</f>
        <v>39</v>
      </c>
      <c r="X99" t="str">
        <f>_xlfn.XLOOKUP(F99,tblEmployee[Employee_ID],tblEmployee[Gender],"Not Found")</f>
        <v>Male</v>
      </c>
      <c r="Y99">
        <f>_xlfn.XLOOKUP(F99,tblEmployee[Employee_ID],tblEmployee[Joining_Date],"")</f>
        <v>44362</v>
      </c>
      <c r="Z99">
        <f>_xlfn.XLOOKUP(H99,tblDepartment[Department],tblDepartment[Annual_Budget_INR],"")</f>
        <v>42000000</v>
      </c>
      <c r="AA99" t="str">
        <f>_xlfn.XLOOKUP(H99,tblDepartment[Department],tblDepartment[Monthly_Target],"")</f>
        <v>₹2.5 Cr Monthly Sales</v>
      </c>
      <c r="AB99">
        <f>_xlfn.XLOOKUP(H99,tblDepartment[Department],tblDepartment[Average_Salary_INR],"")</f>
        <v>680000</v>
      </c>
      <c r="AC99" t="str">
        <f>_xlfn.XLOOKUP(H99,tblDepartment[Department],tblDepartment[Priority_Level],"")</f>
        <v>High</v>
      </c>
      <c r="AD99" t="str">
        <f>_xlfn.XLOOKUP(H99,tblDepartment[Department],tblDepartment[Key_KPI],"")</f>
        <v>Revenue Achievement</v>
      </c>
      <c r="AE99">
        <f>_xlfn.XLOOKUP(tblMaster[[#This Row],[Shift]],tblShift[Shift_Name],tblShift[Login_Time],"")</f>
        <v>0.375</v>
      </c>
      <c r="AF99">
        <f>_xlfn.XLOOKUP(tblMaster[[#This Row],[Shift]],tblShift[Shift_Name],tblShift[Logout_Time]," ")</f>
        <v>0.75</v>
      </c>
      <c r="AG99">
        <f>_xlfn.XLOOKUP(tblMaster[[#This Row],[Shift]],tblShift[Shift_Name],tblShift[Standard_Working_Hours],"")</f>
        <v>8</v>
      </c>
      <c r="AH99" t="str">
        <f>_xlfn.XLOOKUP(tblMaster[[#This Row],[Attendance_Date]],tblHoliday[Holiday_Date],tblHoliday[Holiday_Name],"Working Day")</f>
        <v>Working Day</v>
      </c>
      <c r="AI99" t="str">
        <f>_xlfn.XLOOKUP(tblMaster[[#This Row],[Attendance_Date]],tblHoliday[Holiday_Date],tblHoliday[Holiday_Type],"Working Day ")</f>
        <v xml:space="preserve">Working Day </v>
      </c>
    </row>
    <row r="100" spans="1:35" x14ac:dyDescent="0.3">
      <c r="A100" t="s">
        <v>271</v>
      </c>
      <c r="B100" s="1">
        <v>45668</v>
      </c>
      <c r="C100" t="s">
        <v>49</v>
      </c>
      <c r="D100" t="s">
        <v>50</v>
      </c>
      <c r="E100" t="s">
        <v>38</v>
      </c>
      <c r="F100" t="s">
        <v>142</v>
      </c>
      <c r="G100" t="s">
        <v>143</v>
      </c>
      <c r="H100" t="s">
        <v>64</v>
      </c>
      <c r="I100" t="s">
        <v>65</v>
      </c>
      <c r="J100" t="s">
        <v>43</v>
      </c>
      <c r="K100" t="s">
        <v>81</v>
      </c>
      <c r="L100" s="2">
        <v>0.91666666666666663</v>
      </c>
      <c r="M100" s="2">
        <v>0.29166666666666669</v>
      </c>
      <c r="N100">
        <v>10</v>
      </c>
      <c r="O100">
        <v>2</v>
      </c>
      <c r="P100" t="s">
        <v>32</v>
      </c>
      <c r="R100">
        <v>4</v>
      </c>
      <c r="S100" t="s">
        <v>92</v>
      </c>
      <c r="T100" t="s">
        <v>68</v>
      </c>
      <c r="U100" t="str">
        <f>_xlfn.XLOOKUP(tblMaster[[#This Row],[Employee_ID]],tblEmployee[Employee_ID],tblEmployee[Work_Mode]," ")</f>
        <v>Office</v>
      </c>
      <c r="V100" t="s">
        <v>60</v>
      </c>
      <c r="W100">
        <f>_xlfn.XLOOKUP(F100,tblEmployee[Employee_ID],tblEmployee[Age],"Not Found")</f>
        <v>37</v>
      </c>
      <c r="X100" t="str">
        <f>_xlfn.XLOOKUP(F100,tblEmployee[Employee_ID],tblEmployee[Gender],"Not Found")</f>
        <v>Male</v>
      </c>
      <c r="Y100">
        <f>_xlfn.XLOOKUP(F100,tblEmployee[Employee_ID],tblEmployee[Joining_Date],"")</f>
        <v>43570</v>
      </c>
      <c r="Z100">
        <f>_xlfn.XLOOKUP(H100,tblDepartment[Department],tblDepartment[Annual_Budget_INR],"")</f>
        <v>85000000</v>
      </c>
      <c r="AA100" t="str">
        <f>_xlfn.XLOOKUP(H100,tblDepartment[Department],tblDepartment[Monthly_Target],"")</f>
        <v>99.5% System Uptime</v>
      </c>
      <c r="AB100">
        <f>_xlfn.XLOOKUP(H100,tblDepartment[Department],tblDepartment[Average_Salary_INR],"")</f>
        <v>720000</v>
      </c>
      <c r="AC100" t="str">
        <f>_xlfn.XLOOKUP(H100,tblDepartment[Department],tblDepartment[Priority_Level],"")</f>
        <v>High</v>
      </c>
      <c r="AD100" t="str">
        <f>_xlfn.XLOOKUP(H100,tblDepartment[Department],tblDepartment[Key_KPI],"")</f>
        <v>Project Delivery</v>
      </c>
      <c r="AE100">
        <f>_xlfn.XLOOKUP(tblMaster[[#This Row],[Shift]],tblShift[Shift_Name],tblShift[Login_Time],"")</f>
        <v>0.91666666666666663</v>
      </c>
      <c r="AF100">
        <f>_xlfn.XLOOKUP(tblMaster[[#This Row],[Shift]],tblShift[Shift_Name],tblShift[Logout_Time]," ")</f>
        <v>0.29166666666666669</v>
      </c>
      <c r="AG100">
        <f>_xlfn.XLOOKUP(tblMaster[[#This Row],[Shift]],tblShift[Shift_Name],tblShift[Standard_Working_Hours],"")</f>
        <v>8</v>
      </c>
      <c r="AH100" t="str">
        <f>_xlfn.XLOOKUP(tblMaster[[#This Row],[Attendance_Date]],tblHoliday[Holiday_Date],tblHoliday[Holiday_Name],"Working Day")</f>
        <v>Working Day</v>
      </c>
      <c r="AI100" t="str">
        <f>_xlfn.XLOOKUP(tblMaster[[#This Row],[Attendance_Date]],tblHoliday[Holiday_Date],tblHoliday[Holiday_Type],"Working Day ")</f>
        <v xml:space="preserve">Working Day </v>
      </c>
    </row>
    <row r="101" spans="1:35" x14ac:dyDescent="0.3">
      <c r="A101" t="s">
        <v>272</v>
      </c>
      <c r="B101" s="3">
        <v>45785</v>
      </c>
      <c r="C101" t="s">
        <v>57</v>
      </c>
      <c r="D101" t="s">
        <v>24</v>
      </c>
      <c r="E101" t="s">
        <v>25</v>
      </c>
      <c r="F101" t="s">
        <v>124</v>
      </c>
      <c r="G101" t="s">
        <v>125</v>
      </c>
      <c r="H101" t="s">
        <v>28</v>
      </c>
      <c r="I101" t="s">
        <v>29</v>
      </c>
      <c r="J101" t="s">
        <v>66</v>
      </c>
      <c r="K101" t="s">
        <v>75</v>
      </c>
      <c r="L101" s="2">
        <v>0.375</v>
      </c>
      <c r="M101" s="2">
        <v>0.75</v>
      </c>
      <c r="N101">
        <v>8</v>
      </c>
      <c r="O101">
        <v>0</v>
      </c>
      <c r="P101" t="s">
        <v>32</v>
      </c>
      <c r="R101">
        <v>5</v>
      </c>
      <c r="S101" t="s">
        <v>92</v>
      </c>
      <c r="T101" t="s">
        <v>34</v>
      </c>
      <c r="U101" t="str">
        <f>_xlfn.XLOOKUP(tblMaster[[#This Row],[Employee_ID]],tblEmployee[Employee_ID],tblEmployee[Work_Mode]," ")</f>
        <v>Office</v>
      </c>
      <c r="V101" t="s">
        <v>60</v>
      </c>
      <c r="W101">
        <f>_xlfn.XLOOKUP(F101,tblEmployee[Employee_ID],tblEmployee[Age],"Not Found")</f>
        <v>25</v>
      </c>
      <c r="X101" t="str">
        <f>_xlfn.XLOOKUP(F101,tblEmployee[Employee_ID],tblEmployee[Gender],"Not Found")</f>
        <v>Male</v>
      </c>
      <c r="Y101">
        <f>_xlfn.XLOOKUP(F101,tblEmployee[Employee_ID],tblEmployee[Joining_Date],"")</f>
        <v>43388</v>
      </c>
      <c r="Z101">
        <f>_xlfn.XLOOKUP(H101,tblDepartment[Department],tblDepartment[Annual_Budget_INR],"")</f>
        <v>24000000</v>
      </c>
      <c r="AA101" t="str">
        <f>_xlfn.XLOOKUP(H101,tblDepartment[Department],tblDepartment[Monthly_Target],"")</f>
        <v>90% Customer Satisfaction</v>
      </c>
      <c r="AB101">
        <f>_xlfn.XLOOKUP(H101,tblDepartment[Department],tblDepartment[Average_Salary_INR],"")</f>
        <v>520000</v>
      </c>
      <c r="AC101" t="str">
        <f>_xlfn.XLOOKUP(H101,tblDepartment[Department],tblDepartment[Priority_Level],"")</f>
        <v>High</v>
      </c>
      <c r="AD101" t="str">
        <f>_xlfn.XLOOKUP(H101,tblDepartment[Department],tblDepartment[Key_KPI],"")</f>
        <v>Customer Satisfaction</v>
      </c>
      <c r="AE101">
        <f>_xlfn.XLOOKUP(tblMaster[[#This Row],[Shift]],tblShift[Shift_Name],tblShift[Login_Time],"")</f>
        <v>0.375</v>
      </c>
      <c r="AF101">
        <f>_xlfn.XLOOKUP(tblMaster[[#This Row],[Shift]],tblShift[Shift_Name],tblShift[Logout_Time]," ")</f>
        <v>0.75</v>
      </c>
      <c r="AG101">
        <f>_xlfn.XLOOKUP(tblMaster[[#This Row],[Shift]],tblShift[Shift_Name],tblShift[Standard_Working_Hours],"")</f>
        <v>8</v>
      </c>
      <c r="AH101" t="str">
        <f>_xlfn.XLOOKUP(tblMaster[[#This Row],[Attendance_Date]],tblHoliday[Holiday_Date],tblHoliday[Holiday_Name],"Working Day")</f>
        <v>Working Day</v>
      </c>
      <c r="AI101" t="str">
        <f>_xlfn.XLOOKUP(tblMaster[[#This Row],[Attendance_Date]],tblHoliday[Holiday_Date],tblHoliday[Holiday_Type],"Working Day ")</f>
        <v xml:space="preserve">Working Day </v>
      </c>
    </row>
    <row r="102" spans="1:35" x14ac:dyDescent="0.3">
      <c r="A102" t="s">
        <v>273</v>
      </c>
      <c r="B102" s="3">
        <v>45730</v>
      </c>
      <c r="C102" t="s">
        <v>71</v>
      </c>
      <c r="D102" t="s">
        <v>50</v>
      </c>
      <c r="E102" t="s">
        <v>119</v>
      </c>
      <c r="F102" t="s">
        <v>58</v>
      </c>
      <c r="G102" t="s">
        <v>59</v>
      </c>
      <c r="H102" t="s">
        <v>41</v>
      </c>
      <c r="I102" t="s">
        <v>42</v>
      </c>
      <c r="J102" t="s">
        <v>30</v>
      </c>
      <c r="K102" t="s">
        <v>44</v>
      </c>
      <c r="L102" s="2">
        <v>0.375</v>
      </c>
      <c r="M102" s="2">
        <v>0.75</v>
      </c>
      <c r="N102">
        <v>8</v>
      </c>
      <c r="O102">
        <v>0</v>
      </c>
      <c r="P102" t="s">
        <v>32</v>
      </c>
      <c r="R102">
        <v>5</v>
      </c>
      <c r="S102" t="s">
        <v>45</v>
      </c>
      <c r="T102" t="s">
        <v>46</v>
      </c>
      <c r="U102" t="str">
        <f>_xlfn.XLOOKUP(tblMaster[[#This Row],[Employee_ID]],tblEmployee[Employee_ID],tblEmployee[Work_Mode]," ")</f>
        <v>Hybrid</v>
      </c>
      <c r="V102" t="s">
        <v>35</v>
      </c>
      <c r="W102">
        <f>_xlfn.XLOOKUP(F102,tblEmployee[Employee_ID],tblEmployee[Age],"Not Found")</f>
        <v>23</v>
      </c>
      <c r="X102" t="str">
        <f>_xlfn.XLOOKUP(F102,tblEmployee[Employee_ID],tblEmployee[Gender],"Not Found")</f>
        <v>Female</v>
      </c>
      <c r="Y102">
        <f>_xlfn.XLOOKUP(F102,tblEmployee[Employee_ID],tblEmployee[Joining_Date],"")</f>
        <v>45153</v>
      </c>
      <c r="Z102">
        <f>_xlfn.XLOOKUP(H102,tblDepartment[Department],tblDepartment[Annual_Budget_INR],"")</f>
        <v>34000000</v>
      </c>
      <c r="AA102" t="str">
        <f>_xlfn.XLOOKUP(H102,tblDepartment[Department],tblDepartment[Monthly_Target],"")</f>
        <v>95% Process Efficiency</v>
      </c>
      <c r="AB102">
        <f>_xlfn.XLOOKUP(H102,tblDepartment[Department],tblDepartment[Average_Salary_INR],"")</f>
        <v>610000</v>
      </c>
      <c r="AC102" t="str">
        <f>_xlfn.XLOOKUP(H102,tblDepartment[Department],tblDepartment[Priority_Level],"")</f>
        <v>High</v>
      </c>
      <c r="AD102" t="str">
        <f>_xlfn.XLOOKUP(H102,tblDepartment[Department],tblDepartment[Key_KPI],"")</f>
        <v>Operational Efficiency</v>
      </c>
      <c r="AE102">
        <f>_xlfn.XLOOKUP(tblMaster[[#This Row],[Shift]],tblShift[Shift_Name],tblShift[Login_Time],"")</f>
        <v>0.41666666666666669</v>
      </c>
      <c r="AF102">
        <f>_xlfn.XLOOKUP(tblMaster[[#This Row],[Shift]],tblShift[Shift_Name],tblShift[Logout_Time]," ")</f>
        <v>0.79166666666666663</v>
      </c>
      <c r="AG102">
        <f>_xlfn.XLOOKUP(tblMaster[[#This Row],[Shift]],tblShift[Shift_Name],tblShift[Standard_Working_Hours],"")</f>
        <v>8</v>
      </c>
      <c r="AH102" t="str">
        <f>_xlfn.XLOOKUP(tblMaster[[#This Row],[Attendance_Date]],tblHoliday[Holiday_Date],tblHoliday[Holiday_Name],"Working Day")</f>
        <v>Working Day</v>
      </c>
      <c r="AI102" t="str">
        <f>_xlfn.XLOOKUP(tblMaster[[#This Row],[Attendance_Date]],tblHoliday[Holiday_Date],tblHoliday[Holiday_Type],"Working Day ")</f>
        <v xml:space="preserve">Working Day </v>
      </c>
    </row>
    <row r="103" spans="1:35" hidden="1" x14ac:dyDescent="0.3">
      <c r="A103" t="s">
        <v>274</v>
      </c>
      <c r="B103" s="1">
        <v>45750</v>
      </c>
      <c r="C103" t="s">
        <v>37</v>
      </c>
      <c r="D103" t="s">
        <v>24</v>
      </c>
      <c r="E103" t="s">
        <v>25</v>
      </c>
      <c r="F103" t="s">
        <v>275</v>
      </c>
      <c r="G103" t="s">
        <v>276</v>
      </c>
      <c r="H103" t="s">
        <v>64</v>
      </c>
      <c r="I103" t="s">
        <v>65</v>
      </c>
      <c r="J103" t="s">
        <v>100</v>
      </c>
      <c r="K103" t="s">
        <v>75</v>
      </c>
      <c r="L103" s="2">
        <v>0.375</v>
      </c>
      <c r="M103" s="2">
        <v>0.75</v>
      </c>
      <c r="N103">
        <v>9</v>
      </c>
      <c r="O103">
        <v>1</v>
      </c>
      <c r="P103" t="s">
        <v>32</v>
      </c>
      <c r="R103">
        <v>5</v>
      </c>
      <c r="S103" t="s">
        <v>33</v>
      </c>
      <c r="T103" t="s">
        <v>68</v>
      </c>
      <c r="U103" t="s">
        <v>55</v>
      </c>
      <c r="V103" t="s">
        <v>69</v>
      </c>
      <c r="W103">
        <f>_xlfn.XLOOKUP(F103,tblEmployee[Employee_ID],tblEmployee[Age],"Not Found")</f>
        <v>29</v>
      </c>
      <c r="X103" t="str">
        <f>_xlfn.XLOOKUP(F103,tblEmployee[Employee_ID],tblEmployee[Gender],"Not Found")</f>
        <v>Male</v>
      </c>
      <c r="Y103">
        <f>_xlfn.XLOOKUP(F103,tblEmployee[Employee_ID],tblEmployee[Joining_Date],"")</f>
        <v>43692</v>
      </c>
      <c r="Z103">
        <f>_xlfn.XLOOKUP(H103,tblDepartment[Department],tblDepartment[Annual_Budget_INR],"")</f>
        <v>85000000</v>
      </c>
      <c r="AA103" t="str">
        <f>_xlfn.XLOOKUP(H103,tblDepartment[Department],tblDepartment[Monthly_Target],"")</f>
        <v>99.5% System Uptime</v>
      </c>
      <c r="AB103">
        <f>_xlfn.XLOOKUP(H103,tblDepartment[Department],tblDepartment[Average_Salary_INR],"")</f>
        <v>720000</v>
      </c>
      <c r="AC103" t="str">
        <f>_xlfn.XLOOKUP(H103,tblDepartment[Department],tblDepartment[Priority_Level],"")</f>
        <v>High</v>
      </c>
      <c r="AD103" t="str">
        <f>_xlfn.XLOOKUP(H103,tblDepartment[Department],tblDepartment[Key_KPI],"")</f>
        <v>Project Delivery</v>
      </c>
      <c r="AE103">
        <f>_xlfn.XLOOKUP(tblMaster[[#This Row],[Shift]],tblShift[Shift_Name],tblShift[Login_Time],"")</f>
        <v>0.375</v>
      </c>
      <c r="AF103">
        <f>_xlfn.XLOOKUP(tblMaster[[#This Row],[Shift]],tblShift[Shift_Name],tblShift[Logout_Time]," ")</f>
        <v>0.75</v>
      </c>
      <c r="AG103">
        <f>_xlfn.XLOOKUP(tblMaster[[#This Row],[Shift]],tblShift[Shift_Name],tblShift[Standard_Working_Hours],"")</f>
        <v>8</v>
      </c>
      <c r="AH103" t="str">
        <f>_xlfn.XLOOKUP(tblMaster[[#This Row],[Attendance_Date]],tblHoliday[Holiday_Date],tblHoliday[Holiday_Name],"Working Day")</f>
        <v>Working Day</v>
      </c>
      <c r="AI103" t="str">
        <f>_xlfn.XLOOKUP(tblMaster[[#This Row],[Attendance_Date]],tblHoliday[Holiday_Date],tblHoliday[Holiday_Type],"Working Day ")</f>
        <v xml:space="preserve">Working Day </v>
      </c>
    </row>
    <row r="104" spans="1:35" hidden="1" x14ac:dyDescent="0.3">
      <c r="A104" t="s">
        <v>277</v>
      </c>
      <c r="B104" s="1">
        <v>45676</v>
      </c>
      <c r="C104" t="s">
        <v>49</v>
      </c>
      <c r="D104" t="s">
        <v>50</v>
      </c>
      <c r="E104" t="s">
        <v>103</v>
      </c>
      <c r="F104" t="s">
        <v>88</v>
      </c>
      <c r="G104" t="s">
        <v>89</v>
      </c>
      <c r="H104" t="s">
        <v>90</v>
      </c>
      <c r="I104" t="s">
        <v>91</v>
      </c>
      <c r="J104" t="s">
        <v>43</v>
      </c>
      <c r="K104" t="s">
        <v>54</v>
      </c>
      <c r="L104" s="2">
        <v>0.375</v>
      </c>
      <c r="M104" s="2">
        <v>0.75</v>
      </c>
      <c r="N104">
        <v>8</v>
      </c>
      <c r="O104">
        <v>0</v>
      </c>
      <c r="P104" t="s">
        <v>32</v>
      </c>
      <c r="R104">
        <v>3</v>
      </c>
      <c r="S104" t="s">
        <v>45</v>
      </c>
      <c r="T104" t="s">
        <v>93</v>
      </c>
      <c r="U104" t="s">
        <v>55</v>
      </c>
      <c r="W104">
        <f>_xlfn.XLOOKUP(F104,tblEmployee[Employee_ID],tblEmployee[Age],"Not Found")</f>
        <v>34</v>
      </c>
      <c r="X104" t="str">
        <f>_xlfn.XLOOKUP(F104,tblEmployee[Employee_ID],tblEmployee[Gender],"Not Found")</f>
        <v>Female</v>
      </c>
      <c r="Y104">
        <f>_xlfn.XLOOKUP(F104,tblEmployee[Employee_ID],tblEmployee[Joining_Date],"")</f>
        <v>44027</v>
      </c>
      <c r="Z104">
        <f>_xlfn.XLOOKUP(H104,tblDepartment[Department],tblDepartment[Annual_Budget_INR],"")</f>
        <v>18000000</v>
      </c>
      <c r="AA104" t="str">
        <f>_xlfn.XLOOKUP(H104,tblDepartment[Department],tblDepartment[Monthly_Target],"")</f>
        <v>&lt;30 Days Hiring Cycle</v>
      </c>
      <c r="AB104">
        <f>_xlfn.XLOOKUP(H104,tblDepartment[Department],tblDepartment[Average_Salary_INR],"")</f>
        <v>560000</v>
      </c>
      <c r="AC104" t="str">
        <f>_xlfn.XLOOKUP(H104,tblDepartment[Department],tblDepartment[Priority_Level],"")</f>
        <v>Medium</v>
      </c>
      <c r="AD104" t="str">
        <f>_xlfn.XLOOKUP(H104,tblDepartment[Department],tblDepartment[Key_KPI],"")</f>
        <v>Hiring &amp; Retention</v>
      </c>
      <c r="AE104">
        <f>_xlfn.XLOOKUP(tblMaster[[#This Row],[Shift]],tblShift[Shift_Name],tblShift[Login_Time],"")</f>
        <v>0.58333333333333337</v>
      </c>
      <c r="AF104">
        <f>_xlfn.XLOOKUP(tblMaster[[#This Row],[Shift]],tblShift[Shift_Name],tblShift[Logout_Time]," ")</f>
        <v>0.95833333333333337</v>
      </c>
      <c r="AG104">
        <f>_xlfn.XLOOKUP(tblMaster[[#This Row],[Shift]],tblShift[Shift_Name],tblShift[Standard_Working_Hours],"")</f>
        <v>8</v>
      </c>
      <c r="AH104" t="str">
        <f>_xlfn.XLOOKUP(tblMaster[[#This Row],[Attendance_Date]],tblHoliday[Holiday_Date],tblHoliday[Holiday_Name],"Working Day")</f>
        <v>Working Day</v>
      </c>
      <c r="AI104" t="str">
        <f>_xlfn.XLOOKUP(tblMaster[[#This Row],[Attendance_Date]],tblHoliday[Holiday_Date],tblHoliday[Holiday_Type],"Working Day ")</f>
        <v xml:space="preserve">Working Day </v>
      </c>
    </row>
    <row r="105" spans="1:35" hidden="1" x14ac:dyDescent="0.3">
      <c r="A105" t="s">
        <v>278</v>
      </c>
      <c r="B105" s="3">
        <v>45730</v>
      </c>
      <c r="C105" t="s">
        <v>71</v>
      </c>
      <c r="D105" t="s">
        <v>50</v>
      </c>
      <c r="E105" t="s">
        <v>119</v>
      </c>
      <c r="F105" t="s">
        <v>58</v>
      </c>
      <c r="G105" t="s">
        <v>59</v>
      </c>
      <c r="H105" t="s">
        <v>41</v>
      </c>
      <c r="I105" t="s">
        <v>42</v>
      </c>
      <c r="J105" t="s">
        <v>30</v>
      </c>
      <c r="K105" t="s">
        <v>75</v>
      </c>
      <c r="L105" s="2">
        <v>0.375</v>
      </c>
      <c r="M105" s="2">
        <v>0.75</v>
      </c>
      <c r="N105">
        <v>8</v>
      </c>
      <c r="O105">
        <v>0</v>
      </c>
      <c r="P105" t="s">
        <v>32</v>
      </c>
      <c r="S105" t="s">
        <v>92</v>
      </c>
      <c r="T105" t="s">
        <v>46</v>
      </c>
      <c r="U105" t="s">
        <v>85</v>
      </c>
      <c r="V105" t="s">
        <v>35</v>
      </c>
      <c r="W105">
        <f>_xlfn.XLOOKUP(F105,tblEmployee[Employee_ID],tblEmployee[Age],"Not Found")</f>
        <v>23</v>
      </c>
      <c r="X105" t="str">
        <f>_xlfn.XLOOKUP(F105,tblEmployee[Employee_ID],tblEmployee[Gender],"Not Found")</f>
        <v>Female</v>
      </c>
      <c r="Y105">
        <f>_xlfn.XLOOKUP(F105,tblEmployee[Employee_ID],tblEmployee[Joining_Date],"")</f>
        <v>45153</v>
      </c>
      <c r="Z105">
        <f>_xlfn.XLOOKUP(H105,tblDepartment[Department],tblDepartment[Annual_Budget_INR],"")</f>
        <v>34000000</v>
      </c>
      <c r="AA105" t="str">
        <f>_xlfn.XLOOKUP(H105,tblDepartment[Department],tblDepartment[Monthly_Target],"")</f>
        <v>95% Process Efficiency</v>
      </c>
      <c r="AB105">
        <f>_xlfn.XLOOKUP(H105,tblDepartment[Department],tblDepartment[Average_Salary_INR],"")</f>
        <v>610000</v>
      </c>
      <c r="AC105" t="str">
        <f>_xlfn.XLOOKUP(H105,tblDepartment[Department],tblDepartment[Priority_Level],"")</f>
        <v>High</v>
      </c>
      <c r="AD105" t="str">
        <f>_xlfn.XLOOKUP(H105,tblDepartment[Department],tblDepartment[Key_KPI],"")</f>
        <v>Operational Efficiency</v>
      </c>
      <c r="AE105">
        <f>_xlfn.XLOOKUP(tblMaster[[#This Row],[Shift]],tblShift[Shift_Name],tblShift[Login_Time],"")</f>
        <v>0.375</v>
      </c>
      <c r="AF105">
        <f>_xlfn.XLOOKUP(tblMaster[[#This Row],[Shift]],tblShift[Shift_Name],tblShift[Logout_Time]," ")</f>
        <v>0.75</v>
      </c>
      <c r="AG105">
        <f>_xlfn.XLOOKUP(tblMaster[[#This Row],[Shift]],tblShift[Shift_Name],tblShift[Standard_Working_Hours],"")</f>
        <v>8</v>
      </c>
      <c r="AH105" t="str">
        <f>_xlfn.XLOOKUP(tblMaster[[#This Row],[Attendance_Date]],tblHoliday[Holiday_Date],tblHoliday[Holiday_Name],"Working Day")</f>
        <v>Working Day</v>
      </c>
      <c r="AI105" t="str">
        <f>_xlfn.XLOOKUP(tblMaster[[#This Row],[Attendance_Date]],tblHoliday[Holiday_Date],tblHoliday[Holiday_Type],"Working Day ")</f>
        <v xml:space="preserve">Working Day </v>
      </c>
    </row>
    <row r="106" spans="1:35" hidden="1" x14ac:dyDescent="0.3">
      <c r="A106" t="s">
        <v>279</v>
      </c>
      <c r="B106" s="3">
        <v>45716</v>
      </c>
      <c r="C106" t="s">
        <v>95</v>
      </c>
      <c r="D106" t="s">
        <v>50</v>
      </c>
      <c r="E106" t="s">
        <v>119</v>
      </c>
      <c r="F106" t="s">
        <v>120</v>
      </c>
      <c r="G106" t="s">
        <v>121</v>
      </c>
      <c r="H106" t="s">
        <v>41</v>
      </c>
      <c r="I106" t="s">
        <v>42</v>
      </c>
      <c r="J106" t="s">
        <v>74</v>
      </c>
      <c r="K106" t="s">
        <v>81</v>
      </c>
      <c r="L106" s="2">
        <v>0.91666666666666663</v>
      </c>
      <c r="M106" s="2">
        <v>0.29166666666666669</v>
      </c>
      <c r="N106">
        <v>9</v>
      </c>
      <c r="O106">
        <v>1</v>
      </c>
      <c r="P106" t="s">
        <v>32</v>
      </c>
      <c r="R106">
        <v>4</v>
      </c>
      <c r="S106" t="s">
        <v>45</v>
      </c>
      <c r="T106" t="s">
        <v>46</v>
      </c>
      <c r="U106" t="s">
        <v>55</v>
      </c>
      <c r="V106" t="s">
        <v>60</v>
      </c>
      <c r="W106">
        <f>_xlfn.XLOOKUP(F106,tblEmployee[Employee_ID],tblEmployee[Age],"Not Found")</f>
        <v>34</v>
      </c>
      <c r="X106" t="str">
        <f>_xlfn.XLOOKUP(F106,tblEmployee[Employee_ID],tblEmployee[Gender],"Not Found")</f>
        <v>Female</v>
      </c>
      <c r="Y106">
        <f>_xlfn.XLOOKUP(F106,tblEmployee[Employee_ID],tblEmployee[Joining_Date],"")</f>
        <v>44941</v>
      </c>
      <c r="Z106">
        <f>_xlfn.XLOOKUP(H106,tblDepartment[Department],tblDepartment[Annual_Budget_INR],"")</f>
        <v>34000000</v>
      </c>
      <c r="AA106" t="str">
        <f>_xlfn.XLOOKUP(H106,tblDepartment[Department],tblDepartment[Monthly_Target],"")</f>
        <v>95% Process Efficiency</v>
      </c>
      <c r="AB106">
        <f>_xlfn.XLOOKUP(H106,tblDepartment[Department],tblDepartment[Average_Salary_INR],"")</f>
        <v>610000</v>
      </c>
      <c r="AC106" t="str">
        <f>_xlfn.XLOOKUP(H106,tblDepartment[Department],tblDepartment[Priority_Level],"")</f>
        <v>High</v>
      </c>
      <c r="AD106" t="str">
        <f>_xlfn.XLOOKUP(H106,tblDepartment[Department],tblDepartment[Key_KPI],"")</f>
        <v>Operational Efficiency</v>
      </c>
      <c r="AE106">
        <f>_xlfn.XLOOKUP(tblMaster[[#This Row],[Shift]],tblShift[Shift_Name],tblShift[Login_Time],"")</f>
        <v>0.91666666666666663</v>
      </c>
      <c r="AF106">
        <f>_xlfn.XLOOKUP(tblMaster[[#This Row],[Shift]],tblShift[Shift_Name],tblShift[Logout_Time]," ")</f>
        <v>0.29166666666666669</v>
      </c>
      <c r="AG106">
        <f>_xlfn.XLOOKUP(tblMaster[[#This Row],[Shift]],tblShift[Shift_Name],tblShift[Standard_Working_Hours],"")</f>
        <v>8</v>
      </c>
      <c r="AH106" t="str">
        <f>_xlfn.XLOOKUP(tblMaster[[#This Row],[Attendance_Date]],tblHoliday[Holiday_Date],tblHoliday[Holiday_Name],"Working Day")</f>
        <v>Working Day</v>
      </c>
      <c r="AI106" t="str">
        <f>_xlfn.XLOOKUP(tblMaster[[#This Row],[Attendance_Date]],tblHoliday[Holiday_Date],tblHoliday[Holiday_Type],"Working Day ")</f>
        <v xml:space="preserve">Working Day </v>
      </c>
    </row>
    <row r="107" spans="1:35" hidden="1" x14ac:dyDescent="0.3">
      <c r="A107" t="s">
        <v>280</v>
      </c>
      <c r="B107" s="3">
        <v>45825</v>
      </c>
      <c r="C107" t="s">
        <v>23</v>
      </c>
      <c r="D107" t="s">
        <v>24</v>
      </c>
      <c r="E107" t="s">
        <v>87</v>
      </c>
      <c r="F107" t="s">
        <v>281</v>
      </c>
      <c r="G107" t="s">
        <v>282</v>
      </c>
      <c r="H107" t="s">
        <v>90</v>
      </c>
      <c r="I107" t="s">
        <v>91</v>
      </c>
      <c r="J107" t="s">
        <v>30</v>
      </c>
      <c r="K107" t="s">
        <v>54</v>
      </c>
      <c r="L107" s="2">
        <v>0.375</v>
      </c>
      <c r="M107" s="2">
        <v>0.75</v>
      </c>
      <c r="N107">
        <v>8</v>
      </c>
      <c r="O107">
        <v>0</v>
      </c>
      <c r="P107" t="s">
        <v>32</v>
      </c>
      <c r="R107">
        <v>3</v>
      </c>
      <c r="S107" t="s">
        <v>67</v>
      </c>
      <c r="T107" t="s">
        <v>93</v>
      </c>
      <c r="U107" t="s">
        <v>55</v>
      </c>
      <c r="V107" t="s">
        <v>35</v>
      </c>
      <c r="W107">
        <f>_xlfn.XLOOKUP(F107,tblEmployee[Employee_ID],tblEmployee[Age],"Not Found")</f>
        <v>31</v>
      </c>
      <c r="X107" t="str">
        <f>_xlfn.XLOOKUP(F107,tblEmployee[Employee_ID],tblEmployee[Gender],"Not Found")</f>
        <v>Male</v>
      </c>
      <c r="Y107">
        <f>_xlfn.XLOOKUP(F107,tblEmployee[Employee_ID],tblEmployee[Joining_Date],"")</f>
        <v>44119</v>
      </c>
      <c r="Z107">
        <f>_xlfn.XLOOKUP(H107,tblDepartment[Department],tblDepartment[Annual_Budget_INR],"")</f>
        <v>18000000</v>
      </c>
      <c r="AA107" t="str">
        <f>_xlfn.XLOOKUP(H107,tblDepartment[Department],tblDepartment[Monthly_Target],"")</f>
        <v>&lt;30 Days Hiring Cycle</v>
      </c>
      <c r="AB107">
        <f>_xlfn.XLOOKUP(H107,tblDepartment[Department],tblDepartment[Average_Salary_INR],"")</f>
        <v>560000</v>
      </c>
      <c r="AC107" t="str">
        <f>_xlfn.XLOOKUP(H107,tblDepartment[Department],tblDepartment[Priority_Level],"")</f>
        <v>Medium</v>
      </c>
      <c r="AD107" t="str">
        <f>_xlfn.XLOOKUP(H107,tblDepartment[Department],tblDepartment[Key_KPI],"")</f>
        <v>Hiring &amp; Retention</v>
      </c>
      <c r="AE107">
        <f>_xlfn.XLOOKUP(tblMaster[[#This Row],[Shift]],tblShift[Shift_Name],tblShift[Login_Time],"")</f>
        <v>0.58333333333333337</v>
      </c>
      <c r="AF107">
        <f>_xlfn.XLOOKUP(tblMaster[[#This Row],[Shift]],tblShift[Shift_Name],tblShift[Logout_Time]," ")</f>
        <v>0.95833333333333337</v>
      </c>
      <c r="AG107">
        <f>_xlfn.XLOOKUP(tblMaster[[#This Row],[Shift]],tblShift[Shift_Name],tblShift[Standard_Working_Hours],"")</f>
        <v>8</v>
      </c>
      <c r="AH107" t="str">
        <f>_xlfn.XLOOKUP(tblMaster[[#This Row],[Attendance_Date]],tblHoliday[Holiday_Date],tblHoliday[Holiday_Name],"Working Day")</f>
        <v>Working Day</v>
      </c>
      <c r="AI107" t="str">
        <f>_xlfn.XLOOKUP(tblMaster[[#This Row],[Attendance_Date]],tblHoliday[Holiday_Date],tblHoliday[Holiday_Type],"Working Day ")</f>
        <v xml:space="preserve">Working Day </v>
      </c>
    </row>
    <row r="108" spans="1:35" hidden="1" x14ac:dyDescent="0.3">
      <c r="A108" t="s">
        <v>283</v>
      </c>
      <c r="B108" s="3">
        <v>45782</v>
      </c>
      <c r="C108" t="s">
        <v>57</v>
      </c>
      <c r="D108" t="s">
        <v>24</v>
      </c>
      <c r="E108" t="s">
        <v>109</v>
      </c>
      <c r="F108" t="s">
        <v>77</v>
      </c>
      <c r="G108" t="s">
        <v>78</v>
      </c>
      <c r="H108" t="s">
        <v>79</v>
      </c>
      <c r="I108" t="s">
        <v>80</v>
      </c>
      <c r="J108" t="s">
        <v>30</v>
      </c>
      <c r="K108" t="s">
        <v>81</v>
      </c>
      <c r="L108" s="2">
        <v>0.91666666666666663</v>
      </c>
      <c r="M108" s="2">
        <v>0.29166666666666669</v>
      </c>
      <c r="N108">
        <v>8.5</v>
      </c>
      <c r="O108">
        <v>0.5</v>
      </c>
      <c r="P108" t="s">
        <v>32</v>
      </c>
      <c r="R108">
        <v>5</v>
      </c>
      <c r="S108" t="s">
        <v>45</v>
      </c>
      <c r="T108" t="s">
        <v>84</v>
      </c>
      <c r="U108" t="s">
        <v>47</v>
      </c>
      <c r="V108" t="s">
        <v>60</v>
      </c>
      <c r="W108">
        <f>_xlfn.XLOOKUP(F108,tblEmployee[Employee_ID],tblEmployee[Age],"Not Found")</f>
        <v>26</v>
      </c>
      <c r="X108" t="str">
        <f>_xlfn.XLOOKUP(F108,tblEmployee[Employee_ID],tblEmployee[Gender],"Not Found")</f>
        <v>Female</v>
      </c>
      <c r="Y108">
        <f>_xlfn.XLOOKUP(F108,tblEmployee[Employee_ID],tblEmployee[Joining_Date],"")</f>
        <v>44696</v>
      </c>
      <c r="Z108">
        <f>_xlfn.XLOOKUP(H108,tblDepartment[Department],tblDepartment[Annual_Budget_INR],"")</f>
        <v>26000000</v>
      </c>
      <c r="AA108" t="str">
        <f>_xlfn.XLOOKUP(H108,tblDepartment[Department],tblDepartment[Monthly_Target],"")</f>
        <v>100% Payroll Accuracy</v>
      </c>
      <c r="AB108">
        <f>_xlfn.XLOOKUP(H108,tblDepartment[Department],tblDepartment[Average_Salary_INR],"")</f>
        <v>640000</v>
      </c>
      <c r="AC108" t="str">
        <f>_xlfn.XLOOKUP(H108,tblDepartment[Department],tblDepartment[Priority_Level],"")</f>
        <v>High</v>
      </c>
      <c r="AD108" t="str">
        <f>_xlfn.XLOOKUP(H108,tblDepartment[Department],tblDepartment[Key_KPI],"")</f>
        <v>Financial Compliance</v>
      </c>
      <c r="AE108">
        <f>_xlfn.XLOOKUP(tblMaster[[#This Row],[Shift]],tblShift[Shift_Name],tblShift[Login_Time],"")</f>
        <v>0.91666666666666663</v>
      </c>
      <c r="AF108">
        <f>_xlfn.XLOOKUP(tblMaster[[#This Row],[Shift]],tblShift[Shift_Name],tblShift[Logout_Time]," ")</f>
        <v>0.29166666666666669</v>
      </c>
      <c r="AG108">
        <f>_xlfn.XLOOKUP(tblMaster[[#This Row],[Shift]],tblShift[Shift_Name],tblShift[Standard_Working_Hours],"")</f>
        <v>8</v>
      </c>
      <c r="AH108" t="str">
        <f>_xlfn.XLOOKUP(tblMaster[[#This Row],[Attendance_Date]],tblHoliday[Holiday_Date],tblHoliday[Holiday_Name],"Working Day")</f>
        <v>Working Day</v>
      </c>
      <c r="AI108" t="str">
        <f>_xlfn.XLOOKUP(tblMaster[[#This Row],[Attendance_Date]],tblHoliday[Holiday_Date],tblHoliday[Holiday_Type],"Working Day ")</f>
        <v xml:space="preserve">Working Day </v>
      </c>
    </row>
    <row r="109" spans="1:35" hidden="1" x14ac:dyDescent="0.3">
      <c r="A109" t="s">
        <v>284</v>
      </c>
      <c r="B109" s="3">
        <v>45673</v>
      </c>
      <c r="C109" t="s">
        <v>49</v>
      </c>
      <c r="D109" t="s">
        <v>50</v>
      </c>
      <c r="E109" t="s">
        <v>25</v>
      </c>
      <c r="F109" t="s">
        <v>201</v>
      </c>
      <c r="G109" t="s">
        <v>202</v>
      </c>
      <c r="H109" t="s">
        <v>112</v>
      </c>
      <c r="I109" t="s">
        <v>113</v>
      </c>
      <c r="J109" t="s">
        <v>66</v>
      </c>
      <c r="K109" t="s">
        <v>31</v>
      </c>
      <c r="L109" s="2">
        <v>0.38194444444444442</v>
      </c>
      <c r="M109" s="2">
        <v>0.75</v>
      </c>
      <c r="N109">
        <v>8</v>
      </c>
      <c r="O109">
        <v>0</v>
      </c>
      <c r="P109" t="s">
        <v>32</v>
      </c>
      <c r="R109">
        <v>4</v>
      </c>
      <c r="S109" t="s">
        <v>45</v>
      </c>
      <c r="T109" t="s">
        <v>114</v>
      </c>
      <c r="U109" t="s">
        <v>47</v>
      </c>
      <c r="V109" t="s">
        <v>60</v>
      </c>
      <c r="W109">
        <f>_xlfn.XLOOKUP(F109,tblEmployee[Employee_ID],tblEmployee[Age],"Not Found")</f>
        <v>35</v>
      </c>
      <c r="X109" t="str">
        <f>_xlfn.XLOOKUP(F109,tblEmployee[Employee_ID],tblEmployee[Gender],"Not Found")</f>
        <v>Male</v>
      </c>
      <c r="Y109">
        <f>_xlfn.XLOOKUP(F109,tblEmployee[Employee_ID],tblEmployee[Joining_Date],"")</f>
        <v>44423</v>
      </c>
      <c r="Z109">
        <f>_xlfn.XLOOKUP(H109,tblDepartment[Department],tblDepartment[Annual_Budget_INR],"")</f>
        <v>42000000</v>
      </c>
      <c r="AA109" t="str">
        <f>_xlfn.XLOOKUP(H109,tblDepartment[Department],tblDepartment[Monthly_Target],"")</f>
        <v>₹2.5 Cr Monthly Sales</v>
      </c>
      <c r="AB109">
        <f>_xlfn.XLOOKUP(H109,tblDepartment[Department],tblDepartment[Average_Salary_INR],"")</f>
        <v>680000</v>
      </c>
      <c r="AC109" t="str">
        <f>_xlfn.XLOOKUP(H109,tblDepartment[Department],tblDepartment[Priority_Level],"")</f>
        <v>High</v>
      </c>
      <c r="AD109" t="str">
        <f>_xlfn.XLOOKUP(H109,tblDepartment[Department],tblDepartment[Key_KPI],"")</f>
        <v>Revenue Achievement</v>
      </c>
      <c r="AE109">
        <f>_xlfn.XLOOKUP(tblMaster[[#This Row],[Shift]],tblShift[Shift_Name],tblShift[Login_Time],"")</f>
        <v>0.25</v>
      </c>
      <c r="AF109">
        <f>_xlfn.XLOOKUP(tblMaster[[#This Row],[Shift]],tblShift[Shift_Name],tblShift[Logout_Time]," ")</f>
        <v>0.625</v>
      </c>
      <c r="AG109">
        <f>_xlfn.XLOOKUP(tblMaster[[#This Row],[Shift]],tblShift[Shift_Name],tblShift[Standard_Working_Hours],"")</f>
        <v>8</v>
      </c>
      <c r="AH109" t="str">
        <f>_xlfn.XLOOKUP(tblMaster[[#This Row],[Attendance_Date]],tblHoliday[Holiday_Date],tblHoliday[Holiday_Name],"Working Day")</f>
        <v>Working Day</v>
      </c>
      <c r="AI109" t="str">
        <f>_xlfn.XLOOKUP(tblMaster[[#This Row],[Attendance_Date]],tblHoliday[Holiday_Date],tblHoliday[Holiday_Type],"Working Day ")</f>
        <v xml:space="preserve">Working Day </v>
      </c>
    </row>
    <row r="110" spans="1:35" x14ac:dyDescent="0.3">
      <c r="A110" t="s">
        <v>285</v>
      </c>
      <c r="B110" s="1">
        <v>45810</v>
      </c>
      <c r="C110" t="s">
        <v>23</v>
      </c>
      <c r="D110" t="s">
        <v>24</v>
      </c>
      <c r="E110" t="s">
        <v>109</v>
      </c>
      <c r="F110" t="s">
        <v>72</v>
      </c>
      <c r="G110" t="s">
        <v>73</v>
      </c>
      <c r="H110" t="s">
        <v>28</v>
      </c>
      <c r="I110" t="s">
        <v>29</v>
      </c>
      <c r="J110" t="s">
        <v>74</v>
      </c>
      <c r="K110" t="s">
        <v>81</v>
      </c>
      <c r="L110" s="2">
        <v>0.91666666666666663</v>
      </c>
      <c r="M110" s="2">
        <v>0.29166666666666669</v>
      </c>
      <c r="N110">
        <v>9</v>
      </c>
      <c r="O110">
        <v>1</v>
      </c>
      <c r="P110" t="s">
        <v>32</v>
      </c>
      <c r="R110">
        <v>4</v>
      </c>
      <c r="S110" t="s">
        <v>92</v>
      </c>
      <c r="T110" t="s">
        <v>34</v>
      </c>
      <c r="U110" t="str">
        <f>_xlfn.XLOOKUP(tblMaster[[#This Row],[Employee_ID]],tblEmployee[Employee_ID],tblEmployee[Work_Mode]," ")</f>
        <v>Office</v>
      </c>
      <c r="V110" t="s">
        <v>60</v>
      </c>
      <c r="W110">
        <f>_xlfn.XLOOKUP(F110,tblEmployee[Employee_ID],tblEmployee[Age],"Not Found")</f>
        <v>28</v>
      </c>
      <c r="X110" t="str">
        <f>_xlfn.XLOOKUP(F110,tblEmployee[Employee_ID],tblEmployee[Gender],"Not Found")</f>
        <v>Female</v>
      </c>
      <c r="Y110">
        <f>_xlfn.XLOOKUP(F110,tblEmployee[Employee_ID],tblEmployee[Joining_Date],"")</f>
        <v>43296</v>
      </c>
      <c r="Z110">
        <f>_xlfn.XLOOKUP(H110,tblDepartment[Department],tblDepartment[Annual_Budget_INR],"")</f>
        <v>24000000</v>
      </c>
      <c r="AA110" t="str">
        <f>_xlfn.XLOOKUP(H110,tblDepartment[Department],tblDepartment[Monthly_Target],"")</f>
        <v>90% Customer Satisfaction</v>
      </c>
      <c r="AB110">
        <f>_xlfn.XLOOKUP(H110,tblDepartment[Department],tblDepartment[Average_Salary_INR],"")</f>
        <v>520000</v>
      </c>
      <c r="AC110" t="str">
        <f>_xlfn.XLOOKUP(H110,tblDepartment[Department],tblDepartment[Priority_Level],"")</f>
        <v>High</v>
      </c>
      <c r="AD110" t="str">
        <f>_xlfn.XLOOKUP(H110,tblDepartment[Department],tblDepartment[Key_KPI],"")</f>
        <v>Customer Satisfaction</v>
      </c>
      <c r="AE110">
        <f>_xlfn.XLOOKUP(tblMaster[[#This Row],[Shift]],tblShift[Shift_Name],tblShift[Login_Time],"")</f>
        <v>0.91666666666666663</v>
      </c>
      <c r="AF110">
        <f>_xlfn.XLOOKUP(tblMaster[[#This Row],[Shift]],tblShift[Shift_Name],tblShift[Logout_Time]," ")</f>
        <v>0.29166666666666669</v>
      </c>
      <c r="AG110">
        <f>_xlfn.XLOOKUP(tblMaster[[#This Row],[Shift]],tblShift[Shift_Name],tblShift[Standard_Working_Hours],"")</f>
        <v>8</v>
      </c>
      <c r="AH110" t="str">
        <f>_xlfn.XLOOKUP(tblMaster[[#This Row],[Attendance_Date]],tblHoliday[Holiday_Date],tblHoliday[Holiday_Name],"Working Day")</f>
        <v>Working Day</v>
      </c>
      <c r="AI110" t="str">
        <f>_xlfn.XLOOKUP(tblMaster[[#This Row],[Attendance_Date]],tblHoliday[Holiday_Date],tblHoliday[Holiday_Type],"Working Day ")</f>
        <v xml:space="preserve">Working Day </v>
      </c>
    </row>
    <row r="111" spans="1:35" hidden="1" x14ac:dyDescent="0.3">
      <c r="A111" t="s">
        <v>286</v>
      </c>
      <c r="B111" s="3">
        <v>45816</v>
      </c>
      <c r="C111" t="s">
        <v>23</v>
      </c>
      <c r="D111" t="s">
        <v>24</v>
      </c>
      <c r="E111" t="s">
        <v>103</v>
      </c>
      <c r="F111" t="s">
        <v>148</v>
      </c>
      <c r="G111" t="s">
        <v>149</v>
      </c>
      <c r="H111" t="s">
        <v>112</v>
      </c>
      <c r="I111" t="s">
        <v>113</v>
      </c>
      <c r="J111" t="s">
        <v>43</v>
      </c>
      <c r="K111" t="s">
        <v>75</v>
      </c>
      <c r="L111" s="2">
        <v>0.3888888888888889</v>
      </c>
      <c r="M111" s="2">
        <v>0.75</v>
      </c>
      <c r="N111">
        <v>8</v>
      </c>
      <c r="O111">
        <v>0</v>
      </c>
      <c r="P111" t="s">
        <v>32</v>
      </c>
      <c r="R111">
        <v>5</v>
      </c>
      <c r="S111" t="s">
        <v>67</v>
      </c>
      <c r="T111" t="s">
        <v>114</v>
      </c>
      <c r="U111" t="s">
        <v>47</v>
      </c>
      <c r="V111" t="s">
        <v>35</v>
      </c>
      <c r="W111">
        <f>_xlfn.XLOOKUP(F111,tblEmployee[Employee_ID],tblEmployee[Age],"Not Found")</f>
        <v>31</v>
      </c>
      <c r="X111" t="str">
        <f>_xlfn.XLOOKUP(F111,tblEmployee[Employee_ID],tblEmployee[Gender],"Not Found")</f>
        <v>Male</v>
      </c>
      <c r="Y111">
        <f>_xlfn.XLOOKUP(F111,tblEmployee[Employee_ID],tblEmployee[Joining_Date],"")</f>
        <v>44484</v>
      </c>
      <c r="Z111">
        <f>_xlfn.XLOOKUP(H111,tblDepartment[Department],tblDepartment[Annual_Budget_INR],"")</f>
        <v>42000000</v>
      </c>
      <c r="AA111" t="str">
        <f>_xlfn.XLOOKUP(H111,tblDepartment[Department],tblDepartment[Monthly_Target],"")</f>
        <v>₹2.5 Cr Monthly Sales</v>
      </c>
      <c r="AB111">
        <f>_xlfn.XLOOKUP(H111,tblDepartment[Department],tblDepartment[Average_Salary_INR],"")</f>
        <v>680000</v>
      </c>
      <c r="AC111" t="str">
        <f>_xlfn.XLOOKUP(H111,tblDepartment[Department],tblDepartment[Priority_Level],"")</f>
        <v>High</v>
      </c>
      <c r="AD111" t="str">
        <f>_xlfn.XLOOKUP(H111,tblDepartment[Department],tblDepartment[Key_KPI],"")</f>
        <v>Revenue Achievement</v>
      </c>
      <c r="AE111">
        <f>_xlfn.XLOOKUP(tblMaster[[#This Row],[Shift]],tblShift[Shift_Name],tblShift[Login_Time],"")</f>
        <v>0.375</v>
      </c>
      <c r="AF111">
        <f>_xlfn.XLOOKUP(tblMaster[[#This Row],[Shift]],tblShift[Shift_Name],tblShift[Logout_Time]," ")</f>
        <v>0.75</v>
      </c>
      <c r="AG111">
        <f>_xlfn.XLOOKUP(tblMaster[[#This Row],[Shift]],tblShift[Shift_Name],tblShift[Standard_Working_Hours],"")</f>
        <v>8</v>
      </c>
      <c r="AH111" t="str">
        <f>_xlfn.XLOOKUP(tblMaster[[#This Row],[Attendance_Date]],tblHoliday[Holiday_Date],tblHoliday[Holiday_Name],"Working Day")</f>
        <v>Working Day</v>
      </c>
      <c r="AI111" t="str">
        <f>_xlfn.XLOOKUP(tblMaster[[#This Row],[Attendance_Date]],tblHoliday[Holiday_Date],tblHoliday[Holiday_Type],"Working Day ")</f>
        <v xml:space="preserve">Working Day </v>
      </c>
    </row>
    <row r="112" spans="1:35" x14ac:dyDescent="0.3">
      <c r="A112" t="s">
        <v>287</v>
      </c>
      <c r="B112" s="3">
        <v>45707</v>
      </c>
      <c r="C112" t="s">
        <v>95</v>
      </c>
      <c r="D112" t="s">
        <v>50</v>
      </c>
      <c r="E112" t="s">
        <v>51</v>
      </c>
      <c r="F112" t="s">
        <v>288</v>
      </c>
      <c r="G112" t="s">
        <v>289</v>
      </c>
      <c r="H112" t="s">
        <v>28</v>
      </c>
      <c r="I112" t="s">
        <v>29</v>
      </c>
      <c r="J112" t="s">
        <v>74</v>
      </c>
      <c r="K112" t="s">
        <v>31</v>
      </c>
      <c r="L112" s="2">
        <v>0.375</v>
      </c>
      <c r="M112" s="2">
        <v>0.75</v>
      </c>
      <c r="N112">
        <v>8</v>
      </c>
      <c r="O112">
        <v>0</v>
      </c>
      <c r="P112" t="s">
        <v>32</v>
      </c>
      <c r="R112">
        <v>5</v>
      </c>
      <c r="S112" t="s">
        <v>45</v>
      </c>
      <c r="T112" t="s">
        <v>34</v>
      </c>
      <c r="U112" t="str">
        <f>_xlfn.XLOOKUP(tblMaster[[#This Row],[Employee_ID]],tblEmployee[Employee_ID],tblEmployee[Work_Mode]," ")</f>
        <v>Hybrid</v>
      </c>
      <c r="W112">
        <f>_xlfn.XLOOKUP(F112,tblEmployee[Employee_ID],tblEmployee[Age],"Not Found")</f>
        <v>29</v>
      </c>
      <c r="X112" t="str">
        <f>_xlfn.XLOOKUP(F112,tblEmployee[Employee_ID],tblEmployee[Gender],"Not Found")</f>
        <v>Male</v>
      </c>
      <c r="Y112">
        <f>_xlfn.XLOOKUP(F112,tblEmployee[Employee_ID],tblEmployee[Joining_Date],"")</f>
        <v>43327</v>
      </c>
      <c r="Z112">
        <f>_xlfn.XLOOKUP(H112,tblDepartment[Department],tblDepartment[Annual_Budget_INR],"")</f>
        <v>24000000</v>
      </c>
      <c r="AA112" t="str">
        <f>_xlfn.XLOOKUP(H112,tblDepartment[Department],tblDepartment[Monthly_Target],"")</f>
        <v>90% Customer Satisfaction</v>
      </c>
      <c r="AB112">
        <f>_xlfn.XLOOKUP(H112,tblDepartment[Department],tblDepartment[Average_Salary_INR],"")</f>
        <v>520000</v>
      </c>
      <c r="AC112" t="str">
        <f>_xlfn.XLOOKUP(H112,tblDepartment[Department],tblDepartment[Priority_Level],"")</f>
        <v>High</v>
      </c>
      <c r="AD112" t="str">
        <f>_xlfn.XLOOKUP(H112,tblDepartment[Department],tblDepartment[Key_KPI],"")</f>
        <v>Customer Satisfaction</v>
      </c>
      <c r="AE112">
        <f>_xlfn.XLOOKUP(tblMaster[[#This Row],[Shift]],tblShift[Shift_Name],tblShift[Login_Time],"")</f>
        <v>0.25</v>
      </c>
      <c r="AF112">
        <f>_xlfn.XLOOKUP(tblMaster[[#This Row],[Shift]],tblShift[Shift_Name],tblShift[Logout_Time]," ")</f>
        <v>0.625</v>
      </c>
      <c r="AG112">
        <f>_xlfn.XLOOKUP(tblMaster[[#This Row],[Shift]],tblShift[Shift_Name],tblShift[Standard_Working_Hours],"")</f>
        <v>8</v>
      </c>
      <c r="AH112" t="str">
        <f>_xlfn.XLOOKUP(tblMaster[[#This Row],[Attendance_Date]],tblHoliday[Holiday_Date],tblHoliday[Holiday_Name],"Working Day")</f>
        <v>Working Day</v>
      </c>
      <c r="AI112" t="str">
        <f>_xlfn.XLOOKUP(tblMaster[[#This Row],[Attendance_Date]],tblHoliday[Holiday_Date],tblHoliday[Holiday_Type],"Working Day ")</f>
        <v xml:space="preserve">Working Day </v>
      </c>
    </row>
    <row r="113" spans="1:35" hidden="1" x14ac:dyDescent="0.3">
      <c r="A113" t="s">
        <v>290</v>
      </c>
      <c r="B113" s="1">
        <v>45773</v>
      </c>
      <c r="C113" t="s">
        <v>37</v>
      </c>
      <c r="D113" t="s">
        <v>24</v>
      </c>
      <c r="E113" t="s">
        <v>38</v>
      </c>
      <c r="F113" t="s">
        <v>281</v>
      </c>
      <c r="G113" t="s">
        <v>282</v>
      </c>
      <c r="H113" t="s">
        <v>90</v>
      </c>
      <c r="I113" t="s">
        <v>91</v>
      </c>
      <c r="J113" t="s">
        <v>30</v>
      </c>
      <c r="K113" t="s">
        <v>54</v>
      </c>
      <c r="L113" s="2">
        <v>0.375</v>
      </c>
      <c r="M113" s="2">
        <v>0.75</v>
      </c>
      <c r="N113">
        <v>8</v>
      </c>
      <c r="O113">
        <v>0</v>
      </c>
      <c r="P113" t="s">
        <v>32</v>
      </c>
      <c r="R113">
        <v>4</v>
      </c>
      <c r="S113" t="s">
        <v>45</v>
      </c>
      <c r="T113" t="s">
        <v>93</v>
      </c>
      <c r="U113" t="s">
        <v>55</v>
      </c>
      <c r="V113" t="s">
        <v>69</v>
      </c>
      <c r="W113">
        <f>_xlfn.XLOOKUP(F113,tblEmployee[Employee_ID],tblEmployee[Age],"Not Found")</f>
        <v>31</v>
      </c>
      <c r="X113" t="str">
        <f>_xlfn.XLOOKUP(F113,tblEmployee[Employee_ID],tblEmployee[Gender],"Not Found")</f>
        <v>Male</v>
      </c>
      <c r="Y113">
        <f>_xlfn.XLOOKUP(F113,tblEmployee[Employee_ID],tblEmployee[Joining_Date],"")</f>
        <v>44119</v>
      </c>
      <c r="Z113">
        <f>_xlfn.XLOOKUP(H113,tblDepartment[Department],tblDepartment[Annual_Budget_INR],"")</f>
        <v>18000000</v>
      </c>
      <c r="AA113" t="str">
        <f>_xlfn.XLOOKUP(H113,tblDepartment[Department],tblDepartment[Monthly_Target],"")</f>
        <v>&lt;30 Days Hiring Cycle</v>
      </c>
      <c r="AB113">
        <f>_xlfn.XLOOKUP(H113,tblDepartment[Department],tblDepartment[Average_Salary_INR],"")</f>
        <v>560000</v>
      </c>
      <c r="AC113" t="str">
        <f>_xlfn.XLOOKUP(H113,tblDepartment[Department],tblDepartment[Priority_Level],"")</f>
        <v>Medium</v>
      </c>
      <c r="AD113" t="str">
        <f>_xlfn.XLOOKUP(H113,tblDepartment[Department],tblDepartment[Key_KPI],"")</f>
        <v>Hiring &amp; Retention</v>
      </c>
      <c r="AE113">
        <f>_xlfn.XLOOKUP(tblMaster[[#This Row],[Shift]],tblShift[Shift_Name],tblShift[Login_Time],"")</f>
        <v>0.58333333333333337</v>
      </c>
      <c r="AF113">
        <f>_xlfn.XLOOKUP(tblMaster[[#This Row],[Shift]],tblShift[Shift_Name],tblShift[Logout_Time]," ")</f>
        <v>0.95833333333333337</v>
      </c>
      <c r="AG113">
        <f>_xlfn.XLOOKUP(tblMaster[[#This Row],[Shift]],tblShift[Shift_Name],tblShift[Standard_Working_Hours],"")</f>
        <v>8</v>
      </c>
      <c r="AH113" t="str">
        <f>_xlfn.XLOOKUP(tblMaster[[#This Row],[Attendance_Date]],tblHoliday[Holiday_Date],tblHoliday[Holiday_Name],"Working Day")</f>
        <v>Working Day</v>
      </c>
      <c r="AI113" t="str">
        <f>_xlfn.XLOOKUP(tblMaster[[#This Row],[Attendance_Date]],tblHoliday[Holiday_Date],tblHoliday[Holiday_Type],"Working Day ")</f>
        <v xml:space="preserve">Working Day </v>
      </c>
    </row>
    <row r="114" spans="1:35" hidden="1" x14ac:dyDescent="0.3">
      <c r="A114" t="s">
        <v>291</v>
      </c>
      <c r="B114" s="3">
        <v>45680</v>
      </c>
      <c r="C114" t="s">
        <v>49</v>
      </c>
      <c r="D114" t="s">
        <v>50</v>
      </c>
      <c r="E114" t="s">
        <v>25</v>
      </c>
      <c r="F114" t="s">
        <v>182</v>
      </c>
      <c r="G114" t="s">
        <v>183</v>
      </c>
      <c r="H114" t="s">
        <v>112</v>
      </c>
      <c r="I114" t="s">
        <v>113</v>
      </c>
      <c r="J114" t="s">
        <v>30</v>
      </c>
      <c r="K114" t="s">
        <v>75</v>
      </c>
      <c r="L114" s="2">
        <v>0.375</v>
      </c>
      <c r="M114" s="2">
        <v>0.75</v>
      </c>
      <c r="N114">
        <v>8</v>
      </c>
      <c r="O114">
        <v>0</v>
      </c>
      <c r="P114" t="s">
        <v>32</v>
      </c>
      <c r="R114">
        <v>5</v>
      </c>
      <c r="S114" t="s">
        <v>45</v>
      </c>
      <c r="T114" t="s">
        <v>114</v>
      </c>
      <c r="U114" t="s">
        <v>47</v>
      </c>
      <c r="W114">
        <f>_xlfn.XLOOKUP(F114,tblEmployee[Employee_ID],tblEmployee[Age],"Not Found")</f>
        <v>28</v>
      </c>
      <c r="X114" t="str">
        <f>_xlfn.XLOOKUP(F114,tblEmployee[Employee_ID],tblEmployee[Gender],"Not Found")</f>
        <v>Male</v>
      </c>
      <c r="Y114">
        <f>_xlfn.XLOOKUP(F114,tblEmployee[Employee_ID],tblEmployee[Joining_Date],"")</f>
        <v>44211</v>
      </c>
      <c r="Z114">
        <f>_xlfn.XLOOKUP(H114,tblDepartment[Department],tblDepartment[Annual_Budget_INR],"")</f>
        <v>42000000</v>
      </c>
      <c r="AA114" t="str">
        <f>_xlfn.XLOOKUP(H114,tblDepartment[Department],tblDepartment[Monthly_Target],"")</f>
        <v>₹2.5 Cr Monthly Sales</v>
      </c>
      <c r="AB114">
        <f>_xlfn.XLOOKUP(H114,tblDepartment[Department],tblDepartment[Average_Salary_INR],"")</f>
        <v>680000</v>
      </c>
      <c r="AC114" t="str">
        <f>_xlfn.XLOOKUP(H114,tblDepartment[Department],tblDepartment[Priority_Level],"")</f>
        <v>High</v>
      </c>
      <c r="AD114" t="str">
        <f>_xlfn.XLOOKUP(H114,tblDepartment[Department],tblDepartment[Key_KPI],"")</f>
        <v>Revenue Achievement</v>
      </c>
      <c r="AE114">
        <f>_xlfn.XLOOKUP(tblMaster[[#This Row],[Shift]],tblShift[Shift_Name],tblShift[Login_Time],"")</f>
        <v>0.375</v>
      </c>
      <c r="AF114">
        <f>_xlfn.XLOOKUP(tblMaster[[#This Row],[Shift]],tblShift[Shift_Name],tblShift[Logout_Time]," ")</f>
        <v>0.75</v>
      </c>
      <c r="AG114">
        <f>_xlfn.XLOOKUP(tblMaster[[#This Row],[Shift]],tblShift[Shift_Name],tblShift[Standard_Working_Hours],"")</f>
        <v>8</v>
      </c>
      <c r="AH114" t="str">
        <f>_xlfn.XLOOKUP(tblMaster[[#This Row],[Attendance_Date]],tblHoliday[Holiday_Date],tblHoliday[Holiday_Name],"Working Day")</f>
        <v>Working Day</v>
      </c>
      <c r="AI114" t="str">
        <f>_xlfn.XLOOKUP(tblMaster[[#This Row],[Attendance_Date]],tblHoliday[Holiday_Date],tblHoliday[Holiday_Type],"Working Day ")</f>
        <v xml:space="preserve">Working Day </v>
      </c>
    </row>
    <row r="115" spans="1:35" hidden="1" x14ac:dyDescent="0.3">
      <c r="A115" t="s">
        <v>292</v>
      </c>
      <c r="B115" s="3">
        <v>45759</v>
      </c>
      <c r="C115" t="s">
        <v>37</v>
      </c>
      <c r="D115" t="s">
        <v>24</v>
      </c>
      <c r="E115" t="s">
        <v>38</v>
      </c>
      <c r="F115" t="s">
        <v>258</v>
      </c>
      <c r="G115" t="s">
        <v>259</v>
      </c>
      <c r="H115" t="s">
        <v>112</v>
      </c>
      <c r="I115" t="s">
        <v>113</v>
      </c>
      <c r="J115" t="s">
        <v>74</v>
      </c>
      <c r="K115" t="s">
        <v>54</v>
      </c>
      <c r="L115" s="2">
        <v>0.38194444444444442</v>
      </c>
      <c r="M115" s="2">
        <v>0.75</v>
      </c>
      <c r="N115">
        <v>8</v>
      </c>
      <c r="O115">
        <v>0</v>
      </c>
      <c r="P115" t="s">
        <v>32</v>
      </c>
      <c r="R115">
        <v>5</v>
      </c>
      <c r="S115" t="s">
        <v>67</v>
      </c>
      <c r="T115" t="s">
        <v>114</v>
      </c>
      <c r="U115" t="s">
        <v>47</v>
      </c>
      <c r="V115" t="s">
        <v>35</v>
      </c>
      <c r="W115">
        <f>_xlfn.XLOOKUP(F115,tblEmployee[Employee_ID],tblEmployee[Age],"Not Found")</f>
        <v>39</v>
      </c>
      <c r="X115" t="str">
        <f>_xlfn.XLOOKUP(F115,tblEmployee[Employee_ID],tblEmployee[Gender],"Not Found")</f>
        <v>Male</v>
      </c>
      <c r="Y115">
        <f>_xlfn.XLOOKUP(F115,tblEmployee[Employee_ID],tblEmployee[Joining_Date],"")</f>
        <v>44362</v>
      </c>
      <c r="Z115">
        <f>_xlfn.XLOOKUP(H115,tblDepartment[Department],tblDepartment[Annual_Budget_INR],"")</f>
        <v>42000000</v>
      </c>
      <c r="AA115" t="str">
        <f>_xlfn.XLOOKUP(H115,tblDepartment[Department],tblDepartment[Monthly_Target],"")</f>
        <v>₹2.5 Cr Monthly Sales</v>
      </c>
      <c r="AB115">
        <f>_xlfn.XLOOKUP(H115,tblDepartment[Department],tblDepartment[Average_Salary_INR],"")</f>
        <v>680000</v>
      </c>
      <c r="AC115" t="str">
        <f>_xlfn.XLOOKUP(H115,tblDepartment[Department],tblDepartment[Priority_Level],"")</f>
        <v>High</v>
      </c>
      <c r="AD115" t="str">
        <f>_xlfn.XLOOKUP(H115,tblDepartment[Department],tblDepartment[Key_KPI],"")</f>
        <v>Revenue Achievement</v>
      </c>
      <c r="AE115">
        <f>_xlfn.XLOOKUP(tblMaster[[#This Row],[Shift]],tblShift[Shift_Name],tblShift[Login_Time],"")</f>
        <v>0.58333333333333337</v>
      </c>
      <c r="AF115">
        <f>_xlfn.XLOOKUP(tblMaster[[#This Row],[Shift]],tblShift[Shift_Name],tblShift[Logout_Time]," ")</f>
        <v>0.95833333333333337</v>
      </c>
      <c r="AG115">
        <f>_xlfn.XLOOKUP(tblMaster[[#This Row],[Shift]],tblShift[Shift_Name],tblShift[Standard_Working_Hours],"")</f>
        <v>8</v>
      </c>
      <c r="AH115" t="str">
        <f>_xlfn.XLOOKUP(tblMaster[[#This Row],[Attendance_Date]],tblHoliday[Holiday_Date],tblHoliday[Holiday_Name],"Working Day")</f>
        <v>Working Day</v>
      </c>
      <c r="AI115" t="str">
        <f>_xlfn.XLOOKUP(tblMaster[[#This Row],[Attendance_Date]],tblHoliday[Holiday_Date],tblHoliday[Holiday_Type],"Working Day ")</f>
        <v xml:space="preserve">Working Day </v>
      </c>
    </row>
    <row r="116" spans="1:35" hidden="1" x14ac:dyDescent="0.3">
      <c r="A116" t="s">
        <v>293</v>
      </c>
      <c r="B116" s="3">
        <v>45678</v>
      </c>
      <c r="C116" t="s">
        <v>49</v>
      </c>
      <c r="D116" t="s">
        <v>50</v>
      </c>
      <c r="E116" t="s">
        <v>87</v>
      </c>
      <c r="F116" t="s">
        <v>124</v>
      </c>
      <c r="G116" t="s">
        <v>125</v>
      </c>
      <c r="H116" t="s">
        <v>28</v>
      </c>
      <c r="I116" t="s">
        <v>29</v>
      </c>
      <c r="J116" t="s">
        <v>66</v>
      </c>
      <c r="K116" t="s">
        <v>54</v>
      </c>
      <c r="M116" s="2">
        <v>0.75</v>
      </c>
      <c r="N116">
        <v>8</v>
      </c>
      <c r="O116">
        <v>0</v>
      </c>
      <c r="P116" t="s">
        <v>32</v>
      </c>
      <c r="R116">
        <v>5</v>
      </c>
      <c r="S116" t="s">
        <v>67</v>
      </c>
      <c r="T116" t="s">
        <v>34</v>
      </c>
      <c r="U116" t="s">
        <v>55</v>
      </c>
      <c r="W116">
        <f>_xlfn.XLOOKUP(F116,tblEmployee[Employee_ID],tblEmployee[Age],"Not Found")</f>
        <v>25</v>
      </c>
      <c r="X116" t="str">
        <f>_xlfn.XLOOKUP(F116,tblEmployee[Employee_ID],tblEmployee[Gender],"Not Found")</f>
        <v>Male</v>
      </c>
      <c r="Y116">
        <f>_xlfn.XLOOKUP(F116,tblEmployee[Employee_ID],tblEmployee[Joining_Date],"")</f>
        <v>43388</v>
      </c>
      <c r="Z116">
        <f>_xlfn.XLOOKUP(H116,tblDepartment[Department],tblDepartment[Annual_Budget_INR],"")</f>
        <v>24000000</v>
      </c>
      <c r="AA116" t="str">
        <f>_xlfn.XLOOKUP(H116,tblDepartment[Department],tblDepartment[Monthly_Target],"")</f>
        <v>90% Customer Satisfaction</v>
      </c>
      <c r="AB116">
        <f>_xlfn.XLOOKUP(H116,tblDepartment[Department],tblDepartment[Average_Salary_INR],"")</f>
        <v>520000</v>
      </c>
      <c r="AC116" t="str">
        <f>_xlfn.XLOOKUP(H116,tblDepartment[Department],tblDepartment[Priority_Level],"")</f>
        <v>High</v>
      </c>
      <c r="AD116" t="str">
        <f>_xlfn.XLOOKUP(H116,tblDepartment[Department],tblDepartment[Key_KPI],"")</f>
        <v>Customer Satisfaction</v>
      </c>
      <c r="AE116">
        <f>_xlfn.XLOOKUP(tblMaster[[#This Row],[Shift]],tblShift[Shift_Name],tblShift[Login_Time],"")</f>
        <v>0.58333333333333337</v>
      </c>
      <c r="AF116">
        <f>_xlfn.XLOOKUP(tblMaster[[#This Row],[Shift]],tblShift[Shift_Name],tblShift[Logout_Time]," ")</f>
        <v>0.95833333333333337</v>
      </c>
      <c r="AG116">
        <f>_xlfn.XLOOKUP(tblMaster[[#This Row],[Shift]],tblShift[Shift_Name],tblShift[Standard_Working_Hours],"")</f>
        <v>8</v>
      </c>
      <c r="AH116" t="str">
        <f>_xlfn.XLOOKUP(tblMaster[[#This Row],[Attendance_Date]],tblHoliday[Holiday_Date],tblHoliday[Holiday_Name],"Working Day")</f>
        <v>Working Day</v>
      </c>
      <c r="AI116" t="str">
        <f>_xlfn.XLOOKUP(tblMaster[[#This Row],[Attendance_Date]],tblHoliday[Holiday_Date],tblHoliday[Holiday_Type],"Working Day ")</f>
        <v xml:space="preserve">Working Day </v>
      </c>
    </row>
    <row r="117" spans="1:35" hidden="1" x14ac:dyDescent="0.3">
      <c r="A117" t="s">
        <v>294</v>
      </c>
      <c r="B117" s="3">
        <v>45812</v>
      </c>
      <c r="C117" t="s">
        <v>23</v>
      </c>
      <c r="D117" t="s">
        <v>24</v>
      </c>
      <c r="E117" t="s">
        <v>51</v>
      </c>
      <c r="F117" t="s">
        <v>185</v>
      </c>
      <c r="G117" t="s">
        <v>186</v>
      </c>
      <c r="H117" t="s">
        <v>79</v>
      </c>
      <c r="I117" t="s">
        <v>80</v>
      </c>
      <c r="J117" t="s">
        <v>66</v>
      </c>
      <c r="K117" t="s">
        <v>31</v>
      </c>
      <c r="L117" s="2">
        <v>0.375</v>
      </c>
      <c r="M117" s="2">
        <v>0.75</v>
      </c>
      <c r="N117">
        <v>8</v>
      </c>
      <c r="O117">
        <v>0</v>
      </c>
      <c r="P117" t="s">
        <v>32</v>
      </c>
      <c r="R117">
        <v>5</v>
      </c>
      <c r="S117" t="s">
        <v>45</v>
      </c>
      <c r="T117" t="s">
        <v>84</v>
      </c>
      <c r="U117" t="s">
        <v>55</v>
      </c>
      <c r="V117" t="s">
        <v>69</v>
      </c>
      <c r="W117">
        <f>_xlfn.XLOOKUP(F117,tblEmployee[Employee_ID],tblEmployee[Age],"Not Found")</f>
        <v>33</v>
      </c>
      <c r="X117" t="str">
        <f>_xlfn.XLOOKUP(F117,tblEmployee[Employee_ID],tblEmployee[Gender],"Not Found")</f>
        <v>Male</v>
      </c>
      <c r="Y117">
        <f>_xlfn.XLOOKUP(F117,tblEmployee[Employee_ID],tblEmployee[Joining_Date],"")</f>
        <v>44910</v>
      </c>
      <c r="Z117">
        <f>_xlfn.XLOOKUP(H117,tblDepartment[Department],tblDepartment[Annual_Budget_INR],"")</f>
        <v>26000000</v>
      </c>
      <c r="AA117" t="str">
        <f>_xlfn.XLOOKUP(H117,tblDepartment[Department],tblDepartment[Monthly_Target],"")</f>
        <v>100% Payroll Accuracy</v>
      </c>
      <c r="AB117">
        <f>_xlfn.XLOOKUP(H117,tblDepartment[Department],tblDepartment[Average_Salary_INR],"")</f>
        <v>640000</v>
      </c>
      <c r="AC117" t="str">
        <f>_xlfn.XLOOKUP(H117,tblDepartment[Department],tblDepartment[Priority_Level],"")</f>
        <v>High</v>
      </c>
      <c r="AD117" t="str">
        <f>_xlfn.XLOOKUP(H117,tblDepartment[Department],tblDepartment[Key_KPI],"")</f>
        <v>Financial Compliance</v>
      </c>
      <c r="AE117">
        <f>_xlfn.XLOOKUP(tblMaster[[#This Row],[Shift]],tblShift[Shift_Name],tblShift[Login_Time],"")</f>
        <v>0.25</v>
      </c>
      <c r="AF117">
        <f>_xlfn.XLOOKUP(tblMaster[[#This Row],[Shift]],tblShift[Shift_Name],tblShift[Logout_Time]," ")</f>
        <v>0.625</v>
      </c>
      <c r="AG117">
        <f>_xlfn.XLOOKUP(tblMaster[[#This Row],[Shift]],tblShift[Shift_Name],tblShift[Standard_Working_Hours],"")</f>
        <v>8</v>
      </c>
      <c r="AH117" t="str">
        <f>_xlfn.XLOOKUP(tblMaster[[#This Row],[Attendance_Date]],tblHoliday[Holiday_Date],tblHoliday[Holiday_Name],"Working Day")</f>
        <v>Working Day</v>
      </c>
      <c r="AI117" t="str">
        <f>_xlfn.XLOOKUP(tblMaster[[#This Row],[Attendance_Date]],tblHoliday[Holiday_Date],tblHoliday[Holiday_Type],"Working Day ")</f>
        <v xml:space="preserve">Working Day </v>
      </c>
    </row>
    <row r="118" spans="1:35" x14ac:dyDescent="0.3">
      <c r="A118" t="s">
        <v>295</v>
      </c>
      <c r="B118" s="3">
        <v>45797</v>
      </c>
      <c r="C118" t="s">
        <v>57</v>
      </c>
      <c r="D118" t="s">
        <v>24</v>
      </c>
      <c r="E118" t="s">
        <v>87</v>
      </c>
      <c r="F118" t="s">
        <v>243</v>
      </c>
      <c r="G118" t="s">
        <v>244</v>
      </c>
      <c r="H118" t="s">
        <v>90</v>
      </c>
      <c r="I118" t="s">
        <v>91</v>
      </c>
      <c r="J118" t="s">
        <v>30</v>
      </c>
      <c r="K118" t="s">
        <v>31</v>
      </c>
      <c r="L118" s="2">
        <v>0.375</v>
      </c>
      <c r="M118" s="2">
        <v>0.75</v>
      </c>
      <c r="N118">
        <v>8</v>
      </c>
      <c r="O118">
        <v>0</v>
      </c>
      <c r="P118" t="s">
        <v>32</v>
      </c>
      <c r="S118" t="s">
        <v>67</v>
      </c>
      <c r="T118" t="s">
        <v>93</v>
      </c>
      <c r="U118" t="str">
        <f>_xlfn.XLOOKUP(tblMaster[[#This Row],[Employee_ID]],tblEmployee[Employee_ID],tblEmployee[Work_Mode]," ")</f>
        <v>Remote</v>
      </c>
      <c r="V118" t="s">
        <v>35</v>
      </c>
      <c r="W118">
        <f>_xlfn.XLOOKUP(F118,tblEmployee[Employee_ID],tblEmployee[Age],"Not Found")</f>
        <v>30</v>
      </c>
      <c r="X118" t="str">
        <f>_xlfn.XLOOKUP(F118,tblEmployee[Employee_ID],tblEmployee[Gender],"Not Found")</f>
        <v>Female</v>
      </c>
      <c r="Y118">
        <f>_xlfn.XLOOKUP(F118,tblEmployee[Employee_ID],tblEmployee[Joining_Date],"")</f>
        <v>44089</v>
      </c>
      <c r="Z118">
        <f>_xlfn.XLOOKUP(H118,tblDepartment[Department],tblDepartment[Annual_Budget_INR],"")</f>
        <v>18000000</v>
      </c>
      <c r="AA118" t="str">
        <f>_xlfn.XLOOKUP(H118,tblDepartment[Department],tblDepartment[Monthly_Target],"")</f>
        <v>&lt;30 Days Hiring Cycle</v>
      </c>
      <c r="AB118">
        <f>_xlfn.XLOOKUP(H118,tblDepartment[Department],tblDepartment[Average_Salary_INR],"")</f>
        <v>560000</v>
      </c>
      <c r="AC118" t="str">
        <f>_xlfn.XLOOKUP(H118,tblDepartment[Department],tblDepartment[Priority_Level],"")</f>
        <v>Medium</v>
      </c>
      <c r="AD118" t="str">
        <f>_xlfn.XLOOKUP(H118,tblDepartment[Department],tblDepartment[Key_KPI],"")</f>
        <v>Hiring &amp; Retention</v>
      </c>
      <c r="AE118">
        <f>_xlfn.XLOOKUP(tblMaster[[#This Row],[Shift]],tblShift[Shift_Name],tblShift[Login_Time],"")</f>
        <v>0.25</v>
      </c>
      <c r="AF118">
        <f>_xlfn.XLOOKUP(tblMaster[[#This Row],[Shift]],tblShift[Shift_Name],tblShift[Logout_Time]," ")</f>
        <v>0.625</v>
      </c>
      <c r="AG118">
        <f>_xlfn.XLOOKUP(tblMaster[[#This Row],[Shift]],tblShift[Shift_Name],tblShift[Standard_Working_Hours],"")</f>
        <v>8</v>
      </c>
      <c r="AH118" t="str">
        <f>_xlfn.XLOOKUP(tblMaster[[#This Row],[Attendance_Date]],tblHoliday[Holiday_Date],tblHoliday[Holiday_Name],"Working Day")</f>
        <v>Working Day</v>
      </c>
      <c r="AI118" t="str">
        <f>_xlfn.XLOOKUP(tblMaster[[#This Row],[Attendance_Date]],tblHoliday[Holiday_Date],tblHoliday[Holiday_Type],"Working Day ")</f>
        <v xml:space="preserve">Working Day </v>
      </c>
    </row>
    <row r="119" spans="1:35" hidden="1" x14ac:dyDescent="0.3">
      <c r="A119" t="s">
        <v>296</v>
      </c>
      <c r="B119" s="3">
        <v>45808</v>
      </c>
      <c r="C119" t="s">
        <v>57</v>
      </c>
      <c r="D119" t="s">
        <v>24</v>
      </c>
      <c r="E119" t="s">
        <v>38</v>
      </c>
      <c r="F119" t="s">
        <v>170</v>
      </c>
      <c r="G119" t="s">
        <v>171</v>
      </c>
      <c r="H119" t="s">
        <v>64</v>
      </c>
      <c r="I119" t="s">
        <v>65</v>
      </c>
      <c r="J119" t="s">
        <v>43</v>
      </c>
      <c r="K119" t="s">
        <v>75</v>
      </c>
      <c r="L119" s="2">
        <v>0.375</v>
      </c>
      <c r="M119" s="2">
        <v>0.75</v>
      </c>
      <c r="N119">
        <v>9</v>
      </c>
      <c r="O119">
        <v>1</v>
      </c>
      <c r="P119" t="s">
        <v>32</v>
      </c>
      <c r="R119">
        <v>4</v>
      </c>
      <c r="S119" t="s">
        <v>45</v>
      </c>
      <c r="T119" t="s">
        <v>68</v>
      </c>
      <c r="U119" t="s">
        <v>47</v>
      </c>
      <c r="V119" t="s">
        <v>35</v>
      </c>
      <c r="W119">
        <f>_xlfn.XLOOKUP(F119,tblEmployee[Employee_ID],tblEmployee[Age],"Not Found")</f>
        <v>36</v>
      </c>
      <c r="X119" t="str">
        <f>_xlfn.XLOOKUP(F119,tblEmployee[Employee_ID],tblEmployee[Gender],"Not Found")</f>
        <v>Female</v>
      </c>
      <c r="Y119">
        <f>_xlfn.XLOOKUP(F119,tblEmployee[Employee_ID],tblEmployee[Joining_Date],"")</f>
        <v>43539</v>
      </c>
      <c r="Z119">
        <f>_xlfn.XLOOKUP(H119,tblDepartment[Department],tblDepartment[Annual_Budget_INR],"")</f>
        <v>85000000</v>
      </c>
      <c r="AA119" t="str">
        <f>_xlfn.XLOOKUP(H119,tblDepartment[Department],tblDepartment[Monthly_Target],"")</f>
        <v>99.5% System Uptime</v>
      </c>
      <c r="AB119">
        <f>_xlfn.XLOOKUP(H119,tblDepartment[Department],tblDepartment[Average_Salary_INR],"")</f>
        <v>720000</v>
      </c>
      <c r="AC119" t="str">
        <f>_xlfn.XLOOKUP(H119,tblDepartment[Department],tblDepartment[Priority_Level],"")</f>
        <v>High</v>
      </c>
      <c r="AD119" t="str">
        <f>_xlfn.XLOOKUP(H119,tblDepartment[Department],tblDepartment[Key_KPI],"")</f>
        <v>Project Delivery</v>
      </c>
      <c r="AE119">
        <f>_xlfn.XLOOKUP(tblMaster[[#This Row],[Shift]],tblShift[Shift_Name],tblShift[Login_Time],"")</f>
        <v>0.375</v>
      </c>
      <c r="AF119">
        <f>_xlfn.XLOOKUP(tblMaster[[#This Row],[Shift]],tblShift[Shift_Name],tblShift[Logout_Time]," ")</f>
        <v>0.75</v>
      </c>
      <c r="AG119">
        <f>_xlfn.XLOOKUP(tblMaster[[#This Row],[Shift]],tblShift[Shift_Name],tblShift[Standard_Working_Hours],"")</f>
        <v>8</v>
      </c>
      <c r="AH119" t="str">
        <f>_xlfn.XLOOKUP(tblMaster[[#This Row],[Attendance_Date]],tblHoliday[Holiday_Date],tblHoliday[Holiday_Name],"Working Day")</f>
        <v>Working Day</v>
      </c>
      <c r="AI119" t="str">
        <f>_xlfn.XLOOKUP(tblMaster[[#This Row],[Attendance_Date]],tblHoliday[Holiday_Date],tblHoliday[Holiday_Type],"Working Day ")</f>
        <v xml:space="preserve">Working Day </v>
      </c>
    </row>
    <row r="120" spans="1:35" hidden="1" x14ac:dyDescent="0.3">
      <c r="A120" t="s">
        <v>297</v>
      </c>
      <c r="B120" s="3">
        <v>45819</v>
      </c>
      <c r="C120" t="s">
        <v>23</v>
      </c>
      <c r="D120" t="s">
        <v>24</v>
      </c>
      <c r="E120" t="s">
        <v>51</v>
      </c>
      <c r="F120" t="s">
        <v>170</v>
      </c>
      <c r="G120" t="s">
        <v>171</v>
      </c>
      <c r="H120" t="s">
        <v>64</v>
      </c>
      <c r="I120" t="s">
        <v>65</v>
      </c>
      <c r="J120" t="s">
        <v>43</v>
      </c>
      <c r="K120" t="s">
        <v>81</v>
      </c>
      <c r="L120" s="2">
        <v>0.91666666666666663</v>
      </c>
      <c r="M120" s="2">
        <v>0.29166666666666669</v>
      </c>
      <c r="N120">
        <v>9</v>
      </c>
      <c r="O120">
        <v>1</v>
      </c>
      <c r="P120" t="s">
        <v>32</v>
      </c>
      <c r="R120">
        <v>4</v>
      </c>
      <c r="S120" t="s">
        <v>33</v>
      </c>
      <c r="T120" t="s">
        <v>68</v>
      </c>
      <c r="U120" t="s">
        <v>85</v>
      </c>
      <c r="W120">
        <f>_xlfn.XLOOKUP(F120,tblEmployee[Employee_ID],tblEmployee[Age],"Not Found")</f>
        <v>36</v>
      </c>
      <c r="X120" t="str">
        <f>_xlfn.XLOOKUP(F120,tblEmployee[Employee_ID],tblEmployee[Gender],"Not Found")</f>
        <v>Female</v>
      </c>
      <c r="Y120">
        <f>_xlfn.XLOOKUP(F120,tblEmployee[Employee_ID],tblEmployee[Joining_Date],"")</f>
        <v>43539</v>
      </c>
      <c r="Z120">
        <f>_xlfn.XLOOKUP(H120,tblDepartment[Department],tblDepartment[Annual_Budget_INR],"")</f>
        <v>85000000</v>
      </c>
      <c r="AA120" t="str">
        <f>_xlfn.XLOOKUP(H120,tblDepartment[Department],tblDepartment[Monthly_Target],"")</f>
        <v>99.5% System Uptime</v>
      </c>
      <c r="AB120">
        <f>_xlfn.XLOOKUP(H120,tblDepartment[Department],tblDepartment[Average_Salary_INR],"")</f>
        <v>720000</v>
      </c>
      <c r="AC120" t="str">
        <f>_xlfn.XLOOKUP(H120,tblDepartment[Department],tblDepartment[Priority_Level],"")</f>
        <v>High</v>
      </c>
      <c r="AD120" t="str">
        <f>_xlfn.XLOOKUP(H120,tblDepartment[Department],tblDepartment[Key_KPI],"")</f>
        <v>Project Delivery</v>
      </c>
      <c r="AE120">
        <f>_xlfn.XLOOKUP(tblMaster[[#This Row],[Shift]],tblShift[Shift_Name],tblShift[Login_Time],"")</f>
        <v>0.91666666666666663</v>
      </c>
      <c r="AF120">
        <f>_xlfn.XLOOKUP(tblMaster[[#This Row],[Shift]],tblShift[Shift_Name],tblShift[Logout_Time]," ")</f>
        <v>0.29166666666666669</v>
      </c>
      <c r="AG120">
        <f>_xlfn.XLOOKUP(tblMaster[[#This Row],[Shift]],tblShift[Shift_Name],tblShift[Standard_Working_Hours],"")</f>
        <v>8</v>
      </c>
      <c r="AH120" t="str">
        <f>_xlfn.XLOOKUP(tblMaster[[#This Row],[Attendance_Date]],tblHoliday[Holiday_Date],tblHoliday[Holiday_Name],"Working Day")</f>
        <v>Working Day</v>
      </c>
      <c r="AI120" t="str">
        <f>_xlfn.XLOOKUP(tblMaster[[#This Row],[Attendance_Date]],tblHoliday[Holiday_Date],tblHoliday[Holiday_Type],"Working Day ")</f>
        <v xml:space="preserve">Working Day </v>
      </c>
    </row>
    <row r="121" spans="1:35" hidden="1" x14ac:dyDescent="0.3">
      <c r="A121" t="s">
        <v>298</v>
      </c>
      <c r="B121" s="3">
        <v>45661</v>
      </c>
      <c r="C121" t="s">
        <v>49</v>
      </c>
      <c r="D121" t="s">
        <v>50</v>
      </c>
      <c r="E121" t="s">
        <v>38</v>
      </c>
      <c r="F121" t="s">
        <v>133</v>
      </c>
      <c r="G121" t="s">
        <v>134</v>
      </c>
      <c r="H121" t="s">
        <v>98</v>
      </c>
      <c r="I121" t="s">
        <v>99</v>
      </c>
      <c r="J121" t="s">
        <v>66</v>
      </c>
      <c r="K121" t="s">
        <v>54</v>
      </c>
      <c r="L121" s="2">
        <v>0.375</v>
      </c>
      <c r="M121" s="2">
        <v>0.75</v>
      </c>
      <c r="N121">
        <v>8</v>
      </c>
      <c r="O121">
        <v>0</v>
      </c>
      <c r="P121" t="s">
        <v>32</v>
      </c>
      <c r="R121">
        <v>4</v>
      </c>
      <c r="S121" t="s">
        <v>45</v>
      </c>
      <c r="T121" t="s">
        <v>101</v>
      </c>
      <c r="U121" t="s">
        <v>55</v>
      </c>
      <c r="V121" t="s">
        <v>69</v>
      </c>
      <c r="W121">
        <f>_xlfn.XLOOKUP(F121,tblEmployee[Employee_ID],tblEmployee[Age],"Not Found")</f>
        <v>27</v>
      </c>
      <c r="X121" t="str">
        <f>_xlfn.XLOOKUP(F121,tblEmployee[Employee_ID],tblEmployee[Gender],"Not Found")</f>
        <v>Male</v>
      </c>
      <c r="Y121">
        <f>_xlfn.XLOOKUP(F121,tblEmployee[Employee_ID],tblEmployee[Joining_Date],"")</f>
        <v>45458</v>
      </c>
      <c r="Z121">
        <f>_xlfn.XLOOKUP(H121,tblDepartment[Department],tblDepartment[Annual_Budget_INR],"")</f>
        <v>22000000</v>
      </c>
      <c r="AA121" t="str">
        <f>_xlfn.XLOOKUP(H121,tblDepartment[Department],tblDepartment[Monthly_Target],"")</f>
        <v>2500 Qualified Leads</v>
      </c>
      <c r="AB121">
        <f>_xlfn.XLOOKUP(H121,tblDepartment[Department],tblDepartment[Average_Salary_INR],"")</f>
        <v>590000</v>
      </c>
      <c r="AC121" t="str">
        <f>_xlfn.XLOOKUP(H121,tblDepartment[Department],tblDepartment[Priority_Level],"")</f>
        <v>Medium</v>
      </c>
      <c r="AD121" t="str">
        <f>_xlfn.XLOOKUP(H121,tblDepartment[Department],tblDepartment[Key_KPI],"")</f>
        <v>Lead Generation</v>
      </c>
      <c r="AE121">
        <f>_xlfn.XLOOKUP(tblMaster[[#This Row],[Shift]],tblShift[Shift_Name],tblShift[Login_Time],"")</f>
        <v>0.58333333333333337</v>
      </c>
      <c r="AF121">
        <f>_xlfn.XLOOKUP(tblMaster[[#This Row],[Shift]],tblShift[Shift_Name],tblShift[Logout_Time]," ")</f>
        <v>0.95833333333333337</v>
      </c>
      <c r="AG121">
        <f>_xlfn.XLOOKUP(tblMaster[[#This Row],[Shift]],tblShift[Shift_Name],tblShift[Standard_Working_Hours],"")</f>
        <v>8</v>
      </c>
      <c r="AH121" t="str">
        <f>_xlfn.XLOOKUP(tblMaster[[#This Row],[Attendance_Date]],tblHoliday[Holiday_Date],tblHoliday[Holiday_Name],"Working Day")</f>
        <v>Working Day</v>
      </c>
      <c r="AI121" t="str">
        <f>_xlfn.XLOOKUP(tblMaster[[#This Row],[Attendance_Date]],tblHoliday[Holiday_Date],tblHoliday[Holiday_Type],"Working Day ")</f>
        <v xml:space="preserve">Working Day </v>
      </c>
    </row>
    <row r="122" spans="1:35" hidden="1" x14ac:dyDescent="0.3">
      <c r="A122" t="s">
        <v>299</v>
      </c>
      <c r="B122" s="3">
        <v>45799</v>
      </c>
      <c r="C122" t="s">
        <v>57</v>
      </c>
      <c r="D122" t="s">
        <v>24</v>
      </c>
      <c r="E122" t="s">
        <v>25</v>
      </c>
      <c r="F122" t="s">
        <v>288</v>
      </c>
      <c r="G122" t="s">
        <v>289</v>
      </c>
      <c r="H122" t="s">
        <v>107</v>
      </c>
      <c r="I122" t="s">
        <v>29</v>
      </c>
      <c r="J122" t="s">
        <v>74</v>
      </c>
      <c r="K122" t="s">
        <v>44</v>
      </c>
      <c r="P122" t="s">
        <v>82</v>
      </c>
      <c r="Q122" t="s">
        <v>83</v>
      </c>
      <c r="S122" t="s">
        <v>45</v>
      </c>
      <c r="T122" t="s">
        <v>34</v>
      </c>
      <c r="U122" t="s">
        <v>55</v>
      </c>
      <c r="V122" t="s">
        <v>69</v>
      </c>
      <c r="W122">
        <f>_xlfn.XLOOKUP(F122,tblEmployee[Employee_ID],tblEmployee[Age],"Not Found")</f>
        <v>29</v>
      </c>
      <c r="X122" t="str">
        <f>_xlfn.XLOOKUP(F122,tblEmployee[Employee_ID],tblEmployee[Gender],"Not Found")</f>
        <v>Male</v>
      </c>
      <c r="Y122">
        <f>_xlfn.XLOOKUP(F122,tblEmployee[Employee_ID],tblEmployee[Joining_Date],"")</f>
        <v>43327</v>
      </c>
      <c r="Z122">
        <f>_xlfn.XLOOKUP(H122,tblDepartment[Department],tblDepartment[Annual_Budget_INR],"")</f>
        <v>24000000</v>
      </c>
      <c r="AA122" t="str">
        <f>_xlfn.XLOOKUP(H122,tblDepartment[Department],tblDepartment[Monthly_Target],"")</f>
        <v>90% Customer Satisfaction</v>
      </c>
      <c r="AB122">
        <f>_xlfn.XLOOKUP(H122,tblDepartment[Department],tblDepartment[Average_Salary_INR],"")</f>
        <v>520000</v>
      </c>
      <c r="AC122" t="str">
        <f>_xlfn.XLOOKUP(H122,tblDepartment[Department],tblDepartment[Priority_Level],"")</f>
        <v>High</v>
      </c>
      <c r="AD122" t="str">
        <f>_xlfn.XLOOKUP(H122,tblDepartment[Department],tblDepartment[Key_KPI],"")</f>
        <v>Customer Satisfaction</v>
      </c>
      <c r="AE122">
        <f>_xlfn.XLOOKUP(tblMaster[[#This Row],[Shift]],tblShift[Shift_Name],tblShift[Login_Time],"")</f>
        <v>0.41666666666666669</v>
      </c>
      <c r="AF122">
        <f>_xlfn.XLOOKUP(tblMaster[[#This Row],[Shift]],tblShift[Shift_Name],tblShift[Logout_Time]," ")</f>
        <v>0.79166666666666663</v>
      </c>
      <c r="AG122">
        <f>_xlfn.XLOOKUP(tblMaster[[#This Row],[Shift]],tblShift[Shift_Name],tblShift[Standard_Working_Hours],"")</f>
        <v>8</v>
      </c>
      <c r="AH122" t="str">
        <f>_xlfn.XLOOKUP(tblMaster[[#This Row],[Attendance_Date]],tblHoliday[Holiday_Date],tblHoliday[Holiday_Name],"Working Day")</f>
        <v>Working Day</v>
      </c>
      <c r="AI122" t="str">
        <f>_xlfn.XLOOKUP(tblMaster[[#This Row],[Attendance_Date]],tblHoliday[Holiday_Date],tblHoliday[Holiday_Type],"Working Day ")</f>
        <v xml:space="preserve">Working Day </v>
      </c>
    </row>
    <row r="123" spans="1:35" hidden="1" x14ac:dyDescent="0.3">
      <c r="A123" t="s">
        <v>300</v>
      </c>
      <c r="B123" s="1">
        <v>45803</v>
      </c>
      <c r="C123" t="s">
        <v>57</v>
      </c>
      <c r="D123" t="s">
        <v>24</v>
      </c>
      <c r="E123" t="s">
        <v>109</v>
      </c>
      <c r="F123" t="s">
        <v>211</v>
      </c>
      <c r="G123" t="s">
        <v>212</v>
      </c>
      <c r="H123" t="s">
        <v>64</v>
      </c>
      <c r="I123" t="s">
        <v>65</v>
      </c>
      <c r="J123" t="s">
        <v>74</v>
      </c>
      <c r="K123" t="s">
        <v>31</v>
      </c>
      <c r="L123" s="2">
        <v>0.375</v>
      </c>
      <c r="M123" s="2">
        <v>0.75</v>
      </c>
      <c r="N123">
        <v>10</v>
      </c>
      <c r="O123">
        <v>2</v>
      </c>
      <c r="P123" t="s">
        <v>32</v>
      </c>
      <c r="S123" t="s">
        <v>33</v>
      </c>
      <c r="T123" t="s">
        <v>68</v>
      </c>
      <c r="U123" t="s">
        <v>85</v>
      </c>
      <c r="W123">
        <f>_xlfn.XLOOKUP(F123,tblEmployee[Employee_ID],tblEmployee[Age],"Not Found")</f>
        <v>26</v>
      </c>
      <c r="X123" t="str">
        <f>_xlfn.XLOOKUP(F123,tblEmployee[Employee_ID],tblEmployee[Gender],"Not Found")</f>
        <v>Female</v>
      </c>
      <c r="Y123">
        <f>_xlfn.XLOOKUP(F123,tblEmployee[Employee_ID],tblEmployee[Joining_Date],"")</f>
        <v>43784</v>
      </c>
      <c r="Z123">
        <f>_xlfn.XLOOKUP(H123,tblDepartment[Department],tblDepartment[Annual_Budget_INR],"")</f>
        <v>85000000</v>
      </c>
      <c r="AA123" t="str">
        <f>_xlfn.XLOOKUP(H123,tblDepartment[Department],tblDepartment[Monthly_Target],"")</f>
        <v>99.5% System Uptime</v>
      </c>
      <c r="AB123">
        <f>_xlfn.XLOOKUP(H123,tblDepartment[Department],tblDepartment[Average_Salary_INR],"")</f>
        <v>720000</v>
      </c>
      <c r="AC123" t="str">
        <f>_xlfn.XLOOKUP(H123,tblDepartment[Department],tblDepartment[Priority_Level],"")</f>
        <v>High</v>
      </c>
      <c r="AD123" t="str">
        <f>_xlfn.XLOOKUP(H123,tblDepartment[Department],tblDepartment[Key_KPI],"")</f>
        <v>Project Delivery</v>
      </c>
      <c r="AE123">
        <f>_xlfn.XLOOKUP(tblMaster[[#This Row],[Shift]],tblShift[Shift_Name],tblShift[Login_Time],"")</f>
        <v>0.25</v>
      </c>
      <c r="AF123">
        <f>_xlfn.XLOOKUP(tblMaster[[#This Row],[Shift]],tblShift[Shift_Name],tblShift[Logout_Time]," ")</f>
        <v>0.625</v>
      </c>
      <c r="AG123">
        <f>_xlfn.XLOOKUP(tblMaster[[#This Row],[Shift]],tblShift[Shift_Name],tblShift[Standard_Working_Hours],"")</f>
        <v>8</v>
      </c>
      <c r="AH123" t="str">
        <f>_xlfn.XLOOKUP(tblMaster[[#This Row],[Attendance_Date]],tblHoliday[Holiday_Date],tblHoliday[Holiday_Name],"Working Day")</f>
        <v>Working Day</v>
      </c>
      <c r="AI123" t="str">
        <f>_xlfn.XLOOKUP(tblMaster[[#This Row],[Attendance_Date]],tblHoliday[Holiday_Date],tblHoliday[Holiday_Type],"Working Day ")</f>
        <v xml:space="preserve">Working Day </v>
      </c>
    </row>
    <row r="124" spans="1:35" hidden="1" x14ac:dyDescent="0.3">
      <c r="A124" t="s">
        <v>301</v>
      </c>
      <c r="B124" s="1">
        <v>45693</v>
      </c>
      <c r="C124" t="s">
        <v>95</v>
      </c>
      <c r="D124" t="s">
        <v>50</v>
      </c>
      <c r="E124" t="s">
        <v>51</v>
      </c>
      <c r="F124" t="s">
        <v>159</v>
      </c>
      <c r="G124" t="s">
        <v>160</v>
      </c>
      <c r="H124" t="s">
        <v>64</v>
      </c>
      <c r="I124" t="s">
        <v>65</v>
      </c>
      <c r="J124" t="s">
        <v>100</v>
      </c>
      <c r="K124" t="s">
        <v>44</v>
      </c>
      <c r="L124" s="2">
        <v>0.375</v>
      </c>
      <c r="M124" s="2">
        <v>0.75</v>
      </c>
      <c r="N124">
        <v>8.5</v>
      </c>
      <c r="O124">
        <v>0.5</v>
      </c>
      <c r="P124" t="s">
        <v>32</v>
      </c>
      <c r="R124">
        <v>5</v>
      </c>
      <c r="S124" t="s">
        <v>33</v>
      </c>
      <c r="T124" t="s">
        <v>68</v>
      </c>
      <c r="U124" t="s">
        <v>47</v>
      </c>
      <c r="V124" t="s">
        <v>60</v>
      </c>
      <c r="W124">
        <f>_xlfn.XLOOKUP(F124,tblEmployee[Employee_ID],tblEmployee[Age],"Not Found")</f>
        <v>30</v>
      </c>
      <c r="X124" t="str">
        <f>_xlfn.XLOOKUP(F124,tblEmployee[Employee_ID],tblEmployee[Gender],"Not Found")</f>
        <v>Female</v>
      </c>
      <c r="Y124">
        <f>_xlfn.XLOOKUP(F124,tblEmployee[Employee_ID],tblEmployee[Joining_Date],"")</f>
        <v>43723</v>
      </c>
      <c r="Z124">
        <f>_xlfn.XLOOKUP(H124,tblDepartment[Department],tblDepartment[Annual_Budget_INR],"")</f>
        <v>85000000</v>
      </c>
      <c r="AA124" t="str">
        <f>_xlfn.XLOOKUP(H124,tblDepartment[Department],tblDepartment[Monthly_Target],"")</f>
        <v>99.5% System Uptime</v>
      </c>
      <c r="AB124">
        <f>_xlfn.XLOOKUP(H124,tblDepartment[Department],tblDepartment[Average_Salary_INR],"")</f>
        <v>720000</v>
      </c>
      <c r="AC124" t="str">
        <f>_xlfn.XLOOKUP(H124,tblDepartment[Department],tblDepartment[Priority_Level],"")</f>
        <v>High</v>
      </c>
      <c r="AD124" t="str">
        <f>_xlfn.XLOOKUP(H124,tblDepartment[Department],tblDepartment[Key_KPI],"")</f>
        <v>Project Delivery</v>
      </c>
      <c r="AE124">
        <f>_xlfn.XLOOKUP(tblMaster[[#This Row],[Shift]],tblShift[Shift_Name],tblShift[Login_Time],"")</f>
        <v>0.41666666666666669</v>
      </c>
      <c r="AF124">
        <f>_xlfn.XLOOKUP(tblMaster[[#This Row],[Shift]],tblShift[Shift_Name],tblShift[Logout_Time]," ")</f>
        <v>0.79166666666666663</v>
      </c>
      <c r="AG124">
        <f>_xlfn.XLOOKUP(tblMaster[[#This Row],[Shift]],tblShift[Shift_Name],tblShift[Standard_Working_Hours],"")</f>
        <v>8</v>
      </c>
      <c r="AH124" t="str">
        <f>_xlfn.XLOOKUP(tblMaster[[#This Row],[Attendance_Date]],tblHoliday[Holiday_Date],tblHoliday[Holiday_Name],"Working Day")</f>
        <v>Working Day</v>
      </c>
      <c r="AI124" t="str">
        <f>_xlfn.XLOOKUP(tblMaster[[#This Row],[Attendance_Date]],tblHoliday[Holiday_Date],tblHoliday[Holiday_Type],"Working Day ")</f>
        <v xml:space="preserve">Working Day </v>
      </c>
    </row>
    <row r="125" spans="1:35" x14ac:dyDescent="0.3">
      <c r="A125" t="s">
        <v>302</v>
      </c>
      <c r="B125" s="3">
        <v>45713</v>
      </c>
      <c r="C125" t="s">
        <v>95</v>
      </c>
      <c r="D125" t="s">
        <v>50</v>
      </c>
      <c r="E125" t="s">
        <v>87</v>
      </c>
      <c r="F125" t="s">
        <v>228</v>
      </c>
      <c r="G125" t="s">
        <v>229</v>
      </c>
      <c r="H125" t="s">
        <v>79</v>
      </c>
      <c r="I125" t="s">
        <v>80</v>
      </c>
      <c r="J125" t="s">
        <v>43</v>
      </c>
      <c r="K125" t="s">
        <v>81</v>
      </c>
      <c r="L125" s="2">
        <v>0.91666666666666663</v>
      </c>
      <c r="M125" s="2">
        <v>0.29166666666666669</v>
      </c>
      <c r="N125">
        <v>9.5</v>
      </c>
      <c r="O125">
        <v>1.5</v>
      </c>
      <c r="P125" t="s">
        <v>32</v>
      </c>
      <c r="S125" t="s">
        <v>67</v>
      </c>
      <c r="T125" t="s">
        <v>84</v>
      </c>
      <c r="U125" t="str">
        <f>_xlfn.XLOOKUP(tblMaster[[#This Row],[Employee_ID]],tblEmployee[Employee_ID],tblEmployee[Work_Mode]," ")</f>
        <v>Hybrid</v>
      </c>
      <c r="V125" t="s">
        <v>60</v>
      </c>
      <c r="W125">
        <f>_xlfn.XLOOKUP(F125,tblEmployee[Employee_ID],tblEmployee[Age],"Not Found")</f>
        <v>29</v>
      </c>
      <c r="X125" t="str">
        <f>_xlfn.XLOOKUP(F125,tblEmployee[Employee_ID],tblEmployee[Gender],"Not Found")</f>
        <v>Female</v>
      </c>
      <c r="Y125">
        <f>_xlfn.XLOOKUP(F125,tblEmployee[Employee_ID],tblEmployee[Joining_Date],"")</f>
        <v>44607</v>
      </c>
      <c r="Z125">
        <f>_xlfn.XLOOKUP(H125,tblDepartment[Department],tblDepartment[Annual_Budget_INR],"")</f>
        <v>26000000</v>
      </c>
      <c r="AA125" t="str">
        <f>_xlfn.XLOOKUP(H125,tblDepartment[Department],tblDepartment[Monthly_Target],"")</f>
        <v>100% Payroll Accuracy</v>
      </c>
      <c r="AB125">
        <f>_xlfn.XLOOKUP(H125,tblDepartment[Department],tblDepartment[Average_Salary_INR],"")</f>
        <v>640000</v>
      </c>
      <c r="AC125" t="str">
        <f>_xlfn.XLOOKUP(H125,tblDepartment[Department],tblDepartment[Priority_Level],"")</f>
        <v>High</v>
      </c>
      <c r="AD125" t="str">
        <f>_xlfn.XLOOKUP(H125,tblDepartment[Department],tblDepartment[Key_KPI],"")</f>
        <v>Financial Compliance</v>
      </c>
      <c r="AE125">
        <f>_xlfn.XLOOKUP(tblMaster[[#This Row],[Shift]],tblShift[Shift_Name],tblShift[Login_Time],"")</f>
        <v>0.91666666666666663</v>
      </c>
      <c r="AF125">
        <f>_xlfn.XLOOKUP(tblMaster[[#This Row],[Shift]],tblShift[Shift_Name],tblShift[Logout_Time]," ")</f>
        <v>0.29166666666666669</v>
      </c>
      <c r="AG125">
        <f>_xlfn.XLOOKUP(tblMaster[[#This Row],[Shift]],tblShift[Shift_Name],tblShift[Standard_Working_Hours],"")</f>
        <v>8</v>
      </c>
      <c r="AH125" t="str">
        <f>_xlfn.XLOOKUP(tblMaster[[#This Row],[Attendance_Date]],tblHoliday[Holiday_Date],tblHoliday[Holiday_Name],"Working Day")</f>
        <v>Working Day</v>
      </c>
      <c r="AI125" t="str">
        <f>_xlfn.XLOOKUP(tblMaster[[#This Row],[Attendance_Date]],tblHoliday[Holiday_Date],tblHoliday[Holiday_Type],"Working Day ")</f>
        <v xml:space="preserve">Working Day </v>
      </c>
    </row>
    <row r="126" spans="1:35" hidden="1" x14ac:dyDescent="0.3">
      <c r="A126" t="s">
        <v>303</v>
      </c>
      <c r="B126" s="3">
        <v>45696</v>
      </c>
      <c r="C126" t="s">
        <v>95</v>
      </c>
      <c r="D126" t="s">
        <v>50</v>
      </c>
      <c r="E126" t="s">
        <v>38</v>
      </c>
      <c r="F126" t="s">
        <v>201</v>
      </c>
      <c r="G126" t="s">
        <v>202</v>
      </c>
      <c r="H126" t="s">
        <v>112</v>
      </c>
      <c r="I126" t="s">
        <v>113</v>
      </c>
      <c r="J126" t="s">
        <v>66</v>
      </c>
      <c r="K126" t="s">
        <v>54</v>
      </c>
      <c r="L126" s="2">
        <v>0.375</v>
      </c>
      <c r="M126" s="2">
        <v>0.75</v>
      </c>
      <c r="N126">
        <v>8</v>
      </c>
      <c r="O126">
        <v>0</v>
      </c>
      <c r="P126" t="s">
        <v>32</v>
      </c>
      <c r="R126">
        <v>4</v>
      </c>
      <c r="S126" t="s">
        <v>92</v>
      </c>
      <c r="T126" t="s">
        <v>114</v>
      </c>
      <c r="U126" t="s">
        <v>47</v>
      </c>
      <c r="V126" t="s">
        <v>60</v>
      </c>
      <c r="W126">
        <f>_xlfn.XLOOKUP(F126,tblEmployee[Employee_ID],tblEmployee[Age],"Not Found")</f>
        <v>35</v>
      </c>
      <c r="X126" t="str">
        <f>_xlfn.XLOOKUP(F126,tblEmployee[Employee_ID],tblEmployee[Gender],"Not Found")</f>
        <v>Male</v>
      </c>
      <c r="Y126">
        <f>_xlfn.XLOOKUP(F126,tblEmployee[Employee_ID],tblEmployee[Joining_Date],"")</f>
        <v>44423</v>
      </c>
      <c r="Z126">
        <f>_xlfn.XLOOKUP(H126,tblDepartment[Department],tblDepartment[Annual_Budget_INR],"")</f>
        <v>42000000</v>
      </c>
      <c r="AA126" t="str">
        <f>_xlfn.XLOOKUP(H126,tblDepartment[Department],tblDepartment[Monthly_Target],"")</f>
        <v>₹2.5 Cr Monthly Sales</v>
      </c>
      <c r="AB126">
        <f>_xlfn.XLOOKUP(H126,tblDepartment[Department],tblDepartment[Average_Salary_INR],"")</f>
        <v>680000</v>
      </c>
      <c r="AC126" t="str">
        <f>_xlfn.XLOOKUP(H126,tblDepartment[Department],tblDepartment[Priority_Level],"")</f>
        <v>High</v>
      </c>
      <c r="AD126" t="str">
        <f>_xlfn.XLOOKUP(H126,tblDepartment[Department],tblDepartment[Key_KPI],"")</f>
        <v>Revenue Achievement</v>
      </c>
      <c r="AE126">
        <f>_xlfn.XLOOKUP(tblMaster[[#This Row],[Shift]],tblShift[Shift_Name],tblShift[Login_Time],"")</f>
        <v>0.58333333333333337</v>
      </c>
      <c r="AF126">
        <f>_xlfn.XLOOKUP(tblMaster[[#This Row],[Shift]],tblShift[Shift_Name],tblShift[Logout_Time]," ")</f>
        <v>0.95833333333333337</v>
      </c>
      <c r="AG126">
        <f>_xlfn.XLOOKUP(tblMaster[[#This Row],[Shift]],tblShift[Shift_Name],tblShift[Standard_Working_Hours],"")</f>
        <v>8</v>
      </c>
      <c r="AH126" t="str">
        <f>_xlfn.XLOOKUP(tblMaster[[#This Row],[Attendance_Date]],tblHoliday[Holiday_Date],tblHoliday[Holiday_Name],"Working Day")</f>
        <v>Working Day</v>
      </c>
      <c r="AI126" t="str">
        <f>_xlfn.XLOOKUP(tblMaster[[#This Row],[Attendance_Date]],tblHoliday[Holiday_Date],tblHoliday[Holiday_Type],"Working Day ")</f>
        <v xml:space="preserve">Working Day </v>
      </c>
    </row>
    <row r="127" spans="1:35" x14ac:dyDescent="0.3">
      <c r="A127" t="s">
        <v>304</v>
      </c>
      <c r="B127" s="3">
        <v>45737</v>
      </c>
      <c r="C127" t="s">
        <v>71</v>
      </c>
      <c r="D127" t="s">
        <v>50</v>
      </c>
      <c r="E127" t="s">
        <v>119</v>
      </c>
      <c r="F127" t="s">
        <v>305</v>
      </c>
      <c r="G127" t="s">
        <v>306</v>
      </c>
      <c r="H127" t="s">
        <v>79</v>
      </c>
      <c r="I127" t="s">
        <v>80</v>
      </c>
      <c r="J127" t="s">
        <v>74</v>
      </c>
      <c r="K127" t="s">
        <v>75</v>
      </c>
      <c r="L127" s="2">
        <v>0.375</v>
      </c>
      <c r="M127" s="2">
        <v>0.75</v>
      </c>
      <c r="N127">
        <v>8</v>
      </c>
      <c r="O127">
        <v>0</v>
      </c>
      <c r="P127" t="s">
        <v>32</v>
      </c>
      <c r="R127">
        <v>4</v>
      </c>
      <c r="S127" t="s">
        <v>45</v>
      </c>
      <c r="T127" t="s">
        <v>84</v>
      </c>
      <c r="U127" t="str">
        <f>_xlfn.XLOOKUP(tblMaster[[#This Row],[Employee_ID]],tblEmployee[Employee_ID],tblEmployee[Work_Mode]," ")</f>
        <v>Remote</v>
      </c>
      <c r="V127" t="s">
        <v>35</v>
      </c>
      <c r="W127">
        <f>_xlfn.XLOOKUP(F127,tblEmployee[Employee_ID],tblEmployee[Age],"Not Found")</f>
        <v>36</v>
      </c>
      <c r="X127" t="str">
        <f>_xlfn.XLOOKUP(F127,tblEmployee[Employee_ID],tblEmployee[Gender],"Not Found")</f>
        <v>Female</v>
      </c>
      <c r="Y127">
        <f>_xlfn.XLOOKUP(F127,tblEmployee[Employee_ID],tblEmployee[Joining_Date],"")</f>
        <v>44819</v>
      </c>
      <c r="Z127">
        <f>_xlfn.XLOOKUP(H127,tblDepartment[Department],tblDepartment[Annual_Budget_INR],"")</f>
        <v>26000000</v>
      </c>
      <c r="AA127" t="str">
        <f>_xlfn.XLOOKUP(H127,tblDepartment[Department],tblDepartment[Monthly_Target],"")</f>
        <v>100% Payroll Accuracy</v>
      </c>
      <c r="AB127">
        <f>_xlfn.XLOOKUP(H127,tblDepartment[Department],tblDepartment[Average_Salary_INR],"")</f>
        <v>640000</v>
      </c>
      <c r="AC127" t="str">
        <f>_xlfn.XLOOKUP(H127,tblDepartment[Department],tblDepartment[Priority_Level],"")</f>
        <v>High</v>
      </c>
      <c r="AD127" t="str">
        <f>_xlfn.XLOOKUP(H127,tblDepartment[Department],tblDepartment[Key_KPI],"")</f>
        <v>Financial Compliance</v>
      </c>
      <c r="AE127">
        <f>_xlfn.XLOOKUP(tblMaster[[#This Row],[Shift]],tblShift[Shift_Name],tblShift[Login_Time],"")</f>
        <v>0.375</v>
      </c>
      <c r="AF127">
        <f>_xlfn.XLOOKUP(tblMaster[[#This Row],[Shift]],tblShift[Shift_Name],tblShift[Logout_Time]," ")</f>
        <v>0.75</v>
      </c>
      <c r="AG127">
        <f>_xlfn.XLOOKUP(tblMaster[[#This Row],[Shift]],tblShift[Shift_Name],tblShift[Standard_Working_Hours],"")</f>
        <v>8</v>
      </c>
      <c r="AH127" t="str">
        <f>_xlfn.XLOOKUP(tblMaster[[#This Row],[Attendance_Date]],tblHoliday[Holiday_Date],tblHoliday[Holiday_Name],"Working Day")</f>
        <v>Working Day</v>
      </c>
      <c r="AI127" t="str">
        <f>_xlfn.XLOOKUP(tblMaster[[#This Row],[Attendance_Date]],tblHoliday[Holiday_Date],tblHoliday[Holiday_Type],"Working Day ")</f>
        <v xml:space="preserve">Working Day </v>
      </c>
    </row>
    <row r="128" spans="1:35" x14ac:dyDescent="0.3">
      <c r="A128" t="s">
        <v>307</v>
      </c>
      <c r="B128" s="3">
        <v>45742</v>
      </c>
      <c r="C128" t="s">
        <v>71</v>
      </c>
      <c r="D128" t="s">
        <v>50</v>
      </c>
      <c r="E128" t="s">
        <v>51</v>
      </c>
      <c r="F128" t="s">
        <v>163</v>
      </c>
      <c r="G128" t="s">
        <v>164</v>
      </c>
      <c r="H128" t="s">
        <v>112</v>
      </c>
      <c r="I128" t="s">
        <v>113</v>
      </c>
      <c r="J128" t="s">
        <v>100</v>
      </c>
      <c r="K128" t="s">
        <v>31</v>
      </c>
      <c r="L128" s="2">
        <v>0.375</v>
      </c>
      <c r="M128" s="2">
        <v>0.75</v>
      </c>
      <c r="N128">
        <v>8</v>
      </c>
      <c r="O128">
        <v>0</v>
      </c>
      <c r="P128" t="s">
        <v>32</v>
      </c>
      <c r="R128">
        <v>4</v>
      </c>
      <c r="S128" t="s">
        <v>33</v>
      </c>
      <c r="T128" t="s">
        <v>114</v>
      </c>
      <c r="U128" t="str">
        <f>_xlfn.XLOOKUP(tblMaster[[#This Row],[Employee_ID]],tblEmployee[Employee_ID],tblEmployee[Work_Mode]," ")</f>
        <v>Office</v>
      </c>
      <c r="V128" t="s">
        <v>60</v>
      </c>
      <c r="W128">
        <f>_xlfn.XLOOKUP(F128,tblEmployee[Employee_ID],tblEmployee[Age],"Not Found")</f>
        <v>25</v>
      </c>
      <c r="X128" t="str">
        <f>_xlfn.XLOOKUP(F128,tblEmployee[Employee_ID],tblEmployee[Gender],"Not Found")</f>
        <v>Male</v>
      </c>
      <c r="Y128">
        <f>_xlfn.XLOOKUP(F128,tblEmployee[Employee_ID],tblEmployee[Joining_Date],"")</f>
        <v>44301</v>
      </c>
      <c r="Z128">
        <f>_xlfn.XLOOKUP(H128,tblDepartment[Department],tblDepartment[Annual_Budget_INR],"")</f>
        <v>42000000</v>
      </c>
      <c r="AA128" t="str">
        <f>_xlfn.XLOOKUP(H128,tblDepartment[Department],tblDepartment[Monthly_Target],"")</f>
        <v>₹2.5 Cr Monthly Sales</v>
      </c>
      <c r="AB128">
        <f>_xlfn.XLOOKUP(H128,tblDepartment[Department],tblDepartment[Average_Salary_INR],"")</f>
        <v>680000</v>
      </c>
      <c r="AC128" t="str">
        <f>_xlfn.XLOOKUP(H128,tblDepartment[Department],tblDepartment[Priority_Level],"")</f>
        <v>High</v>
      </c>
      <c r="AD128" t="str">
        <f>_xlfn.XLOOKUP(H128,tblDepartment[Department],tblDepartment[Key_KPI],"")</f>
        <v>Revenue Achievement</v>
      </c>
      <c r="AE128">
        <f>_xlfn.XLOOKUP(tblMaster[[#This Row],[Shift]],tblShift[Shift_Name],tblShift[Login_Time],"")</f>
        <v>0.25</v>
      </c>
      <c r="AF128">
        <f>_xlfn.XLOOKUP(tblMaster[[#This Row],[Shift]],tblShift[Shift_Name],tblShift[Logout_Time]," ")</f>
        <v>0.625</v>
      </c>
      <c r="AG128">
        <f>_xlfn.XLOOKUP(tblMaster[[#This Row],[Shift]],tblShift[Shift_Name],tblShift[Standard_Working_Hours],"")</f>
        <v>8</v>
      </c>
      <c r="AH128" t="str">
        <f>_xlfn.XLOOKUP(tblMaster[[#This Row],[Attendance_Date]],tblHoliday[Holiday_Date],tblHoliday[Holiday_Name],"Working Day")</f>
        <v>Working Day</v>
      </c>
      <c r="AI128" t="str">
        <f>_xlfn.XLOOKUP(tblMaster[[#This Row],[Attendance_Date]],tblHoliday[Holiday_Date],tblHoliday[Holiday_Type],"Working Day ")</f>
        <v xml:space="preserve">Working Day </v>
      </c>
    </row>
    <row r="129" spans="1:35" x14ac:dyDescent="0.3">
      <c r="A129" t="s">
        <v>308</v>
      </c>
      <c r="B129" s="1">
        <v>45828</v>
      </c>
      <c r="C129" t="s">
        <v>23</v>
      </c>
      <c r="D129" t="s">
        <v>24</v>
      </c>
      <c r="E129" t="s">
        <v>119</v>
      </c>
      <c r="F129" t="s">
        <v>309</v>
      </c>
      <c r="G129" t="s">
        <v>310</v>
      </c>
      <c r="H129" t="s">
        <v>28</v>
      </c>
      <c r="I129" t="s">
        <v>29</v>
      </c>
      <c r="J129" t="s">
        <v>43</v>
      </c>
      <c r="K129" t="s">
        <v>75</v>
      </c>
      <c r="L129" s="2">
        <v>0.375</v>
      </c>
      <c r="M129" s="2">
        <v>0.75</v>
      </c>
      <c r="N129">
        <v>8</v>
      </c>
      <c r="O129">
        <v>0</v>
      </c>
      <c r="P129" t="s">
        <v>32</v>
      </c>
      <c r="R129">
        <v>5</v>
      </c>
      <c r="S129" t="s">
        <v>92</v>
      </c>
      <c r="T129" t="s">
        <v>34</v>
      </c>
      <c r="U129" t="str">
        <f>_xlfn.XLOOKUP(tblMaster[[#This Row],[Employee_ID]],tblEmployee[Employee_ID],tblEmployee[Work_Mode]," ")</f>
        <v>Remote</v>
      </c>
      <c r="V129" t="s">
        <v>35</v>
      </c>
      <c r="W129">
        <f>_xlfn.XLOOKUP(F129,tblEmployee[Employee_ID],tblEmployee[Age],"Not Found")</f>
        <v>39</v>
      </c>
      <c r="X129" t="str">
        <f>_xlfn.XLOOKUP(F129,tblEmployee[Employee_ID],tblEmployee[Gender],"Not Found")</f>
        <v>Male</v>
      </c>
      <c r="Y129">
        <f>_xlfn.XLOOKUP(F129,tblEmployee[Employee_ID],tblEmployee[Joining_Date],"")</f>
        <v>43449</v>
      </c>
      <c r="Z129">
        <f>_xlfn.XLOOKUP(H129,tblDepartment[Department],tblDepartment[Annual_Budget_INR],"")</f>
        <v>24000000</v>
      </c>
      <c r="AA129" t="str">
        <f>_xlfn.XLOOKUP(H129,tblDepartment[Department],tblDepartment[Monthly_Target],"")</f>
        <v>90% Customer Satisfaction</v>
      </c>
      <c r="AB129">
        <f>_xlfn.XLOOKUP(H129,tblDepartment[Department],tblDepartment[Average_Salary_INR],"")</f>
        <v>520000</v>
      </c>
      <c r="AC129" t="str">
        <f>_xlfn.XLOOKUP(H129,tblDepartment[Department],tblDepartment[Priority_Level],"")</f>
        <v>High</v>
      </c>
      <c r="AD129" t="str">
        <f>_xlfn.XLOOKUP(H129,tblDepartment[Department],tblDepartment[Key_KPI],"")</f>
        <v>Customer Satisfaction</v>
      </c>
      <c r="AE129">
        <f>_xlfn.XLOOKUP(tblMaster[[#This Row],[Shift]],tblShift[Shift_Name],tblShift[Login_Time],"")</f>
        <v>0.375</v>
      </c>
      <c r="AF129">
        <f>_xlfn.XLOOKUP(tblMaster[[#This Row],[Shift]],tblShift[Shift_Name],tblShift[Logout_Time]," ")</f>
        <v>0.75</v>
      </c>
      <c r="AG129">
        <f>_xlfn.XLOOKUP(tblMaster[[#This Row],[Shift]],tblShift[Shift_Name],tblShift[Standard_Working_Hours],"")</f>
        <v>8</v>
      </c>
      <c r="AH129" t="str">
        <f>_xlfn.XLOOKUP(tblMaster[[#This Row],[Attendance_Date]],tblHoliday[Holiday_Date],tblHoliday[Holiday_Name],"Working Day")</f>
        <v>Working Day</v>
      </c>
      <c r="AI129" t="str">
        <f>_xlfn.XLOOKUP(tblMaster[[#This Row],[Attendance_Date]],tblHoliday[Holiday_Date],tblHoliday[Holiday_Type],"Working Day ")</f>
        <v xml:space="preserve">Working Day </v>
      </c>
    </row>
    <row r="130" spans="1:35" hidden="1" x14ac:dyDescent="0.3">
      <c r="A130" t="s">
        <v>311</v>
      </c>
      <c r="B130" s="1">
        <v>45736</v>
      </c>
      <c r="C130" t="s">
        <v>71</v>
      </c>
      <c r="D130" t="s">
        <v>50</v>
      </c>
      <c r="E130" t="s">
        <v>25</v>
      </c>
      <c r="F130" t="s">
        <v>127</v>
      </c>
      <c r="G130" t="s">
        <v>128</v>
      </c>
      <c r="H130" t="s">
        <v>90</v>
      </c>
      <c r="I130" t="s">
        <v>91</v>
      </c>
      <c r="J130" t="s">
        <v>66</v>
      </c>
      <c r="K130" t="s">
        <v>44</v>
      </c>
      <c r="L130" s="2">
        <v>0.375</v>
      </c>
      <c r="M130" s="2">
        <v>0.75</v>
      </c>
      <c r="N130">
        <v>8</v>
      </c>
      <c r="O130">
        <v>0</v>
      </c>
      <c r="P130" t="s">
        <v>32</v>
      </c>
      <c r="S130" t="s">
        <v>45</v>
      </c>
      <c r="T130" t="s">
        <v>93</v>
      </c>
      <c r="U130" t="s">
        <v>55</v>
      </c>
      <c r="W130">
        <f>_xlfn.XLOOKUP(F130,tblEmployee[Employee_ID],tblEmployee[Age],"Not Found")</f>
        <v>38</v>
      </c>
      <c r="X130" t="str">
        <f>_xlfn.XLOOKUP(F130,tblEmployee[Employee_ID],tblEmployee[Gender],"Not Found")</f>
        <v>Female</v>
      </c>
      <c r="Y130">
        <f>_xlfn.XLOOKUP(F130,tblEmployee[Employee_ID],tblEmployee[Joining_Date],"")</f>
        <v>43966</v>
      </c>
      <c r="Z130">
        <f>_xlfn.XLOOKUP(H130,tblDepartment[Department],tblDepartment[Annual_Budget_INR],"")</f>
        <v>18000000</v>
      </c>
      <c r="AA130" t="str">
        <f>_xlfn.XLOOKUP(H130,tblDepartment[Department],tblDepartment[Monthly_Target],"")</f>
        <v>&lt;30 Days Hiring Cycle</v>
      </c>
      <c r="AB130">
        <f>_xlfn.XLOOKUP(H130,tblDepartment[Department],tblDepartment[Average_Salary_INR],"")</f>
        <v>560000</v>
      </c>
      <c r="AC130" t="str">
        <f>_xlfn.XLOOKUP(H130,tblDepartment[Department],tblDepartment[Priority_Level],"")</f>
        <v>Medium</v>
      </c>
      <c r="AD130" t="str">
        <f>_xlfn.XLOOKUP(H130,tblDepartment[Department],tblDepartment[Key_KPI],"")</f>
        <v>Hiring &amp; Retention</v>
      </c>
      <c r="AE130">
        <f>_xlfn.XLOOKUP(tblMaster[[#This Row],[Shift]],tblShift[Shift_Name],tblShift[Login_Time],"")</f>
        <v>0.41666666666666669</v>
      </c>
      <c r="AF130">
        <f>_xlfn.XLOOKUP(tblMaster[[#This Row],[Shift]],tblShift[Shift_Name],tblShift[Logout_Time]," ")</f>
        <v>0.79166666666666663</v>
      </c>
      <c r="AG130">
        <f>_xlfn.XLOOKUP(tblMaster[[#This Row],[Shift]],tblShift[Shift_Name],tblShift[Standard_Working_Hours],"")</f>
        <v>8</v>
      </c>
      <c r="AH130" t="str">
        <f>_xlfn.XLOOKUP(tblMaster[[#This Row],[Attendance_Date]],tblHoliday[Holiday_Date],tblHoliday[Holiday_Name],"Working Day")</f>
        <v>Working Day</v>
      </c>
      <c r="AI130" t="str">
        <f>_xlfn.XLOOKUP(tblMaster[[#This Row],[Attendance_Date]],tblHoliday[Holiday_Date],tblHoliday[Holiday_Type],"Working Day ")</f>
        <v xml:space="preserve">Working Day </v>
      </c>
    </row>
    <row r="131" spans="1:35" hidden="1" x14ac:dyDescent="0.3">
      <c r="A131" t="s">
        <v>312</v>
      </c>
      <c r="B131" s="3">
        <v>45775</v>
      </c>
      <c r="C131" t="s">
        <v>37</v>
      </c>
      <c r="D131" t="s">
        <v>24</v>
      </c>
      <c r="E131" t="s">
        <v>109</v>
      </c>
      <c r="F131" t="s">
        <v>26</v>
      </c>
      <c r="G131" t="s">
        <v>27</v>
      </c>
      <c r="H131" t="s">
        <v>28</v>
      </c>
      <c r="I131" t="s">
        <v>29</v>
      </c>
      <c r="J131" t="s">
        <v>30</v>
      </c>
      <c r="K131" t="s">
        <v>44</v>
      </c>
      <c r="L131" s="2">
        <v>0.375</v>
      </c>
      <c r="M131" s="2">
        <v>0.75</v>
      </c>
      <c r="N131">
        <v>8</v>
      </c>
      <c r="O131">
        <v>0</v>
      </c>
      <c r="P131" t="s">
        <v>32</v>
      </c>
      <c r="R131">
        <v>4</v>
      </c>
      <c r="S131" t="s">
        <v>67</v>
      </c>
      <c r="T131" t="s">
        <v>34</v>
      </c>
      <c r="U131" t="s">
        <v>47</v>
      </c>
      <c r="V131" t="s">
        <v>35</v>
      </c>
      <c r="W131">
        <f>_xlfn.XLOOKUP(F131,tblEmployee[Employee_ID],tblEmployee[Age],"Not Found")</f>
        <v>36</v>
      </c>
      <c r="X131" t="str">
        <f>_xlfn.XLOOKUP(F131,tblEmployee[Employee_ID],tblEmployee[Gender],"Not Found")</f>
        <v>Female</v>
      </c>
      <c r="Y131">
        <f>_xlfn.XLOOKUP(F131,tblEmployee[Employee_ID],tblEmployee[Joining_Date],"")</f>
        <v>43174</v>
      </c>
      <c r="Z131">
        <f>_xlfn.XLOOKUP(H131,tblDepartment[Department],tblDepartment[Annual_Budget_INR],"")</f>
        <v>24000000</v>
      </c>
      <c r="AA131" t="str">
        <f>_xlfn.XLOOKUP(H131,tblDepartment[Department],tblDepartment[Monthly_Target],"")</f>
        <v>90% Customer Satisfaction</v>
      </c>
      <c r="AB131">
        <f>_xlfn.XLOOKUP(H131,tblDepartment[Department],tblDepartment[Average_Salary_INR],"")</f>
        <v>520000</v>
      </c>
      <c r="AC131" t="str">
        <f>_xlfn.XLOOKUP(H131,tblDepartment[Department],tblDepartment[Priority_Level],"")</f>
        <v>High</v>
      </c>
      <c r="AD131" t="str">
        <f>_xlfn.XLOOKUP(H131,tblDepartment[Department],tblDepartment[Key_KPI],"")</f>
        <v>Customer Satisfaction</v>
      </c>
      <c r="AE131">
        <f>_xlfn.XLOOKUP(tblMaster[[#This Row],[Shift]],tblShift[Shift_Name],tblShift[Login_Time],"")</f>
        <v>0.41666666666666669</v>
      </c>
      <c r="AF131">
        <f>_xlfn.XLOOKUP(tblMaster[[#This Row],[Shift]],tblShift[Shift_Name],tblShift[Logout_Time]," ")</f>
        <v>0.79166666666666663</v>
      </c>
      <c r="AG131">
        <f>_xlfn.XLOOKUP(tblMaster[[#This Row],[Shift]],tblShift[Shift_Name],tblShift[Standard_Working_Hours],"")</f>
        <v>8</v>
      </c>
      <c r="AH131" t="str">
        <f>_xlfn.XLOOKUP(tblMaster[[#This Row],[Attendance_Date]],tblHoliday[Holiday_Date],tblHoliday[Holiday_Name],"Working Day")</f>
        <v>Working Day</v>
      </c>
      <c r="AI131" t="str">
        <f>_xlfn.XLOOKUP(tblMaster[[#This Row],[Attendance_Date]],tblHoliday[Holiday_Date],tblHoliday[Holiday_Type],"Working Day ")</f>
        <v xml:space="preserve">Working Day </v>
      </c>
    </row>
    <row r="132" spans="1:35" hidden="1" x14ac:dyDescent="0.3">
      <c r="A132" t="s">
        <v>313</v>
      </c>
      <c r="B132" s="3">
        <v>45827</v>
      </c>
      <c r="C132" t="s">
        <v>23</v>
      </c>
      <c r="D132" t="s">
        <v>24</v>
      </c>
      <c r="E132" t="s">
        <v>25</v>
      </c>
      <c r="F132" t="s">
        <v>148</v>
      </c>
      <c r="G132" t="s">
        <v>149</v>
      </c>
      <c r="H132" t="s">
        <v>314</v>
      </c>
      <c r="I132" t="s">
        <v>113</v>
      </c>
      <c r="J132" t="s">
        <v>43</v>
      </c>
      <c r="K132" t="s">
        <v>81</v>
      </c>
      <c r="L132" s="2">
        <v>0.3888888888888889</v>
      </c>
      <c r="N132">
        <v>10</v>
      </c>
      <c r="O132">
        <v>2</v>
      </c>
      <c r="P132" t="s">
        <v>32</v>
      </c>
      <c r="R132">
        <v>4</v>
      </c>
      <c r="S132" t="s">
        <v>92</v>
      </c>
      <c r="T132" t="s">
        <v>114</v>
      </c>
      <c r="U132" t="s">
        <v>47</v>
      </c>
      <c r="V132" t="s">
        <v>60</v>
      </c>
      <c r="W132">
        <f>_xlfn.XLOOKUP(F132,tblEmployee[Employee_ID],tblEmployee[Age],"Not Found")</f>
        <v>31</v>
      </c>
      <c r="X132" t="str">
        <f>_xlfn.XLOOKUP(F132,tblEmployee[Employee_ID],tblEmployee[Gender],"Not Found")</f>
        <v>Male</v>
      </c>
      <c r="Y132">
        <f>_xlfn.XLOOKUP(F132,tblEmployee[Employee_ID],tblEmployee[Joining_Date],"")</f>
        <v>44484</v>
      </c>
      <c r="Z132">
        <f>_xlfn.XLOOKUP(H132,tblDepartment[Department],tblDepartment[Annual_Budget_INR],"")</f>
        <v>42000000</v>
      </c>
      <c r="AA132" t="str">
        <f>_xlfn.XLOOKUP(H132,tblDepartment[Department],tblDepartment[Monthly_Target],"")</f>
        <v>₹2.5 Cr Monthly Sales</v>
      </c>
      <c r="AB132">
        <f>_xlfn.XLOOKUP(H132,tblDepartment[Department],tblDepartment[Average_Salary_INR],"")</f>
        <v>680000</v>
      </c>
      <c r="AC132" t="str">
        <f>_xlfn.XLOOKUP(H132,tblDepartment[Department],tblDepartment[Priority_Level],"")</f>
        <v>High</v>
      </c>
      <c r="AD132" t="str">
        <f>_xlfn.XLOOKUP(H132,tblDepartment[Department],tblDepartment[Key_KPI],"")</f>
        <v>Revenue Achievement</v>
      </c>
      <c r="AE132">
        <f>_xlfn.XLOOKUP(tblMaster[[#This Row],[Shift]],tblShift[Shift_Name],tblShift[Login_Time],"")</f>
        <v>0.91666666666666663</v>
      </c>
      <c r="AF132">
        <f>_xlfn.XLOOKUP(tblMaster[[#This Row],[Shift]],tblShift[Shift_Name],tblShift[Logout_Time]," ")</f>
        <v>0.29166666666666669</v>
      </c>
      <c r="AG132">
        <f>_xlfn.XLOOKUP(tblMaster[[#This Row],[Shift]],tblShift[Shift_Name],tblShift[Standard_Working_Hours],"")</f>
        <v>8</v>
      </c>
      <c r="AH132" t="str">
        <f>_xlfn.XLOOKUP(tblMaster[[#This Row],[Attendance_Date]],tblHoliday[Holiday_Date],tblHoliday[Holiday_Name],"Working Day")</f>
        <v>Working Day</v>
      </c>
      <c r="AI132" t="str">
        <f>_xlfn.XLOOKUP(tblMaster[[#This Row],[Attendance_Date]],tblHoliday[Holiday_Date],tblHoliday[Holiday_Type],"Working Day ")</f>
        <v xml:space="preserve">Working Day </v>
      </c>
    </row>
    <row r="133" spans="1:35" hidden="1" x14ac:dyDescent="0.3">
      <c r="A133" t="s">
        <v>315</v>
      </c>
      <c r="B133" s="3">
        <v>45705</v>
      </c>
      <c r="C133" t="s">
        <v>95</v>
      </c>
      <c r="D133" t="s">
        <v>50</v>
      </c>
      <c r="E133" t="s">
        <v>109</v>
      </c>
      <c r="F133" t="s">
        <v>72</v>
      </c>
      <c r="G133" t="s">
        <v>73</v>
      </c>
      <c r="H133" t="s">
        <v>28</v>
      </c>
      <c r="I133" t="s">
        <v>29</v>
      </c>
      <c r="J133" t="s">
        <v>74</v>
      </c>
      <c r="K133" t="s">
        <v>54</v>
      </c>
      <c r="L133" s="2">
        <v>0.375</v>
      </c>
      <c r="N133">
        <v>8</v>
      </c>
      <c r="O133">
        <v>0</v>
      </c>
      <c r="P133" t="s">
        <v>32</v>
      </c>
      <c r="R133">
        <v>4</v>
      </c>
      <c r="S133" t="s">
        <v>92</v>
      </c>
      <c r="T133" t="s">
        <v>34</v>
      </c>
      <c r="U133" t="s">
        <v>85</v>
      </c>
      <c r="V133" t="s">
        <v>69</v>
      </c>
      <c r="W133">
        <f>_xlfn.XLOOKUP(F133,tblEmployee[Employee_ID],tblEmployee[Age],"Not Found")</f>
        <v>28</v>
      </c>
      <c r="X133" t="str">
        <f>_xlfn.XLOOKUP(F133,tblEmployee[Employee_ID],tblEmployee[Gender],"Not Found")</f>
        <v>Female</v>
      </c>
      <c r="Y133">
        <f>_xlfn.XLOOKUP(F133,tblEmployee[Employee_ID],tblEmployee[Joining_Date],"")</f>
        <v>43296</v>
      </c>
      <c r="Z133">
        <f>_xlfn.XLOOKUP(H133,tblDepartment[Department],tblDepartment[Annual_Budget_INR],"")</f>
        <v>24000000</v>
      </c>
      <c r="AA133" t="str">
        <f>_xlfn.XLOOKUP(H133,tblDepartment[Department],tblDepartment[Monthly_Target],"")</f>
        <v>90% Customer Satisfaction</v>
      </c>
      <c r="AB133">
        <f>_xlfn.XLOOKUP(H133,tblDepartment[Department],tblDepartment[Average_Salary_INR],"")</f>
        <v>520000</v>
      </c>
      <c r="AC133" t="str">
        <f>_xlfn.XLOOKUP(H133,tblDepartment[Department],tblDepartment[Priority_Level],"")</f>
        <v>High</v>
      </c>
      <c r="AD133" t="str">
        <f>_xlfn.XLOOKUP(H133,tblDepartment[Department],tblDepartment[Key_KPI],"")</f>
        <v>Customer Satisfaction</v>
      </c>
      <c r="AE133">
        <f>_xlfn.XLOOKUP(tblMaster[[#This Row],[Shift]],tblShift[Shift_Name],tblShift[Login_Time],"")</f>
        <v>0.58333333333333337</v>
      </c>
      <c r="AF133">
        <f>_xlfn.XLOOKUP(tblMaster[[#This Row],[Shift]],tblShift[Shift_Name],tblShift[Logout_Time]," ")</f>
        <v>0.95833333333333337</v>
      </c>
      <c r="AG133">
        <f>_xlfn.XLOOKUP(tblMaster[[#This Row],[Shift]],tblShift[Shift_Name],tblShift[Standard_Working_Hours],"")</f>
        <v>8</v>
      </c>
      <c r="AH133" t="str">
        <f>_xlfn.XLOOKUP(tblMaster[[#This Row],[Attendance_Date]],tblHoliday[Holiday_Date],tblHoliday[Holiday_Name],"Working Day")</f>
        <v>Working Day</v>
      </c>
      <c r="AI133" t="str">
        <f>_xlfn.XLOOKUP(tblMaster[[#This Row],[Attendance_Date]],tblHoliday[Holiday_Date],tblHoliday[Holiday_Type],"Working Day ")</f>
        <v xml:space="preserve">Working Day </v>
      </c>
    </row>
    <row r="134" spans="1:35" x14ac:dyDescent="0.3">
      <c r="A134" t="s">
        <v>316</v>
      </c>
      <c r="B134" s="1">
        <v>45665</v>
      </c>
      <c r="C134" t="s">
        <v>49</v>
      </c>
      <c r="D134" t="s">
        <v>50</v>
      </c>
      <c r="E134" t="s">
        <v>51</v>
      </c>
      <c r="F134" t="s">
        <v>228</v>
      </c>
      <c r="G134" t="s">
        <v>229</v>
      </c>
      <c r="H134" t="s">
        <v>79</v>
      </c>
      <c r="I134" t="s">
        <v>80</v>
      </c>
      <c r="J134" t="s">
        <v>43</v>
      </c>
      <c r="K134" t="s">
        <v>54</v>
      </c>
      <c r="L134" s="2">
        <v>0.375</v>
      </c>
      <c r="M134" s="2">
        <v>0.75</v>
      </c>
      <c r="N134">
        <v>8</v>
      </c>
      <c r="O134">
        <v>0</v>
      </c>
      <c r="P134" t="s">
        <v>32</v>
      </c>
      <c r="R134">
        <v>3</v>
      </c>
      <c r="S134" t="s">
        <v>33</v>
      </c>
      <c r="T134" t="s">
        <v>84</v>
      </c>
      <c r="U134" t="str">
        <f>_xlfn.XLOOKUP(tblMaster[[#This Row],[Employee_ID]],tblEmployee[Employee_ID],tblEmployee[Work_Mode]," ")</f>
        <v>Hybrid</v>
      </c>
      <c r="V134" t="s">
        <v>60</v>
      </c>
      <c r="W134">
        <f>_xlfn.XLOOKUP(F134,tblEmployee[Employee_ID],tblEmployee[Age],"Not Found")</f>
        <v>29</v>
      </c>
      <c r="X134" t="str">
        <f>_xlfn.XLOOKUP(F134,tblEmployee[Employee_ID],tblEmployee[Gender],"Not Found")</f>
        <v>Female</v>
      </c>
      <c r="Y134">
        <f>_xlfn.XLOOKUP(F134,tblEmployee[Employee_ID],tblEmployee[Joining_Date],"")</f>
        <v>44607</v>
      </c>
      <c r="Z134">
        <f>_xlfn.XLOOKUP(H134,tblDepartment[Department],tblDepartment[Annual_Budget_INR],"")</f>
        <v>26000000</v>
      </c>
      <c r="AA134" t="str">
        <f>_xlfn.XLOOKUP(H134,tblDepartment[Department],tblDepartment[Monthly_Target],"")</f>
        <v>100% Payroll Accuracy</v>
      </c>
      <c r="AB134">
        <f>_xlfn.XLOOKUP(H134,tblDepartment[Department],tblDepartment[Average_Salary_INR],"")</f>
        <v>640000</v>
      </c>
      <c r="AC134" t="str">
        <f>_xlfn.XLOOKUP(H134,tblDepartment[Department],tblDepartment[Priority_Level],"")</f>
        <v>High</v>
      </c>
      <c r="AD134" t="str">
        <f>_xlfn.XLOOKUP(H134,tblDepartment[Department],tblDepartment[Key_KPI],"")</f>
        <v>Financial Compliance</v>
      </c>
      <c r="AE134">
        <f>_xlfn.XLOOKUP(tblMaster[[#This Row],[Shift]],tblShift[Shift_Name],tblShift[Login_Time],"")</f>
        <v>0.58333333333333337</v>
      </c>
      <c r="AF134">
        <f>_xlfn.XLOOKUP(tblMaster[[#This Row],[Shift]],tblShift[Shift_Name],tblShift[Logout_Time]," ")</f>
        <v>0.95833333333333337</v>
      </c>
      <c r="AG134">
        <f>_xlfn.XLOOKUP(tblMaster[[#This Row],[Shift]],tblShift[Shift_Name],tblShift[Standard_Working_Hours],"")</f>
        <v>8</v>
      </c>
      <c r="AH134" t="str">
        <f>_xlfn.XLOOKUP(tblMaster[[#This Row],[Attendance_Date]],tblHoliday[Holiday_Date],tblHoliday[Holiday_Name],"Working Day")</f>
        <v>Working Day</v>
      </c>
      <c r="AI134" t="str">
        <f>_xlfn.XLOOKUP(tblMaster[[#This Row],[Attendance_Date]],tblHoliday[Holiday_Date],tblHoliday[Holiday_Type],"Working Day ")</f>
        <v xml:space="preserve">Working Day </v>
      </c>
    </row>
    <row r="135" spans="1:35" hidden="1" x14ac:dyDescent="0.3">
      <c r="A135" t="s">
        <v>317</v>
      </c>
      <c r="B135" s="3">
        <v>45753</v>
      </c>
      <c r="C135" t="s">
        <v>37</v>
      </c>
      <c r="D135" t="s">
        <v>24</v>
      </c>
      <c r="E135" t="s">
        <v>103</v>
      </c>
      <c r="F135" t="s">
        <v>77</v>
      </c>
      <c r="G135" t="s">
        <v>78</v>
      </c>
      <c r="H135" t="s">
        <v>79</v>
      </c>
      <c r="I135" t="s">
        <v>80</v>
      </c>
      <c r="J135" t="s">
        <v>30</v>
      </c>
      <c r="K135" t="s">
        <v>75</v>
      </c>
      <c r="P135" t="s">
        <v>82</v>
      </c>
      <c r="Q135" t="s">
        <v>225</v>
      </c>
      <c r="S135" t="s">
        <v>92</v>
      </c>
      <c r="T135" t="s">
        <v>84</v>
      </c>
      <c r="U135" t="s">
        <v>55</v>
      </c>
      <c r="V135" t="s">
        <v>35</v>
      </c>
      <c r="W135">
        <f>_xlfn.XLOOKUP(F135,tblEmployee[Employee_ID],tblEmployee[Age],"Not Found")</f>
        <v>26</v>
      </c>
      <c r="X135" t="str">
        <f>_xlfn.XLOOKUP(F135,tblEmployee[Employee_ID],tblEmployee[Gender],"Not Found")</f>
        <v>Female</v>
      </c>
      <c r="Y135">
        <f>_xlfn.XLOOKUP(F135,tblEmployee[Employee_ID],tblEmployee[Joining_Date],"")</f>
        <v>44696</v>
      </c>
      <c r="Z135">
        <f>_xlfn.XLOOKUP(H135,tblDepartment[Department],tblDepartment[Annual_Budget_INR],"")</f>
        <v>26000000</v>
      </c>
      <c r="AA135" t="str">
        <f>_xlfn.XLOOKUP(H135,tblDepartment[Department],tblDepartment[Monthly_Target],"")</f>
        <v>100% Payroll Accuracy</v>
      </c>
      <c r="AB135">
        <f>_xlfn.XLOOKUP(H135,tblDepartment[Department],tblDepartment[Average_Salary_INR],"")</f>
        <v>640000</v>
      </c>
      <c r="AC135" t="str">
        <f>_xlfn.XLOOKUP(H135,tblDepartment[Department],tblDepartment[Priority_Level],"")</f>
        <v>High</v>
      </c>
      <c r="AD135" t="str">
        <f>_xlfn.XLOOKUP(H135,tblDepartment[Department],tblDepartment[Key_KPI],"")</f>
        <v>Financial Compliance</v>
      </c>
      <c r="AE135">
        <f>_xlfn.XLOOKUP(tblMaster[[#This Row],[Shift]],tblShift[Shift_Name],tblShift[Login_Time],"")</f>
        <v>0.375</v>
      </c>
      <c r="AF135">
        <f>_xlfn.XLOOKUP(tblMaster[[#This Row],[Shift]],tblShift[Shift_Name],tblShift[Logout_Time]," ")</f>
        <v>0.75</v>
      </c>
      <c r="AG135">
        <f>_xlfn.XLOOKUP(tblMaster[[#This Row],[Shift]],tblShift[Shift_Name],tblShift[Standard_Working_Hours],"")</f>
        <v>8</v>
      </c>
      <c r="AH135" t="str">
        <f>_xlfn.XLOOKUP(tblMaster[[#This Row],[Attendance_Date]],tblHoliday[Holiday_Date],tblHoliday[Holiday_Name],"Working Day")</f>
        <v>Working Day</v>
      </c>
      <c r="AI135" t="str">
        <f>_xlfn.XLOOKUP(tblMaster[[#This Row],[Attendance_Date]],tblHoliday[Holiday_Date],tblHoliday[Holiday_Type],"Working Day ")</f>
        <v xml:space="preserve">Working Day </v>
      </c>
    </row>
    <row r="136" spans="1:35" x14ac:dyDescent="0.3">
      <c r="A136" t="s">
        <v>318</v>
      </c>
      <c r="B136" s="3">
        <v>45696</v>
      </c>
      <c r="C136" t="s">
        <v>95</v>
      </c>
      <c r="D136" t="s">
        <v>50</v>
      </c>
      <c r="E136" t="s">
        <v>38</v>
      </c>
      <c r="F136" t="s">
        <v>166</v>
      </c>
      <c r="G136" t="s">
        <v>167</v>
      </c>
      <c r="H136" t="s">
        <v>41</v>
      </c>
      <c r="I136" t="s">
        <v>42</v>
      </c>
      <c r="J136" t="s">
        <v>100</v>
      </c>
      <c r="K136" t="s">
        <v>44</v>
      </c>
      <c r="L136" s="2">
        <v>0.375</v>
      </c>
      <c r="M136" s="2">
        <v>0.75</v>
      </c>
      <c r="N136">
        <v>8</v>
      </c>
      <c r="O136">
        <v>0</v>
      </c>
      <c r="P136" t="s">
        <v>32</v>
      </c>
      <c r="R136">
        <v>4</v>
      </c>
      <c r="S136" t="s">
        <v>67</v>
      </c>
      <c r="T136" t="s">
        <v>46</v>
      </c>
      <c r="U136" t="str">
        <f>_xlfn.XLOOKUP(tblMaster[[#This Row],[Employee_ID]],tblEmployee[Employee_ID],tblEmployee[Work_Mode]," ")</f>
        <v>Office</v>
      </c>
      <c r="V136" t="s">
        <v>60</v>
      </c>
      <c r="W136">
        <f>_xlfn.XLOOKUP(F136,tblEmployee[Employee_ID],tblEmployee[Age],"Not Found")</f>
        <v>37</v>
      </c>
      <c r="X136" t="str">
        <f>_xlfn.XLOOKUP(F136,tblEmployee[Employee_ID],tblEmployee[Gender],"Not Found")</f>
        <v>Male</v>
      </c>
      <c r="Y136">
        <f>_xlfn.XLOOKUP(F136,tblEmployee[Employee_ID],tblEmployee[Joining_Date],"")</f>
        <v>45214</v>
      </c>
      <c r="Z136">
        <f>_xlfn.XLOOKUP(H136,tblDepartment[Department],tblDepartment[Annual_Budget_INR],"")</f>
        <v>34000000</v>
      </c>
      <c r="AA136" t="str">
        <f>_xlfn.XLOOKUP(H136,tblDepartment[Department],tblDepartment[Monthly_Target],"")</f>
        <v>95% Process Efficiency</v>
      </c>
      <c r="AB136">
        <f>_xlfn.XLOOKUP(H136,tblDepartment[Department],tblDepartment[Average_Salary_INR],"")</f>
        <v>610000</v>
      </c>
      <c r="AC136" t="str">
        <f>_xlfn.XLOOKUP(H136,tblDepartment[Department],tblDepartment[Priority_Level],"")</f>
        <v>High</v>
      </c>
      <c r="AD136" t="str">
        <f>_xlfn.XLOOKUP(H136,tblDepartment[Department],tblDepartment[Key_KPI],"")</f>
        <v>Operational Efficiency</v>
      </c>
      <c r="AE136">
        <f>_xlfn.XLOOKUP(tblMaster[[#This Row],[Shift]],tblShift[Shift_Name],tblShift[Login_Time],"")</f>
        <v>0.41666666666666669</v>
      </c>
      <c r="AF136">
        <f>_xlfn.XLOOKUP(tblMaster[[#This Row],[Shift]],tblShift[Shift_Name],tblShift[Logout_Time]," ")</f>
        <v>0.79166666666666663</v>
      </c>
      <c r="AG136">
        <f>_xlfn.XLOOKUP(tblMaster[[#This Row],[Shift]],tblShift[Shift_Name],tblShift[Standard_Working_Hours],"")</f>
        <v>8</v>
      </c>
      <c r="AH136" t="str">
        <f>_xlfn.XLOOKUP(tblMaster[[#This Row],[Attendance_Date]],tblHoliday[Holiday_Date],tblHoliday[Holiday_Name],"Working Day")</f>
        <v>Working Day</v>
      </c>
      <c r="AI136" t="str">
        <f>_xlfn.XLOOKUP(tblMaster[[#This Row],[Attendance_Date]],tblHoliday[Holiday_Date],tblHoliday[Holiday_Type],"Working Day ")</f>
        <v xml:space="preserve">Working Day </v>
      </c>
    </row>
    <row r="137" spans="1:35" hidden="1" x14ac:dyDescent="0.3">
      <c r="A137" t="s">
        <v>319</v>
      </c>
      <c r="B137" s="1">
        <v>45707</v>
      </c>
      <c r="C137" t="s">
        <v>95</v>
      </c>
      <c r="D137" t="s">
        <v>50</v>
      </c>
      <c r="E137" t="s">
        <v>51</v>
      </c>
      <c r="F137" t="s">
        <v>166</v>
      </c>
      <c r="G137" t="s">
        <v>167</v>
      </c>
      <c r="H137" t="s">
        <v>41</v>
      </c>
      <c r="I137" t="s">
        <v>42</v>
      </c>
      <c r="J137" t="s">
        <v>100</v>
      </c>
      <c r="K137" t="s">
        <v>54</v>
      </c>
      <c r="L137" s="2">
        <v>0.375</v>
      </c>
      <c r="M137" s="2">
        <v>0.75</v>
      </c>
      <c r="N137">
        <v>8</v>
      </c>
      <c r="O137">
        <v>0</v>
      </c>
      <c r="P137" t="s">
        <v>32</v>
      </c>
      <c r="S137" t="s">
        <v>33</v>
      </c>
      <c r="T137" t="s">
        <v>46</v>
      </c>
      <c r="U137" t="s">
        <v>85</v>
      </c>
      <c r="V137" t="s">
        <v>35</v>
      </c>
      <c r="W137">
        <f>_xlfn.XLOOKUP(F137,tblEmployee[Employee_ID],tblEmployee[Age],"Not Found")</f>
        <v>37</v>
      </c>
      <c r="X137" t="str">
        <f>_xlfn.XLOOKUP(F137,tblEmployee[Employee_ID],tblEmployee[Gender],"Not Found")</f>
        <v>Male</v>
      </c>
      <c r="Y137">
        <f>_xlfn.XLOOKUP(F137,tblEmployee[Employee_ID],tblEmployee[Joining_Date],"")</f>
        <v>45214</v>
      </c>
      <c r="Z137">
        <f>_xlfn.XLOOKUP(H137,tblDepartment[Department],tblDepartment[Annual_Budget_INR],"")</f>
        <v>34000000</v>
      </c>
      <c r="AA137" t="str">
        <f>_xlfn.XLOOKUP(H137,tblDepartment[Department],tblDepartment[Monthly_Target],"")</f>
        <v>95% Process Efficiency</v>
      </c>
      <c r="AB137">
        <f>_xlfn.XLOOKUP(H137,tblDepartment[Department],tblDepartment[Average_Salary_INR],"")</f>
        <v>610000</v>
      </c>
      <c r="AC137" t="str">
        <f>_xlfn.XLOOKUP(H137,tblDepartment[Department],tblDepartment[Priority_Level],"")</f>
        <v>High</v>
      </c>
      <c r="AD137" t="str">
        <f>_xlfn.XLOOKUP(H137,tblDepartment[Department],tblDepartment[Key_KPI],"")</f>
        <v>Operational Efficiency</v>
      </c>
      <c r="AE137">
        <f>_xlfn.XLOOKUP(tblMaster[[#This Row],[Shift]],tblShift[Shift_Name],tblShift[Login_Time],"")</f>
        <v>0.58333333333333337</v>
      </c>
      <c r="AF137">
        <f>_xlfn.XLOOKUP(tblMaster[[#This Row],[Shift]],tblShift[Shift_Name],tblShift[Logout_Time]," ")</f>
        <v>0.95833333333333337</v>
      </c>
      <c r="AG137">
        <f>_xlfn.XLOOKUP(tblMaster[[#This Row],[Shift]],tblShift[Shift_Name],tblShift[Standard_Working_Hours],"")</f>
        <v>8</v>
      </c>
      <c r="AH137" t="str">
        <f>_xlfn.XLOOKUP(tblMaster[[#This Row],[Attendance_Date]],tblHoliday[Holiday_Date],tblHoliday[Holiday_Name],"Working Day")</f>
        <v>Working Day</v>
      </c>
      <c r="AI137" t="str">
        <f>_xlfn.XLOOKUP(tblMaster[[#This Row],[Attendance_Date]],tblHoliday[Holiday_Date],tblHoliday[Holiday_Type],"Working Day ")</f>
        <v xml:space="preserve">Working Day </v>
      </c>
    </row>
    <row r="138" spans="1:35" hidden="1" x14ac:dyDescent="0.3">
      <c r="A138" t="s">
        <v>320</v>
      </c>
      <c r="B138" s="1">
        <v>45757</v>
      </c>
      <c r="C138" t="s">
        <v>37</v>
      </c>
      <c r="D138" t="s">
        <v>24</v>
      </c>
      <c r="E138" t="s">
        <v>25</v>
      </c>
      <c r="F138" t="s">
        <v>145</v>
      </c>
      <c r="G138" t="s">
        <v>146</v>
      </c>
      <c r="H138" t="s">
        <v>90</v>
      </c>
      <c r="I138" t="s">
        <v>91</v>
      </c>
      <c r="J138" t="s">
        <v>100</v>
      </c>
      <c r="K138" t="s">
        <v>44</v>
      </c>
      <c r="L138" s="2">
        <v>0.375</v>
      </c>
      <c r="M138" s="2">
        <v>0.75</v>
      </c>
      <c r="N138">
        <v>8</v>
      </c>
      <c r="O138">
        <v>0</v>
      </c>
      <c r="P138" t="s">
        <v>32</v>
      </c>
      <c r="R138">
        <v>4</v>
      </c>
      <c r="S138" t="s">
        <v>33</v>
      </c>
      <c r="T138" t="s">
        <v>93</v>
      </c>
      <c r="U138" t="s">
        <v>55</v>
      </c>
      <c r="W138">
        <f>_xlfn.XLOOKUP(F138,tblEmployee[Employee_ID],tblEmployee[Age],"Not Found")</f>
        <v>27</v>
      </c>
      <c r="X138" t="str">
        <f>_xlfn.XLOOKUP(F138,tblEmployee[Employee_ID],tblEmployee[Gender],"Not Found")</f>
        <v>Male</v>
      </c>
      <c r="Y138">
        <f>_xlfn.XLOOKUP(F138,tblEmployee[Employee_ID],tblEmployee[Joining_Date],"")</f>
        <v>44180</v>
      </c>
      <c r="Z138">
        <f>_xlfn.XLOOKUP(H138,tblDepartment[Department],tblDepartment[Annual_Budget_INR],"")</f>
        <v>18000000</v>
      </c>
      <c r="AA138" t="str">
        <f>_xlfn.XLOOKUP(H138,tblDepartment[Department],tblDepartment[Monthly_Target],"")</f>
        <v>&lt;30 Days Hiring Cycle</v>
      </c>
      <c r="AB138">
        <f>_xlfn.XLOOKUP(H138,tblDepartment[Department],tblDepartment[Average_Salary_INR],"")</f>
        <v>560000</v>
      </c>
      <c r="AC138" t="str">
        <f>_xlfn.XLOOKUP(H138,tblDepartment[Department],tblDepartment[Priority_Level],"")</f>
        <v>Medium</v>
      </c>
      <c r="AD138" t="str">
        <f>_xlfn.XLOOKUP(H138,tblDepartment[Department],tblDepartment[Key_KPI],"")</f>
        <v>Hiring &amp; Retention</v>
      </c>
      <c r="AE138">
        <f>_xlfn.XLOOKUP(tblMaster[[#This Row],[Shift]],tblShift[Shift_Name],tblShift[Login_Time],"")</f>
        <v>0.41666666666666669</v>
      </c>
      <c r="AF138">
        <f>_xlfn.XLOOKUP(tblMaster[[#This Row],[Shift]],tblShift[Shift_Name],tblShift[Logout_Time]," ")</f>
        <v>0.79166666666666663</v>
      </c>
      <c r="AG138">
        <f>_xlfn.XLOOKUP(tblMaster[[#This Row],[Shift]],tblShift[Shift_Name],tblShift[Standard_Working_Hours],"")</f>
        <v>8</v>
      </c>
      <c r="AH138" t="str">
        <f>_xlfn.XLOOKUP(tblMaster[[#This Row],[Attendance_Date]],tblHoliday[Holiday_Date],tblHoliday[Holiday_Name],"Working Day")</f>
        <v>Working Day</v>
      </c>
      <c r="AI138" t="str">
        <f>_xlfn.XLOOKUP(tblMaster[[#This Row],[Attendance_Date]],tblHoliday[Holiday_Date],tblHoliday[Holiday_Type],"Working Day ")</f>
        <v xml:space="preserve">Working Day </v>
      </c>
    </row>
    <row r="139" spans="1:35" hidden="1" x14ac:dyDescent="0.3">
      <c r="A139" t="s">
        <v>321</v>
      </c>
      <c r="B139" s="3">
        <v>45809</v>
      </c>
      <c r="C139" t="s">
        <v>23</v>
      </c>
      <c r="D139" t="s">
        <v>24</v>
      </c>
      <c r="E139" t="s">
        <v>103</v>
      </c>
      <c r="F139" t="s">
        <v>185</v>
      </c>
      <c r="G139" t="s">
        <v>186</v>
      </c>
      <c r="H139" t="s">
        <v>79</v>
      </c>
      <c r="I139" t="s">
        <v>80</v>
      </c>
      <c r="J139" t="s">
        <v>66</v>
      </c>
      <c r="K139" t="s">
        <v>31</v>
      </c>
      <c r="L139" s="2">
        <v>0.375</v>
      </c>
      <c r="M139" s="2">
        <v>0.75</v>
      </c>
      <c r="N139">
        <v>8</v>
      </c>
      <c r="O139">
        <v>0</v>
      </c>
      <c r="P139" t="s">
        <v>32</v>
      </c>
      <c r="S139" t="s">
        <v>92</v>
      </c>
      <c r="T139" t="s">
        <v>84</v>
      </c>
      <c r="U139" t="s">
        <v>55</v>
      </c>
      <c r="V139" t="s">
        <v>60</v>
      </c>
      <c r="W139">
        <f>_xlfn.XLOOKUP(F139,tblEmployee[Employee_ID],tblEmployee[Age],"Not Found")</f>
        <v>33</v>
      </c>
      <c r="X139" t="str">
        <f>_xlfn.XLOOKUP(F139,tblEmployee[Employee_ID],tblEmployee[Gender],"Not Found")</f>
        <v>Male</v>
      </c>
      <c r="Y139">
        <f>_xlfn.XLOOKUP(F139,tblEmployee[Employee_ID],tblEmployee[Joining_Date],"")</f>
        <v>44910</v>
      </c>
      <c r="Z139">
        <f>_xlfn.XLOOKUP(H139,tblDepartment[Department],tblDepartment[Annual_Budget_INR],"")</f>
        <v>26000000</v>
      </c>
      <c r="AA139" t="str">
        <f>_xlfn.XLOOKUP(H139,tblDepartment[Department],tblDepartment[Monthly_Target],"")</f>
        <v>100% Payroll Accuracy</v>
      </c>
      <c r="AB139">
        <f>_xlfn.XLOOKUP(H139,tblDepartment[Department],tblDepartment[Average_Salary_INR],"")</f>
        <v>640000</v>
      </c>
      <c r="AC139" t="str">
        <f>_xlfn.XLOOKUP(H139,tblDepartment[Department],tblDepartment[Priority_Level],"")</f>
        <v>High</v>
      </c>
      <c r="AD139" t="str">
        <f>_xlfn.XLOOKUP(H139,tblDepartment[Department],tblDepartment[Key_KPI],"")</f>
        <v>Financial Compliance</v>
      </c>
      <c r="AE139">
        <f>_xlfn.XLOOKUP(tblMaster[[#This Row],[Shift]],tblShift[Shift_Name],tblShift[Login_Time],"")</f>
        <v>0.25</v>
      </c>
      <c r="AF139">
        <f>_xlfn.XLOOKUP(tblMaster[[#This Row],[Shift]],tblShift[Shift_Name],tblShift[Logout_Time]," ")</f>
        <v>0.625</v>
      </c>
      <c r="AG139">
        <f>_xlfn.XLOOKUP(tblMaster[[#This Row],[Shift]],tblShift[Shift_Name],tblShift[Standard_Working_Hours],"")</f>
        <v>8</v>
      </c>
      <c r="AH139" t="str">
        <f>_xlfn.XLOOKUP(tblMaster[[#This Row],[Attendance_Date]],tblHoliday[Holiday_Date],tblHoliday[Holiday_Name],"Working Day")</f>
        <v>Working Day</v>
      </c>
      <c r="AI139" t="str">
        <f>_xlfn.XLOOKUP(tblMaster[[#This Row],[Attendance_Date]],tblHoliday[Holiday_Date],tblHoliday[Holiday_Type],"Working Day ")</f>
        <v xml:space="preserve">Working Day </v>
      </c>
    </row>
    <row r="140" spans="1:35" hidden="1" x14ac:dyDescent="0.3">
      <c r="A140" t="s">
        <v>322</v>
      </c>
      <c r="B140" s="3">
        <v>45833</v>
      </c>
      <c r="C140" t="s">
        <v>23</v>
      </c>
      <c r="D140" t="s">
        <v>24</v>
      </c>
      <c r="E140" t="s">
        <v>51</v>
      </c>
      <c r="F140" t="s">
        <v>173</v>
      </c>
      <c r="G140" t="s">
        <v>174</v>
      </c>
      <c r="H140" t="s">
        <v>90</v>
      </c>
      <c r="I140" t="s">
        <v>91</v>
      </c>
      <c r="J140" t="s">
        <v>74</v>
      </c>
      <c r="K140" t="s">
        <v>54</v>
      </c>
      <c r="L140" s="2">
        <v>0.375</v>
      </c>
      <c r="M140" s="2">
        <v>0.75</v>
      </c>
      <c r="N140">
        <v>8</v>
      </c>
      <c r="O140">
        <v>0</v>
      </c>
      <c r="P140" t="s">
        <v>32</v>
      </c>
      <c r="R140">
        <v>4</v>
      </c>
      <c r="S140" t="s">
        <v>33</v>
      </c>
      <c r="T140" t="s">
        <v>93</v>
      </c>
      <c r="U140" t="s">
        <v>55</v>
      </c>
      <c r="W140">
        <f>_xlfn.XLOOKUP(F140,tblEmployee[Employee_ID],tblEmployee[Age],"Not Found")</f>
        <v>23</v>
      </c>
      <c r="X140" t="str">
        <f>_xlfn.XLOOKUP(F140,tblEmployee[Employee_ID],tblEmployee[Gender],"Not Found")</f>
        <v>Female</v>
      </c>
      <c r="Y140">
        <f>_xlfn.XLOOKUP(F140,tblEmployee[Employee_ID],tblEmployee[Joining_Date],"")</f>
        <v>43876</v>
      </c>
      <c r="Z140">
        <f>_xlfn.XLOOKUP(H140,tblDepartment[Department],tblDepartment[Annual_Budget_INR],"")</f>
        <v>18000000</v>
      </c>
      <c r="AA140" t="str">
        <f>_xlfn.XLOOKUP(H140,tblDepartment[Department],tblDepartment[Monthly_Target],"")</f>
        <v>&lt;30 Days Hiring Cycle</v>
      </c>
      <c r="AB140">
        <f>_xlfn.XLOOKUP(H140,tblDepartment[Department],tblDepartment[Average_Salary_INR],"")</f>
        <v>560000</v>
      </c>
      <c r="AC140" t="str">
        <f>_xlfn.XLOOKUP(H140,tblDepartment[Department],tblDepartment[Priority_Level],"")</f>
        <v>Medium</v>
      </c>
      <c r="AD140" t="str">
        <f>_xlfn.XLOOKUP(H140,tblDepartment[Department],tblDepartment[Key_KPI],"")</f>
        <v>Hiring &amp; Retention</v>
      </c>
      <c r="AE140">
        <f>_xlfn.XLOOKUP(tblMaster[[#This Row],[Shift]],tblShift[Shift_Name],tblShift[Login_Time],"")</f>
        <v>0.58333333333333337</v>
      </c>
      <c r="AF140">
        <f>_xlfn.XLOOKUP(tblMaster[[#This Row],[Shift]],tblShift[Shift_Name],tblShift[Logout_Time]," ")</f>
        <v>0.95833333333333337</v>
      </c>
      <c r="AG140">
        <f>_xlfn.XLOOKUP(tblMaster[[#This Row],[Shift]],tblShift[Shift_Name],tblShift[Standard_Working_Hours],"")</f>
        <v>8</v>
      </c>
      <c r="AH140" t="str">
        <f>_xlfn.XLOOKUP(tblMaster[[#This Row],[Attendance_Date]],tblHoliday[Holiday_Date],tblHoliday[Holiday_Name],"Working Day")</f>
        <v>Working Day</v>
      </c>
      <c r="AI140" t="str">
        <f>_xlfn.XLOOKUP(tblMaster[[#This Row],[Attendance_Date]],tblHoliday[Holiday_Date],tblHoliday[Holiday_Type],"Working Day ")</f>
        <v xml:space="preserve">Working Day </v>
      </c>
    </row>
    <row r="141" spans="1:35" hidden="1" x14ac:dyDescent="0.3">
      <c r="A141" t="s">
        <v>323</v>
      </c>
      <c r="B141" s="3">
        <v>45743</v>
      </c>
      <c r="C141" t="s">
        <v>71</v>
      </c>
      <c r="D141" t="s">
        <v>50</v>
      </c>
      <c r="E141" t="s">
        <v>25</v>
      </c>
      <c r="F141" t="s">
        <v>151</v>
      </c>
      <c r="G141" t="s">
        <v>152</v>
      </c>
      <c r="H141" t="s">
        <v>98</v>
      </c>
      <c r="I141" t="s">
        <v>99</v>
      </c>
      <c r="J141" t="s">
        <v>30</v>
      </c>
      <c r="K141" t="s">
        <v>54</v>
      </c>
      <c r="L141" s="2">
        <v>0.375</v>
      </c>
      <c r="M141" s="2">
        <v>0.75</v>
      </c>
      <c r="N141">
        <v>8</v>
      </c>
      <c r="O141">
        <v>0</v>
      </c>
      <c r="P141" t="s">
        <v>32</v>
      </c>
      <c r="R141">
        <v>3</v>
      </c>
      <c r="S141" t="s">
        <v>92</v>
      </c>
      <c r="T141" t="s">
        <v>101</v>
      </c>
      <c r="U141" t="s">
        <v>85</v>
      </c>
      <c r="W141">
        <f>_xlfn.XLOOKUP(F141,tblEmployee[Employee_ID],tblEmployee[Age],"Not Found")</f>
        <v>38</v>
      </c>
      <c r="X141" t="str">
        <f>_xlfn.XLOOKUP(F141,tblEmployee[Employee_ID],tblEmployee[Gender],"Not Found")</f>
        <v>Female</v>
      </c>
      <c r="Y141">
        <f>_xlfn.XLOOKUP(F141,tblEmployee[Employee_ID],tblEmployee[Joining_Date],"")</f>
        <v>45611</v>
      </c>
      <c r="Z141">
        <f>_xlfn.XLOOKUP(H141,tblDepartment[Department],tblDepartment[Annual_Budget_INR],"")</f>
        <v>22000000</v>
      </c>
      <c r="AA141" t="str">
        <f>_xlfn.XLOOKUP(H141,tblDepartment[Department],tblDepartment[Monthly_Target],"")</f>
        <v>2500 Qualified Leads</v>
      </c>
      <c r="AB141">
        <f>_xlfn.XLOOKUP(H141,tblDepartment[Department],tblDepartment[Average_Salary_INR],"")</f>
        <v>590000</v>
      </c>
      <c r="AC141" t="str">
        <f>_xlfn.XLOOKUP(H141,tblDepartment[Department],tblDepartment[Priority_Level],"")</f>
        <v>Medium</v>
      </c>
      <c r="AD141" t="str">
        <f>_xlfn.XLOOKUP(H141,tblDepartment[Department],tblDepartment[Key_KPI],"")</f>
        <v>Lead Generation</v>
      </c>
      <c r="AE141">
        <f>_xlfn.XLOOKUP(tblMaster[[#This Row],[Shift]],tblShift[Shift_Name],tblShift[Login_Time],"")</f>
        <v>0.58333333333333337</v>
      </c>
      <c r="AF141">
        <f>_xlfn.XLOOKUP(tblMaster[[#This Row],[Shift]],tblShift[Shift_Name],tblShift[Logout_Time]," ")</f>
        <v>0.95833333333333337</v>
      </c>
      <c r="AG141">
        <f>_xlfn.XLOOKUP(tblMaster[[#This Row],[Shift]],tblShift[Shift_Name],tblShift[Standard_Working_Hours],"")</f>
        <v>8</v>
      </c>
      <c r="AH141" t="str">
        <f>_xlfn.XLOOKUP(tblMaster[[#This Row],[Attendance_Date]],tblHoliday[Holiday_Date],tblHoliday[Holiday_Name],"Working Day")</f>
        <v>Working Day</v>
      </c>
      <c r="AI141" t="str">
        <f>_xlfn.XLOOKUP(tblMaster[[#This Row],[Attendance_Date]],tblHoliday[Holiday_Date],tblHoliday[Holiday_Type],"Working Day ")</f>
        <v xml:space="preserve">Working Day </v>
      </c>
    </row>
    <row r="142" spans="1:35" hidden="1" x14ac:dyDescent="0.3">
      <c r="A142" t="s">
        <v>324</v>
      </c>
      <c r="B142" s="3">
        <v>45720</v>
      </c>
      <c r="C142" t="s">
        <v>71</v>
      </c>
      <c r="D142" t="s">
        <v>50</v>
      </c>
      <c r="E142" t="s">
        <v>87</v>
      </c>
      <c r="F142" t="s">
        <v>170</v>
      </c>
      <c r="G142" t="s">
        <v>171</v>
      </c>
      <c r="H142" t="s">
        <v>64</v>
      </c>
      <c r="I142" t="s">
        <v>65</v>
      </c>
      <c r="J142" t="s">
        <v>43</v>
      </c>
      <c r="K142" t="s">
        <v>75</v>
      </c>
      <c r="L142" s="2">
        <v>0.375</v>
      </c>
      <c r="M142" s="2">
        <v>0.75</v>
      </c>
      <c r="N142">
        <v>8.5</v>
      </c>
      <c r="O142">
        <v>0.5</v>
      </c>
      <c r="P142" t="s">
        <v>32</v>
      </c>
      <c r="R142">
        <v>5</v>
      </c>
      <c r="S142" t="s">
        <v>67</v>
      </c>
      <c r="T142" t="s">
        <v>68</v>
      </c>
      <c r="U142" t="s">
        <v>85</v>
      </c>
      <c r="V142" t="s">
        <v>35</v>
      </c>
      <c r="W142">
        <f>_xlfn.XLOOKUP(F142,tblEmployee[Employee_ID],tblEmployee[Age],"Not Found")</f>
        <v>36</v>
      </c>
      <c r="X142" t="str">
        <f>_xlfn.XLOOKUP(F142,tblEmployee[Employee_ID],tblEmployee[Gender],"Not Found")</f>
        <v>Female</v>
      </c>
      <c r="Y142">
        <f>_xlfn.XLOOKUP(F142,tblEmployee[Employee_ID],tblEmployee[Joining_Date],"")</f>
        <v>43539</v>
      </c>
      <c r="Z142">
        <f>_xlfn.XLOOKUP(H142,tblDepartment[Department],tblDepartment[Annual_Budget_INR],"")</f>
        <v>85000000</v>
      </c>
      <c r="AA142" t="str">
        <f>_xlfn.XLOOKUP(H142,tblDepartment[Department],tblDepartment[Monthly_Target],"")</f>
        <v>99.5% System Uptime</v>
      </c>
      <c r="AB142">
        <f>_xlfn.XLOOKUP(H142,tblDepartment[Department],tblDepartment[Average_Salary_INR],"")</f>
        <v>720000</v>
      </c>
      <c r="AC142" t="str">
        <f>_xlfn.XLOOKUP(H142,tblDepartment[Department],tblDepartment[Priority_Level],"")</f>
        <v>High</v>
      </c>
      <c r="AD142" t="str">
        <f>_xlfn.XLOOKUP(H142,tblDepartment[Department],tblDepartment[Key_KPI],"")</f>
        <v>Project Delivery</v>
      </c>
      <c r="AE142">
        <f>_xlfn.XLOOKUP(tblMaster[[#This Row],[Shift]],tblShift[Shift_Name],tblShift[Login_Time],"")</f>
        <v>0.375</v>
      </c>
      <c r="AF142">
        <f>_xlfn.XLOOKUP(tblMaster[[#This Row],[Shift]],tblShift[Shift_Name],tblShift[Logout_Time]," ")</f>
        <v>0.75</v>
      </c>
      <c r="AG142">
        <f>_xlfn.XLOOKUP(tblMaster[[#This Row],[Shift]],tblShift[Shift_Name],tblShift[Standard_Working_Hours],"")</f>
        <v>8</v>
      </c>
      <c r="AH142" t="str">
        <f>_xlfn.XLOOKUP(tblMaster[[#This Row],[Attendance_Date]],tblHoliday[Holiday_Date],tblHoliday[Holiday_Name],"Working Day")</f>
        <v>Working Day</v>
      </c>
      <c r="AI142" t="str">
        <f>_xlfn.XLOOKUP(tblMaster[[#This Row],[Attendance_Date]],tblHoliday[Holiday_Date],tblHoliday[Holiday_Type],"Working Day ")</f>
        <v xml:space="preserve">Working Day </v>
      </c>
    </row>
    <row r="143" spans="1:35" x14ac:dyDescent="0.3">
      <c r="A143" t="s">
        <v>325</v>
      </c>
      <c r="B143" s="1">
        <v>45784</v>
      </c>
      <c r="C143" t="s">
        <v>57</v>
      </c>
      <c r="D143" t="s">
        <v>24</v>
      </c>
      <c r="E143" t="s">
        <v>51</v>
      </c>
      <c r="F143" t="s">
        <v>163</v>
      </c>
      <c r="G143" t="s">
        <v>164</v>
      </c>
      <c r="H143" t="s">
        <v>112</v>
      </c>
      <c r="I143" t="s">
        <v>113</v>
      </c>
      <c r="J143" t="s">
        <v>100</v>
      </c>
      <c r="K143" t="s">
        <v>31</v>
      </c>
      <c r="L143" s="2">
        <v>0.39930555555555558</v>
      </c>
      <c r="M143" s="2">
        <v>0.75</v>
      </c>
      <c r="N143">
        <v>8</v>
      </c>
      <c r="O143">
        <v>0</v>
      </c>
      <c r="P143" t="s">
        <v>32</v>
      </c>
      <c r="R143">
        <v>3</v>
      </c>
      <c r="S143" t="s">
        <v>92</v>
      </c>
      <c r="T143" t="s">
        <v>114</v>
      </c>
      <c r="U143" t="str">
        <f>_xlfn.XLOOKUP(tblMaster[[#This Row],[Employee_ID]],tblEmployee[Employee_ID],tblEmployee[Work_Mode]," ")</f>
        <v>Office</v>
      </c>
      <c r="W143">
        <f>_xlfn.XLOOKUP(F143,tblEmployee[Employee_ID],tblEmployee[Age],"Not Found")</f>
        <v>25</v>
      </c>
      <c r="X143" t="str">
        <f>_xlfn.XLOOKUP(F143,tblEmployee[Employee_ID],tblEmployee[Gender],"Not Found")</f>
        <v>Male</v>
      </c>
      <c r="Y143">
        <f>_xlfn.XLOOKUP(F143,tblEmployee[Employee_ID],tblEmployee[Joining_Date],"")</f>
        <v>44301</v>
      </c>
      <c r="Z143">
        <f>_xlfn.XLOOKUP(H143,tblDepartment[Department],tblDepartment[Annual_Budget_INR],"")</f>
        <v>42000000</v>
      </c>
      <c r="AA143" t="str">
        <f>_xlfn.XLOOKUP(H143,tblDepartment[Department],tblDepartment[Monthly_Target],"")</f>
        <v>₹2.5 Cr Monthly Sales</v>
      </c>
      <c r="AB143">
        <f>_xlfn.XLOOKUP(H143,tblDepartment[Department],tblDepartment[Average_Salary_INR],"")</f>
        <v>680000</v>
      </c>
      <c r="AC143" t="str">
        <f>_xlfn.XLOOKUP(H143,tblDepartment[Department],tblDepartment[Priority_Level],"")</f>
        <v>High</v>
      </c>
      <c r="AD143" t="str">
        <f>_xlfn.XLOOKUP(H143,tblDepartment[Department],tblDepartment[Key_KPI],"")</f>
        <v>Revenue Achievement</v>
      </c>
      <c r="AE143">
        <f>_xlfn.XLOOKUP(tblMaster[[#This Row],[Shift]],tblShift[Shift_Name],tblShift[Login_Time],"")</f>
        <v>0.25</v>
      </c>
      <c r="AF143">
        <f>_xlfn.XLOOKUP(tblMaster[[#This Row],[Shift]],tblShift[Shift_Name],tblShift[Logout_Time]," ")</f>
        <v>0.625</v>
      </c>
      <c r="AG143">
        <f>_xlfn.XLOOKUP(tblMaster[[#This Row],[Shift]],tblShift[Shift_Name],tblShift[Standard_Working_Hours],"")</f>
        <v>8</v>
      </c>
      <c r="AH143" t="str">
        <f>_xlfn.XLOOKUP(tblMaster[[#This Row],[Attendance_Date]],tblHoliday[Holiday_Date],tblHoliday[Holiday_Name],"Working Day")</f>
        <v>Working Day</v>
      </c>
      <c r="AI143" t="str">
        <f>_xlfn.XLOOKUP(tblMaster[[#This Row],[Attendance_Date]],tblHoliday[Holiday_Date],tblHoliday[Holiday_Type],"Working Day ")</f>
        <v xml:space="preserve">Working Day </v>
      </c>
    </row>
    <row r="144" spans="1:35" hidden="1" x14ac:dyDescent="0.3">
      <c r="A144" t="s">
        <v>326</v>
      </c>
      <c r="B144" s="1">
        <v>45726</v>
      </c>
      <c r="C144" t="s">
        <v>71</v>
      </c>
      <c r="D144" t="s">
        <v>50</v>
      </c>
      <c r="E144" t="s">
        <v>109</v>
      </c>
      <c r="F144" t="s">
        <v>309</v>
      </c>
      <c r="G144" t="s">
        <v>310</v>
      </c>
      <c r="H144" t="s">
        <v>28</v>
      </c>
      <c r="I144" t="s">
        <v>29</v>
      </c>
      <c r="J144" t="s">
        <v>43</v>
      </c>
      <c r="K144" t="s">
        <v>31</v>
      </c>
      <c r="L144" s="2">
        <v>0.375</v>
      </c>
      <c r="M144" s="2">
        <v>0.75</v>
      </c>
      <c r="N144">
        <v>8</v>
      </c>
      <c r="O144">
        <v>0</v>
      </c>
      <c r="P144" t="s">
        <v>32</v>
      </c>
      <c r="R144">
        <v>5</v>
      </c>
      <c r="S144" t="s">
        <v>45</v>
      </c>
      <c r="T144" t="s">
        <v>34</v>
      </c>
      <c r="U144" t="s">
        <v>85</v>
      </c>
      <c r="W144">
        <f>_xlfn.XLOOKUP(F144,tblEmployee[Employee_ID],tblEmployee[Age],"Not Found")</f>
        <v>39</v>
      </c>
      <c r="X144" t="str">
        <f>_xlfn.XLOOKUP(F144,tblEmployee[Employee_ID],tblEmployee[Gender],"Not Found")</f>
        <v>Male</v>
      </c>
      <c r="Y144">
        <f>_xlfn.XLOOKUP(F144,tblEmployee[Employee_ID],tblEmployee[Joining_Date],"")</f>
        <v>43449</v>
      </c>
      <c r="Z144">
        <f>_xlfn.XLOOKUP(H144,tblDepartment[Department],tblDepartment[Annual_Budget_INR],"")</f>
        <v>24000000</v>
      </c>
      <c r="AA144" t="str">
        <f>_xlfn.XLOOKUP(H144,tblDepartment[Department],tblDepartment[Monthly_Target],"")</f>
        <v>90% Customer Satisfaction</v>
      </c>
      <c r="AB144">
        <f>_xlfn.XLOOKUP(H144,tblDepartment[Department],tblDepartment[Average_Salary_INR],"")</f>
        <v>520000</v>
      </c>
      <c r="AC144" t="str">
        <f>_xlfn.XLOOKUP(H144,tblDepartment[Department],tblDepartment[Priority_Level],"")</f>
        <v>High</v>
      </c>
      <c r="AD144" t="str">
        <f>_xlfn.XLOOKUP(H144,tblDepartment[Department],tblDepartment[Key_KPI],"")</f>
        <v>Customer Satisfaction</v>
      </c>
      <c r="AE144">
        <f>_xlfn.XLOOKUP(tblMaster[[#This Row],[Shift]],tblShift[Shift_Name],tblShift[Login_Time],"")</f>
        <v>0.25</v>
      </c>
      <c r="AF144">
        <f>_xlfn.XLOOKUP(tblMaster[[#This Row],[Shift]],tblShift[Shift_Name],tblShift[Logout_Time]," ")</f>
        <v>0.625</v>
      </c>
      <c r="AG144">
        <f>_xlfn.XLOOKUP(tblMaster[[#This Row],[Shift]],tblShift[Shift_Name],tblShift[Standard_Working_Hours],"")</f>
        <v>8</v>
      </c>
      <c r="AH144" t="str">
        <f>_xlfn.XLOOKUP(tblMaster[[#This Row],[Attendance_Date]],tblHoliday[Holiday_Date],tblHoliday[Holiday_Name],"Working Day")</f>
        <v>Working Day</v>
      </c>
      <c r="AI144" t="str">
        <f>_xlfn.XLOOKUP(tblMaster[[#This Row],[Attendance_Date]],tblHoliday[Holiday_Date],tblHoliday[Holiday_Type],"Working Day ")</f>
        <v xml:space="preserve">Working Day </v>
      </c>
    </row>
    <row r="145" spans="1:35" hidden="1" x14ac:dyDescent="0.3">
      <c r="A145" t="s">
        <v>327</v>
      </c>
      <c r="B145" s="3">
        <v>45780</v>
      </c>
      <c r="C145" t="s">
        <v>57</v>
      </c>
      <c r="D145" t="s">
        <v>24</v>
      </c>
      <c r="E145" t="s">
        <v>38</v>
      </c>
      <c r="F145" t="s">
        <v>88</v>
      </c>
      <c r="G145" t="s">
        <v>89</v>
      </c>
      <c r="H145" t="s">
        <v>90</v>
      </c>
      <c r="I145" t="s">
        <v>91</v>
      </c>
      <c r="J145" t="s">
        <v>43</v>
      </c>
      <c r="K145" t="s">
        <v>31</v>
      </c>
      <c r="L145" s="2">
        <v>0.375</v>
      </c>
      <c r="M145" s="2">
        <v>0.75</v>
      </c>
      <c r="N145">
        <v>8</v>
      </c>
      <c r="O145">
        <v>0</v>
      </c>
      <c r="P145" t="s">
        <v>32</v>
      </c>
      <c r="R145">
        <v>4</v>
      </c>
      <c r="S145" t="s">
        <v>92</v>
      </c>
      <c r="T145" t="s">
        <v>93</v>
      </c>
      <c r="U145" t="s">
        <v>55</v>
      </c>
      <c r="W145">
        <f>_xlfn.XLOOKUP(F145,tblEmployee[Employee_ID],tblEmployee[Age],"Not Found")</f>
        <v>34</v>
      </c>
      <c r="X145" t="str">
        <f>_xlfn.XLOOKUP(F145,tblEmployee[Employee_ID],tblEmployee[Gender],"Not Found")</f>
        <v>Female</v>
      </c>
      <c r="Y145">
        <f>_xlfn.XLOOKUP(F145,tblEmployee[Employee_ID],tblEmployee[Joining_Date],"")</f>
        <v>44027</v>
      </c>
      <c r="Z145">
        <f>_xlfn.XLOOKUP(H145,tblDepartment[Department],tblDepartment[Annual_Budget_INR],"")</f>
        <v>18000000</v>
      </c>
      <c r="AA145" t="str">
        <f>_xlfn.XLOOKUP(H145,tblDepartment[Department],tblDepartment[Monthly_Target],"")</f>
        <v>&lt;30 Days Hiring Cycle</v>
      </c>
      <c r="AB145">
        <f>_xlfn.XLOOKUP(H145,tblDepartment[Department],tblDepartment[Average_Salary_INR],"")</f>
        <v>560000</v>
      </c>
      <c r="AC145" t="str">
        <f>_xlfn.XLOOKUP(H145,tblDepartment[Department],tblDepartment[Priority_Level],"")</f>
        <v>Medium</v>
      </c>
      <c r="AD145" t="str">
        <f>_xlfn.XLOOKUP(H145,tblDepartment[Department],tblDepartment[Key_KPI],"")</f>
        <v>Hiring &amp; Retention</v>
      </c>
      <c r="AE145">
        <f>_xlfn.XLOOKUP(tblMaster[[#This Row],[Shift]],tblShift[Shift_Name],tblShift[Login_Time],"")</f>
        <v>0.25</v>
      </c>
      <c r="AF145">
        <f>_xlfn.XLOOKUP(tblMaster[[#This Row],[Shift]],tblShift[Shift_Name],tblShift[Logout_Time]," ")</f>
        <v>0.625</v>
      </c>
      <c r="AG145">
        <f>_xlfn.XLOOKUP(tblMaster[[#This Row],[Shift]],tblShift[Shift_Name],tblShift[Standard_Working_Hours],"")</f>
        <v>8</v>
      </c>
      <c r="AH145" t="str">
        <f>_xlfn.XLOOKUP(tblMaster[[#This Row],[Attendance_Date]],tblHoliday[Holiday_Date],tblHoliday[Holiday_Name],"Working Day")</f>
        <v>Working Day</v>
      </c>
      <c r="AI145" t="str">
        <f>_xlfn.XLOOKUP(tblMaster[[#This Row],[Attendance_Date]],tblHoliday[Holiday_Date],tblHoliday[Holiday_Type],"Working Day ")</f>
        <v xml:space="preserve">Working Day </v>
      </c>
    </row>
    <row r="146" spans="1:35" x14ac:dyDescent="0.3">
      <c r="A146" t="s">
        <v>328</v>
      </c>
      <c r="B146" s="3">
        <v>45710</v>
      </c>
      <c r="C146" t="s">
        <v>95</v>
      </c>
      <c r="D146" t="s">
        <v>50</v>
      </c>
      <c r="E146" t="s">
        <v>38</v>
      </c>
      <c r="F146" t="s">
        <v>185</v>
      </c>
      <c r="G146" t="s">
        <v>186</v>
      </c>
      <c r="H146" t="s">
        <v>79</v>
      </c>
      <c r="I146" t="s">
        <v>80</v>
      </c>
      <c r="J146" t="s">
        <v>66</v>
      </c>
      <c r="K146" t="s">
        <v>54</v>
      </c>
      <c r="L146" s="2">
        <v>0.375</v>
      </c>
      <c r="M146" s="2">
        <v>0.75</v>
      </c>
      <c r="N146">
        <v>8</v>
      </c>
      <c r="O146">
        <v>0</v>
      </c>
      <c r="P146" t="s">
        <v>32</v>
      </c>
      <c r="R146">
        <v>3</v>
      </c>
      <c r="S146" t="s">
        <v>67</v>
      </c>
      <c r="T146" t="s">
        <v>84</v>
      </c>
      <c r="U146" t="str">
        <f>_xlfn.XLOOKUP(tblMaster[[#This Row],[Employee_ID]],tblEmployee[Employee_ID],tblEmployee[Work_Mode]," ")</f>
        <v>Remote</v>
      </c>
      <c r="V146" t="s">
        <v>69</v>
      </c>
      <c r="W146">
        <f>_xlfn.XLOOKUP(F146,tblEmployee[Employee_ID],tblEmployee[Age],"Not Found")</f>
        <v>33</v>
      </c>
      <c r="X146" t="str">
        <f>_xlfn.XLOOKUP(F146,tblEmployee[Employee_ID],tblEmployee[Gender],"Not Found")</f>
        <v>Male</v>
      </c>
      <c r="Y146">
        <f>_xlfn.XLOOKUP(F146,tblEmployee[Employee_ID],tblEmployee[Joining_Date],"")</f>
        <v>44910</v>
      </c>
      <c r="Z146">
        <f>_xlfn.XLOOKUP(H146,tblDepartment[Department],tblDepartment[Annual_Budget_INR],"")</f>
        <v>26000000</v>
      </c>
      <c r="AA146" t="str">
        <f>_xlfn.XLOOKUP(H146,tblDepartment[Department],tblDepartment[Monthly_Target],"")</f>
        <v>100% Payroll Accuracy</v>
      </c>
      <c r="AB146">
        <f>_xlfn.XLOOKUP(H146,tblDepartment[Department],tblDepartment[Average_Salary_INR],"")</f>
        <v>640000</v>
      </c>
      <c r="AC146" t="str">
        <f>_xlfn.XLOOKUP(H146,tblDepartment[Department],tblDepartment[Priority_Level],"")</f>
        <v>High</v>
      </c>
      <c r="AD146" t="str">
        <f>_xlfn.XLOOKUP(H146,tblDepartment[Department],tblDepartment[Key_KPI],"")</f>
        <v>Financial Compliance</v>
      </c>
      <c r="AE146">
        <f>_xlfn.XLOOKUP(tblMaster[[#This Row],[Shift]],tblShift[Shift_Name],tblShift[Login_Time],"")</f>
        <v>0.58333333333333337</v>
      </c>
      <c r="AF146">
        <f>_xlfn.XLOOKUP(tblMaster[[#This Row],[Shift]],tblShift[Shift_Name],tblShift[Logout_Time]," ")</f>
        <v>0.95833333333333337</v>
      </c>
      <c r="AG146">
        <f>_xlfn.XLOOKUP(tblMaster[[#This Row],[Shift]],tblShift[Shift_Name],tblShift[Standard_Working_Hours],"")</f>
        <v>8</v>
      </c>
      <c r="AH146" t="str">
        <f>_xlfn.XLOOKUP(tblMaster[[#This Row],[Attendance_Date]],tblHoliday[Holiday_Date],tblHoliday[Holiday_Name],"Working Day")</f>
        <v>Working Day</v>
      </c>
      <c r="AI146" t="str">
        <f>_xlfn.XLOOKUP(tblMaster[[#This Row],[Attendance_Date]],tblHoliday[Holiday_Date],tblHoliday[Holiday_Type],"Working Day ")</f>
        <v xml:space="preserve">Working Day </v>
      </c>
    </row>
    <row r="147" spans="1:35" hidden="1" x14ac:dyDescent="0.3">
      <c r="A147" t="s">
        <v>329</v>
      </c>
      <c r="B147" s="3">
        <v>45695</v>
      </c>
      <c r="C147" t="s">
        <v>95</v>
      </c>
      <c r="D147" t="s">
        <v>50</v>
      </c>
      <c r="E147" t="s">
        <v>119</v>
      </c>
      <c r="F147" t="s">
        <v>192</v>
      </c>
      <c r="G147" t="s">
        <v>193</v>
      </c>
      <c r="H147" t="s">
        <v>79</v>
      </c>
      <c r="I147" t="s">
        <v>80</v>
      </c>
      <c r="J147" t="s">
        <v>66</v>
      </c>
      <c r="K147" t="s">
        <v>44</v>
      </c>
      <c r="L147" s="2">
        <v>0.375</v>
      </c>
      <c r="M147" s="2">
        <v>0.75</v>
      </c>
      <c r="N147">
        <v>8</v>
      </c>
      <c r="O147">
        <v>0</v>
      </c>
      <c r="P147" t="s">
        <v>32</v>
      </c>
      <c r="R147">
        <v>4</v>
      </c>
      <c r="S147" t="s">
        <v>92</v>
      </c>
      <c r="T147" t="s">
        <v>84</v>
      </c>
      <c r="U147" t="s">
        <v>47</v>
      </c>
      <c r="W147">
        <f>_xlfn.XLOOKUP(F147,tblEmployee[Employee_ID],tblEmployee[Age],"Not Found")</f>
        <v>32</v>
      </c>
      <c r="X147" t="str">
        <f>_xlfn.XLOOKUP(F147,tblEmployee[Employee_ID],tblEmployee[Gender],"Not Found")</f>
        <v>Female</v>
      </c>
      <c r="Y147">
        <f>_xlfn.XLOOKUP(F147,tblEmployee[Employee_ID],tblEmployee[Joining_Date],"")</f>
        <v>44880</v>
      </c>
      <c r="Z147">
        <f>_xlfn.XLOOKUP(H147,tblDepartment[Department],tblDepartment[Annual_Budget_INR],"")</f>
        <v>26000000</v>
      </c>
      <c r="AA147" t="str">
        <f>_xlfn.XLOOKUP(H147,tblDepartment[Department],tblDepartment[Monthly_Target],"")</f>
        <v>100% Payroll Accuracy</v>
      </c>
      <c r="AB147">
        <f>_xlfn.XLOOKUP(H147,tblDepartment[Department],tblDepartment[Average_Salary_INR],"")</f>
        <v>640000</v>
      </c>
      <c r="AC147" t="str">
        <f>_xlfn.XLOOKUP(H147,tblDepartment[Department],tblDepartment[Priority_Level],"")</f>
        <v>High</v>
      </c>
      <c r="AD147" t="str">
        <f>_xlfn.XLOOKUP(H147,tblDepartment[Department],tblDepartment[Key_KPI],"")</f>
        <v>Financial Compliance</v>
      </c>
      <c r="AE147">
        <f>_xlfn.XLOOKUP(tblMaster[[#This Row],[Shift]],tblShift[Shift_Name],tblShift[Login_Time],"")</f>
        <v>0.41666666666666669</v>
      </c>
      <c r="AF147">
        <f>_xlfn.XLOOKUP(tblMaster[[#This Row],[Shift]],tblShift[Shift_Name],tblShift[Logout_Time]," ")</f>
        <v>0.79166666666666663</v>
      </c>
      <c r="AG147">
        <f>_xlfn.XLOOKUP(tblMaster[[#This Row],[Shift]],tblShift[Shift_Name],tblShift[Standard_Working_Hours],"")</f>
        <v>8</v>
      </c>
      <c r="AH147" t="str">
        <f>_xlfn.XLOOKUP(tblMaster[[#This Row],[Attendance_Date]],tblHoliday[Holiday_Date],tblHoliday[Holiday_Name],"Working Day")</f>
        <v>Working Day</v>
      </c>
      <c r="AI147" t="str">
        <f>_xlfn.XLOOKUP(tblMaster[[#This Row],[Attendance_Date]],tblHoliday[Holiday_Date],tblHoliday[Holiday_Type],"Working Day ")</f>
        <v xml:space="preserve">Working Day </v>
      </c>
    </row>
    <row r="148" spans="1:35" hidden="1" x14ac:dyDescent="0.3">
      <c r="A148" t="s">
        <v>330</v>
      </c>
      <c r="B148" s="3">
        <v>45734</v>
      </c>
      <c r="C148" t="s">
        <v>71</v>
      </c>
      <c r="D148" t="s">
        <v>50</v>
      </c>
      <c r="E148" t="s">
        <v>87</v>
      </c>
      <c r="F148" t="s">
        <v>62</v>
      </c>
      <c r="G148" t="s">
        <v>63</v>
      </c>
      <c r="H148" t="s">
        <v>64</v>
      </c>
      <c r="I148" t="s">
        <v>65</v>
      </c>
      <c r="J148" t="s">
        <v>66</v>
      </c>
      <c r="K148" t="s">
        <v>81</v>
      </c>
      <c r="L148" s="2">
        <v>0.91666666666666663</v>
      </c>
      <c r="M148" s="2">
        <v>0.29166666666666669</v>
      </c>
      <c r="N148">
        <v>9.5</v>
      </c>
      <c r="O148">
        <v>1.5</v>
      </c>
      <c r="P148" t="s">
        <v>32</v>
      </c>
      <c r="R148">
        <v>3</v>
      </c>
      <c r="S148" t="s">
        <v>33</v>
      </c>
      <c r="T148" t="s">
        <v>68</v>
      </c>
      <c r="U148" t="s">
        <v>55</v>
      </c>
      <c r="V148" t="s">
        <v>69</v>
      </c>
      <c r="W148">
        <f>_xlfn.XLOOKUP(F148,tblEmployee[Employee_ID],tblEmployee[Age],"Not Found")</f>
        <v>23</v>
      </c>
      <c r="X148" t="str">
        <f>_xlfn.XLOOKUP(F148,tblEmployee[Employee_ID],tblEmployee[Gender],"Not Found")</f>
        <v>Male</v>
      </c>
      <c r="Y148">
        <f>_xlfn.XLOOKUP(F148,tblEmployee[Employee_ID],tblEmployee[Joining_Date],"")</f>
        <v>43511</v>
      </c>
      <c r="Z148">
        <f>_xlfn.XLOOKUP(H148,tblDepartment[Department],tblDepartment[Annual_Budget_INR],"")</f>
        <v>85000000</v>
      </c>
      <c r="AA148" t="str">
        <f>_xlfn.XLOOKUP(H148,tblDepartment[Department],tblDepartment[Monthly_Target],"")</f>
        <v>99.5% System Uptime</v>
      </c>
      <c r="AB148">
        <f>_xlfn.XLOOKUP(H148,tblDepartment[Department],tblDepartment[Average_Salary_INR],"")</f>
        <v>720000</v>
      </c>
      <c r="AC148" t="str">
        <f>_xlfn.XLOOKUP(H148,tblDepartment[Department],tblDepartment[Priority_Level],"")</f>
        <v>High</v>
      </c>
      <c r="AD148" t="str">
        <f>_xlfn.XLOOKUP(H148,tblDepartment[Department],tblDepartment[Key_KPI],"")</f>
        <v>Project Delivery</v>
      </c>
      <c r="AE148">
        <f>_xlfn.XLOOKUP(tblMaster[[#This Row],[Shift]],tblShift[Shift_Name],tblShift[Login_Time],"")</f>
        <v>0.91666666666666663</v>
      </c>
      <c r="AF148">
        <f>_xlfn.XLOOKUP(tblMaster[[#This Row],[Shift]],tblShift[Shift_Name],tblShift[Logout_Time]," ")</f>
        <v>0.29166666666666669</v>
      </c>
      <c r="AG148">
        <f>_xlfn.XLOOKUP(tblMaster[[#This Row],[Shift]],tblShift[Shift_Name],tblShift[Standard_Working_Hours],"")</f>
        <v>8</v>
      </c>
      <c r="AH148" t="str">
        <f>_xlfn.XLOOKUP(tblMaster[[#This Row],[Attendance_Date]],tblHoliday[Holiday_Date],tblHoliday[Holiday_Name],"Working Day")</f>
        <v>Working Day</v>
      </c>
      <c r="AI148" t="str">
        <f>_xlfn.XLOOKUP(tblMaster[[#This Row],[Attendance_Date]],tblHoliday[Holiday_Date],tblHoliday[Holiday_Type],"Working Day ")</f>
        <v xml:space="preserve">Working Day </v>
      </c>
    </row>
    <row r="149" spans="1:35" hidden="1" x14ac:dyDescent="0.3">
      <c r="A149" t="s">
        <v>331</v>
      </c>
      <c r="B149" s="3">
        <v>45668</v>
      </c>
      <c r="C149" t="s">
        <v>49</v>
      </c>
      <c r="D149" t="s">
        <v>50</v>
      </c>
      <c r="E149" t="s">
        <v>38</v>
      </c>
      <c r="F149" t="s">
        <v>182</v>
      </c>
      <c r="G149" t="s">
        <v>183</v>
      </c>
      <c r="H149" t="s">
        <v>112</v>
      </c>
      <c r="I149" t="s">
        <v>113</v>
      </c>
      <c r="J149" t="s">
        <v>30</v>
      </c>
      <c r="K149" t="s">
        <v>81</v>
      </c>
      <c r="L149" s="2">
        <v>0.375</v>
      </c>
      <c r="M149" s="2">
        <v>0.29166666666666669</v>
      </c>
      <c r="N149">
        <v>9</v>
      </c>
      <c r="O149">
        <v>1</v>
      </c>
      <c r="P149" t="s">
        <v>32</v>
      </c>
      <c r="R149">
        <v>3</v>
      </c>
      <c r="S149" t="s">
        <v>45</v>
      </c>
      <c r="T149" t="s">
        <v>114</v>
      </c>
      <c r="U149" t="s">
        <v>55</v>
      </c>
      <c r="V149" t="s">
        <v>35</v>
      </c>
      <c r="W149">
        <f>_xlfn.XLOOKUP(F149,tblEmployee[Employee_ID],tblEmployee[Age],"Not Found")</f>
        <v>28</v>
      </c>
      <c r="X149" t="str">
        <f>_xlfn.XLOOKUP(F149,tblEmployee[Employee_ID],tblEmployee[Gender],"Not Found")</f>
        <v>Male</v>
      </c>
      <c r="Y149">
        <f>_xlfn.XLOOKUP(F149,tblEmployee[Employee_ID],tblEmployee[Joining_Date],"")</f>
        <v>44211</v>
      </c>
      <c r="Z149">
        <f>_xlfn.XLOOKUP(H149,tblDepartment[Department],tblDepartment[Annual_Budget_INR],"")</f>
        <v>42000000</v>
      </c>
      <c r="AA149" t="str">
        <f>_xlfn.XLOOKUP(H149,tblDepartment[Department],tblDepartment[Monthly_Target],"")</f>
        <v>₹2.5 Cr Monthly Sales</v>
      </c>
      <c r="AB149">
        <f>_xlfn.XLOOKUP(H149,tblDepartment[Department],tblDepartment[Average_Salary_INR],"")</f>
        <v>680000</v>
      </c>
      <c r="AC149" t="str">
        <f>_xlfn.XLOOKUP(H149,tblDepartment[Department],tblDepartment[Priority_Level],"")</f>
        <v>High</v>
      </c>
      <c r="AD149" t="str">
        <f>_xlfn.XLOOKUP(H149,tblDepartment[Department],tblDepartment[Key_KPI],"")</f>
        <v>Revenue Achievement</v>
      </c>
      <c r="AE149">
        <f>_xlfn.XLOOKUP(tblMaster[[#This Row],[Shift]],tblShift[Shift_Name],tblShift[Login_Time],"")</f>
        <v>0.91666666666666663</v>
      </c>
      <c r="AF149">
        <f>_xlfn.XLOOKUP(tblMaster[[#This Row],[Shift]],tblShift[Shift_Name],tblShift[Logout_Time]," ")</f>
        <v>0.29166666666666669</v>
      </c>
      <c r="AG149">
        <f>_xlfn.XLOOKUP(tblMaster[[#This Row],[Shift]],tblShift[Shift_Name],tblShift[Standard_Working_Hours],"")</f>
        <v>8</v>
      </c>
      <c r="AH149" t="str">
        <f>_xlfn.XLOOKUP(tblMaster[[#This Row],[Attendance_Date]],tblHoliday[Holiday_Date],tblHoliday[Holiday_Name],"Working Day")</f>
        <v>Working Day</v>
      </c>
      <c r="AI149" t="str">
        <f>_xlfn.XLOOKUP(tblMaster[[#This Row],[Attendance_Date]],tblHoliday[Holiday_Date],tblHoliday[Holiday_Type],"Working Day ")</f>
        <v xml:space="preserve">Working Day </v>
      </c>
    </row>
    <row r="150" spans="1:35" hidden="1" x14ac:dyDescent="0.3">
      <c r="A150" t="s">
        <v>332</v>
      </c>
      <c r="B150" s="3">
        <v>45836</v>
      </c>
      <c r="C150" t="s">
        <v>23</v>
      </c>
      <c r="D150" t="s">
        <v>24</v>
      </c>
      <c r="E150" t="s">
        <v>38</v>
      </c>
      <c r="F150" t="s">
        <v>116</v>
      </c>
      <c r="G150" t="s">
        <v>117</v>
      </c>
      <c r="H150" t="s">
        <v>112</v>
      </c>
      <c r="I150" t="s">
        <v>113</v>
      </c>
      <c r="J150" t="s">
        <v>100</v>
      </c>
      <c r="K150" t="s">
        <v>54</v>
      </c>
      <c r="L150" s="2">
        <v>0.3888888888888889</v>
      </c>
      <c r="M150" s="2">
        <v>0.75</v>
      </c>
      <c r="N150">
        <v>8</v>
      </c>
      <c r="O150">
        <v>0</v>
      </c>
      <c r="P150" t="s">
        <v>32</v>
      </c>
      <c r="R150">
        <v>5</v>
      </c>
      <c r="S150" t="s">
        <v>33</v>
      </c>
      <c r="T150" t="s">
        <v>114</v>
      </c>
      <c r="U150" t="s">
        <v>47</v>
      </c>
      <c r="W150">
        <f>_xlfn.XLOOKUP(F150,tblEmployee[Employee_ID],tblEmployee[Age],"Not Found")</f>
        <v>24</v>
      </c>
      <c r="X150" t="str">
        <f>_xlfn.XLOOKUP(F150,tblEmployee[Employee_ID],tblEmployee[Gender],"Not Found")</f>
        <v>Male</v>
      </c>
      <c r="Y150">
        <f>_xlfn.XLOOKUP(F150,tblEmployee[Employee_ID],tblEmployee[Joining_Date],"")</f>
        <v>44270</v>
      </c>
      <c r="Z150">
        <f>_xlfn.XLOOKUP(H150,tblDepartment[Department],tblDepartment[Annual_Budget_INR],"")</f>
        <v>42000000</v>
      </c>
      <c r="AA150" t="str">
        <f>_xlfn.XLOOKUP(H150,tblDepartment[Department],tblDepartment[Monthly_Target],"")</f>
        <v>₹2.5 Cr Monthly Sales</v>
      </c>
      <c r="AB150">
        <f>_xlfn.XLOOKUP(H150,tblDepartment[Department],tblDepartment[Average_Salary_INR],"")</f>
        <v>680000</v>
      </c>
      <c r="AC150" t="str">
        <f>_xlfn.XLOOKUP(H150,tblDepartment[Department],tblDepartment[Priority_Level],"")</f>
        <v>High</v>
      </c>
      <c r="AD150" t="str">
        <f>_xlfn.XLOOKUP(H150,tblDepartment[Department],tblDepartment[Key_KPI],"")</f>
        <v>Revenue Achievement</v>
      </c>
      <c r="AE150">
        <f>_xlfn.XLOOKUP(tblMaster[[#This Row],[Shift]],tblShift[Shift_Name],tblShift[Login_Time],"")</f>
        <v>0.58333333333333337</v>
      </c>
      <c r="AF150">
        <f>_xlfn.XLOOKUP(tblMaster[[#This Row],[Shift]],tblShift[Shift_Name],tblShift[Logout_Time]," ")</f>
        <v>0.95833333333333337</v>
      </c>
      <c r="AG150">
        <f>_xlfn.XLOOKUP(tblMaster[[#This Row],[Shift]],tblShift[Shift_Name],tblShift[Standard_Working_Hours],"")</f>
        <v>8</v>
      </c>
      <c r="AH150" t="str">
        <f>_xlfn.XLOOKUP(tblMaster[[#This Row],[Attendance_Date]],tblHoliday[Holiday_Date],tblHoliday[Holiday_Name],"Working Day")</f>
        <v>Working Day</v>
      </c>
      <c r="AI150" t="str">
        <f>_xlfn.XLOOKUP(tblMaster[[#This Row],[Attendance_Date]],tblHoliday[Holiday_Date],tblHoliday[Holiday_Type],"Working Day ")</f>
        <v xml:space="preserve">Working Day </v>
      </c>
    </row>
    <row r="151" spans="1:35" hidden="1" x14ac:dyDescent="0.3">
      <c r="A151" t="s">
        <v>333</v>
      </c>
      <c r="B151" s="1">
        <v>45774</v>
      </c>
      <c r="C151" t="s">
        <v>37</v>
      </c>
      <c r="D151" t="s">
        <v>24</v>
      </c>
      <c r="E151" t="s">
        <v>103</v>
      </c>
      <c r="F151" t="s">
        <v>151</v>
      </c>
      <c r="G151" t="s">
        <v>152</v>
      </c>
      <c r="H151" t="s">
        <v>98</v>
      </c>
      <c r="I151" t="s">
        <v>99</v>
      </c>
      <c r="J151" t="s">
        <v>30</v>
      </c>
      <c r="K151" t="s">
        <v>54</v>
      </c>
      <c r="L151" s="2">
        <v>0.375</v>
      </c>
      <c r="M151" s="2">
        <v>0.75</v>
      </c>
      <c r="N151">
        <v>8</v>
      </c>
      <c r="O151">
        <v>0</v>
      </c>
      <c r="P151" t="s">
        <v>32</v>
      </c>
      <c r="R151">
        <v>4</v>
      </c>
      <c r="S151" t="s">
        <v>33</v>
      </c>
      <c r="T151" t="s">
        <v>101</v>
      </c>
      <c r="U151" t="s">
        <v>55</v>
      </c>
      <c r="V151" t="s">
        <v>69</v>
      </c>
      <c r="W151">
        <f>_xlfn.XLOOKUP(F151,tblEmployee[Employee_ID],tblEmployee[Age],"Not Found")</f>
        <v>38</v>
      </c>
      <c r="X151" t="str">
        <f>_xlfn.XLOOKUP(F151,tblEmployee[Employee_ID],tblEmployee[Gender],"Not Found")</f>
        <v>Female</v>
      </c>
      <c r="Y151">
        <f>_xlfn.XLOOKUP(F151,tblEmployee[Employee_ID],tblEmployee[Joining_Date],"")</f>
        <v>45611</v>
      </c>
      <c r="Z151">
        <f>_xlfn.XLOOKUP(H151,tblDepartment[Department],tblDepartment[Annual_Budget_INR],"")</f>
        <v>22000000</v>
      </c>
      <c r="AA151" t="str">
        <f>_xlfn.XLOOKUP(H151,tblDepartment[Department],tblDepartment[Monthly_Target],"")</f>
        <v>2500 Qualified Leads</v>
      </c>
      <c r="AB151">
        <f>_xlfn.XLOOKUP(H151,tblDepartment[Department],tblDepartment[Average_Salary_INR],"")</f>
        <v>590000</v>
      </c>
      <c r="AC151" t="str">
        <f>_xlfn.XLOOKUP(H151,tblDepartment[Department],tblDepartment[Priority_Level],"")</f>
        <v>Medium</v>
      </c>
      <c r="AD151" t="str">
        <f>_xlfn.XLOOKUP(H151,tblDepartment[Department],tblDepartment[Key_KPI],"")</f>
        <v>Lead Generation</v>
      </c>
      <c r="AE151">
        <f>_xlfn.XLOOKUP(tblMaster[[#This Row],[Shift]],tblShift[Shift_Name],tblShift[Login_Time],"")</f>
        <v>0.58333333333333337</v>
      </c>
      <c r="AF151">
        <f>_xlfn.XLOOKUP(tblMaster[[#This Row],[Shift]],tblShift[Shift_Name],tblShift[Logout_Time]," ")</f>
        <v>0.95833333333333337</v>
      </c>
      <c r="AG151">
        <f>_xlfn.XLOOKUP(tblMaster[[#This Row],[Shift]],tblShift[Shift_Name],tblShift[Standard_Working_Hours],"")</f>
        <v>8</v>
      </c>
      <c r="AH151" t="str">
        <f>_xlfn.XLOOKUP(tblMaster[[#This Row],[Attendance_Date]],tblHoliday[Holiday_Date],tblHoliday[Holiday_Name],"Working Day")</f>
        <v>Working Day</v>
      </c>
      <c r="AI151" t="str">
        <f>_xlfn.XLOOKUP(tblMaster[[#This Row],[Attendance_Date]],tblHoliday[Holiday_Date],tblHoliday[Holiday_Type],"Working Day ")</f>
        <v xml:space="preserve">Working Day </v>
      </c>
    </row>
    <row r="152" spans="1:35" hidden="1" x14ac:dyDescent="0.3">
      <c r="A152" t="s">
        <v>334</v>
      </c>
      <c r="B152" s="1">
        <v>45833</v>
      </c>
      <c r="C152" t="s">
        <v>23</v>
      </c>
      <c r="D152" t="s">
        <v>24</v>
      </c>
      <c r="E152" t="s">
        <v>51</v>
      </c>
      <c r="F152" t="s">
        <v>192</v>
      </c>
      <c r="G152" t="s">
        <v>193</v>
      </c>
      <c r="H152" t="s">
        <v>79</v>
      </c>
      <c r="I152" t="s">
        <v>80</v>
      </c>
      <c r="J152" t="s">
        <v>66</v>
      </c>
      <c r="K152" t="s">
        <v>75</v>
      </c>
      <c r="L152" s="2">
        <v>0.375</v>
      </c>
      <c r="M152" s="2">
        <v>0.75</v>
      </c>
      <c r="N152">
        <v>8</v>
      </c>
      <c r="O152">
        <v>0</v>
      </c>
      <c r="P152" t="s">
        <v>32</v>
      </c>
      <c r="R152">
        <v>3</v>
      </c>
      <c r="S152" t="s">
        <v>92</v>
      </c>
      <c r="T152" t="s">
        <v>84</v>
      </c>
      <c r="U152" t="s">
        <v>85</v>
      </c>
      <c r="V152" t="s">
        <v>35</v>
      </c>
      <c r="W152">
        <f>_xlfn.XLOOKUP(F152,tblEmployee[Employee_ID],tblEmployee[Age],"Not Found")</f>
        <v>32</v>
      </c>
      <c r="X152" t="str">
        <f>_xlfn.XLOOKUP(F152,tblEmployee[Employee_ID],tblEmployee[Gender],"Not Found")</f>
        <v>Female</v>
      </c>
      <c r="Y152">
        <f>_xlfn.XLOOKUP(F152,tblEmployee[Employee_ID],tblEmployee[Joining_Date],"")</f>
        <v>44880</v>
      </c>
      <c r="Z152">
        <f>_xlfn.XLOOKUP(H152,tblDepartment[Department],tblDepartment[Annual_Budget_INR],"")</f>
        <v>26000000</v>
      </c>
      <c r="AA152" t="str">
        <f>_xlfn.XLOOKUP(H152,tblDepartment[Department],tblDepartment[Monthly_Target],"")</f>
        <v>100% Payroll Accuracy</v>
      </c>
      <c r="AB152">
        <f>_xlfn.XLOOKUP(H152,tblDepartment[Department],tblDepartment[Average_Salary_INR],"")</f>
        <v>640000</v>
      </c>
      <c r="AC152" t="str">
        <f>_xlfn.XLOOKUP(H152,tblDepartment[Department],tblDepartment[Priority_Level],"")</f>
        <v>High</v>
      </c>
      <c r="AD152" t="str">
        <f>_xlfn.XLOOKUP(H152,tblDepartment[Department],tblDepartment[Key_KPI],"")</f>
        <v>Financial Compliance</v>
      </c>
      <c r="AE152">
        <f>_xlfn.XLOOKUP(tblMaster[[#This Row],[Shift]],tblShift[Shift_Name],tblShift[Login_Time],"")</f>
        <v>0.375</v>
      </c>
      <c r="AF152">
        <f>_xlfn.XLOOKUP(tblMaster[[#This Row],[Shift]],tblShift[Shift_Name],tblShift[Logout_Time]," ")</f>
        <v>0.75</v>
      </c>
      <c r="AG152">
        <f>_xlfn.XLOOKUP(tblMaster[[#This Row],[Shift]],tblShift[Shift_Name],tblShift[Standard_Working_Hours],"")</f>
        <v>8</v>
      </c>
      <c r="AH152" t="str">
        <f>_xlfn.XLOOKUP(tblMaster[[#This Row],[Attendance_Date]],tblHoliday[Holiday_Date],tblHoliday[Holiday_Name],"Working Day")</f>
        <v>Working Day</v>
      </c>
      <c r="AI152" t="str">
        <f>_xlfn.XLOOKUP(tblMaster[[#This Row],[Attendance_Date]],tblHoliday[Holiday_Date],tblHoliday[Holiday_Type],"Working Day ")</f>
        <v xml:space="preserve">Working Day </v>
      </c>
    </row>
    <row r="153" spans="1:35" hidden="1" x14ac:dyDescent="0.3">
      <c r="A153" t="s">
        <v>335</v>
      </c>
      <c r="B153" s="3">
        <v>45750</v>
      </c>
      <c r="C153" t="s">
        <v>37</v>
      </c>
      <c r="D153" t="s">
        <v>24</v>
      </c>
      <c r="E153" t="s">
        <v>25</v>
      </c>
      <c r="F153" t="s">
        <v>104</v>
      </c>
      <c r="G153" t="s">
        <v>105</v>
      </c>
      <c r="H153" t="s">
        <v>28</v>
      </c>
      <c r="I153" t="s">
        <v>29</v>
      </c>
      <c r="J153" t="s">
        <v>30</v>
      </c>
      <c r="K153" t="s">
        <v>81</v>
      </c>
      <c r="L153" s="2">
        <v>0.91666666666666663</v>
      </c>
      <c r="N153">
        <v>10</v>
      </c>
      <c r="O153">
        <v>2</v>
      </c>
      <c r="P153" t="s">
        <v>32</v>
      </c>
      <c r="R153">
        <v>4</v>
      </c>
      <c r="S153" t="s">
        <v>67</v>
      </c>
      <c r="T153" t="s">
        <v>34</v>
      </c>
      <c r="U153" t="s">
        <v>55</v>
      </c>
      <c r="V153" t="s">
        <v>60</v>
      </c>
      <c r="W153">
        <f>_xlfn.XLOOKUP(F153,tblEmployee[Employee_ID],tblEmployee[Age],"Not Found")</f>
        <v>35</v>
      </c>
      <c r="X153" t="str">
        <f>_xlfn.XLOOKUP(F153,tblEmployee[Employee_ID],tblEmployee[Gender],"Not Found")</f>
        <v>Male</v>
      </c>
      <c r="Y153">
        <f>_xlfn.XLOOKUP(F153,tblEmployee[Employee_ID],tblEmployee[Joining_Date],"")</f>
        <v>43146</v>
      </c>
      <c r="Z153">
        <f>_xlfn.XLOOKUP(H153,tblDepartment[Department],tblDepartment[Annual_Budget_INR],"")</f>
        <v>24000000</v>
      </c>
      <c r="AA153" t="str">
        <f>_xlfn.XLOOKUP(H153,tblDepartment[Department],tblDepartment[Monthly_Target],"")</f>
        <v>90% Customer Satisfaction</v>
      </c>
      <c r="AB153">
        <f>_xlfn.XLOOKUP(H153,tblDepartment[Department],tblDepartment[Average_Salary_INR],"")</f>
        <v>520000</v>
      </c>
      <c r="AC153" t="str">
        <f>_xlfn.XLOOKUP(H153,tblDepartment[Department],tblDepartment[Priority_Level],"")</f>
        <v>High</v>
      </c>
      <c r="AD153" t="str">
        <f>_xlfn.XLOOKUP(H153,tblDepartment[Department],tblDepartment[Key_KPI],"")</f>
        <v>Customer Satisfaction</v>
      </c>
      <c r="AE153">
        <f>_xlfn.XLOOKUP(tblMaster[[#This Row],[Shift]],tblShift[Shift_Name],tblShift[Login_Time],"")</f>
        <v>0.91666666666666663</v>
      </c>
      <c r="AF153">
        <f>_xlfn.XLOOKUP(tblMaster[[#This Row],[Shift]],tblShift[Shift_Name],tblShift[Logout_Time]," ")</f>
        <v>0.29166666666666669</v>
      </c>
      <c r="AG153">
        <f>_xlfn.XLOOKUP(tblMaster[[#This Row],[Shift]],tblShift[Shift_Name],tblShift[Standard_Working_Hours],"")</f>
        <v>8</v>
      </c>
      <c r="AH153" t="str">
        <f>_xlfn.XLOOKUP(tblMaster[[#This Row],[Attendance_Date]],tblHoliday[Holiday_Date],tblHoliday[Holiday_Name],"Working Day")</f>
        <v>Working Day</v>
      </c>
      <c r="AI153" t="str">
        <f>_xlfn.XLOOKUP(tblMaster[[#This Row],[Attendance_Date]],tblHoliday[Holiday_Date],tblHoliday[Holiday_Type],"Working Day ")</f>
        <v xml:space="preserve">Working Day </v>
      </c>
    </row>
    <row r="154" spans="1:35" hidden="1" x14ac:dyDescent="0.3">
      <c r="A154" t="s">
        <v>336</v>
      </c>
      <c r="B154" s="3">
        <v>45714</v>
      </c>
      <c r="C154" t="s">
        <v>95</v>
      </c>
      <c r="D154" t="s">
        <v>50</v>
      </c>
      <c r="E154" t="s">
        <v>51</v>
      </c>
      <c r="F154" t="s">
        <v>154</v>
      </c>
      <c r="G154" t="s">
        <v>155</v>
      </c>
      <c r="H154" t="s">
        <v>41</v>
      </c>
      <c r="I154" t="s">
        <v>42</v>
      </c>
      <c r="J154" t="s">
        <v>74</v>
      </c>
      <c r="K154" t="s">
        <v>54</v>
      </c>
      <c r="L154" s="2">
        <v>0.375</v>
      </c>
      <c r="M154" s="2">
        <v>0.75</v>
      </c>
      <c r="N154">
        <v>8</v>
      </c>
      <c r="O154">
        <v>0</v>
      </c>
      <c r="P154" t="s">
        <v>32</v>
      </c>
      <c r="R154">
        <v>4</v>
      </c>
      <c r="S154" t="s">
        <v>92</v>
      </c>
      <c r="T154" t="s">
        <v>46</v>
      </c>
      <c r="U154" t="s">
        <v>47</v>
      </c>
      <c r="V154" t="s">
        <v>69</v>
      </c>
      <c r="W154">
        <f>_xlfn.XLOOKUP(F154,tblEmployee[Employee_ID],tblEmployee[Age],"Not Found")</f>
        <v>33</v>
      </c>
      <c r="X154" t="str">
        <f>_xlfn.XLOOKUP(F154,tblEmployee[Employee_ID],tblEmployee[Gender],"Not Found")</f>
        <v>Male</v>
      </c>
      <c r="Y154">
        <f>_xlfn.XLOOKUP(F154,tblEmployee[Employee_ID],tblEmployee[Joining_Date],"")</f>
        <v>45275</v>
      </c>
      <c r="Z154">
        <f>_xlfn.XLOOKUP(H154,tblDepartment[Department],tblDepartment[Annual_Budget_INR],"")</f>
        <v>34000000</v>
      </c>
      <c r="AA154" t="str">
        <f>_xlfn.XLOOKUP(H154,tblDepartment[Department],tblDepartment[Monthly_Target],"")</f>
        <v>95% Process Efficiency</v>
      </c>
      <c r="AB154">
        <f>_xlfn.XLOOKUP(H154,tblDepartment[Department],tblDepartment[Average_Salary_INR],"")</f>
        <v>610000</v>
      </c>
      <c r="AC154" t="str">
        <f>_xlfn.XLOOKUP(H154,tblDepartment[Department],tblDepartment[Priority_Level],"")</f>
        <v>High</v>
      </c>
      <c r="AD154" t="str">
        <f>_xlfn.XLOOKUP(H154,tblDepartment[Department],tblDepartment[Key_KPI],"")</f>
        <v>Operational Efficiency</v>
      </c>
      <c r="AE154">
        <f>_xlfn.XLOOKUP(tblMaster[[#This Row],[Shift]],tblShift[Shift_Name],tblShift[Login_Time],"")</f>
        <v>0.58333333333333337</v>
      </c>
      <c r="AF154">
        <f>_xlfn.XLOOKUP(tblMaster[[#This Row],[Shift]],tblShift[Shift_Name],tblShift[Logout_Time]," ")</f>
        <v>0.95833333333333337</v>
      </c>
      <c r="AG154">
        <f>_xlfn.XLOOKUP(tblMaster[[#This Row],[Shift]],tblShift[Shift_Name],tblShift[Standard_Working_Hours],"")</f>
        <v>8</v>
      </c>
      <c r="AH154" t="str">
        <f>_xlfn.XLOOKUP(tblMaster[[#This Row],[Attendance_Date]],tblHoliday[Holiday_Date],tblHoliday[Holiday_Name],"Working Day")</f>
        <v>Mahashivratri</v>
      </c>
      <c r="AI154" t="str">
        <f>_xlfn.XLOOKUP(tblMaster[[#This Row],[Attendance_Date]],tblHoliday[Holiday_Date],tblHoliday[Holiday_Type],"Working Day ")</f>
        <v>Restricted</v>
      </c>
    </row>
    <row r="155" spans="1:35" hidden="1" x14ac:dyDescent="0.3">
      <c r="A155" t="s">
        <v>337</v>
      </c>
      <c r="B155" s="3">
        <v>45748</v>
      </c>
      <c r="C155" t="s">
        <v>37</v>
      </c>
      <c r="D155" t="s">
        <v>24</v>
      </c>
      <c r="E155" t="s">
        <v>87</v>
      </c>
      <c r="F155" t="s">
        <v>170</v>
      </c>
      <c r="G155" t="s">
        <v>171</v>
      </c>
      <c r="H155" t="s">
        <v>64</v>
      </c>
      <c r="I155" t="s">
        <v>65</v>
      </c>
      <c r="J155" t="s">
        <v>43</v>
      </c>
      <c r="K155" t="s">
        <v>54</v>
      </c>
      <c r="L155" s="2">
        <v>0.375</v>
      </c>
      <c r="M155" s="2">
        <v>0.75</v>
      </c>
      <c r="N155">
        <v>10</v>
      </c>
      <c r="O155">
        <v>2</v>
      </c>
      <c r="P155" t="s">
        <v>32</v>
      </c>
      <c r="R155">
        <v>5</v>
      </c>
      <c r="S155" t="s">
        <v>33</v>
      </c>
      <c r="T155" t="s">
        <v>68</v>
      </c>
      <c r="U155" t="s">
        <v>85</v>
      </c>
      <c r="V155" t="s">
        <v>35</v>
      </c>
      <c r="W155">
        <f>_xlfn.XLOOKUP(F155,tblEmployee[Employee_ID],tblEmployee[Age],"Not Found")</f>
        <v>36</v>
      </c>
      <c r="X155" t="str">
        <f>_xlfn.XLOOKUP(F155,tblEmployee[Employee_ID],tblEmployee[Gender],"Not Found")</f>
        <v>Female</v>
      </c>
      <c r="Y155">
        <f>_xlfn.XLOOKUP(F155,tblEmployee[Employee_ID],tblEmployee[Joining_Date],"")</f>
        <v>43539</v>
      </c>
      <c r="Z155">
        <f>_xlfn.XLOOKUP(H155,tblDepartment[Department],tblDepartment[Annual_Budget_INR],"")</f>
        <v>85000000</v>
      </c>
      <c r="AA155" t="str">
        <f>_xlfn.XLOOKUP(H155,tblDepartment[Department],tblDepartment[Monthly_Target],"")</f>
        <v>99.5% System Uptime</v>
      </c>
      <c r="AB155">
        <f>_xlfn.XLOOKUP(H155,tblDepartment[Department],tblDepartment[Average_Salary_INR],"")</f>
        <v>720000</v>
      </c>
      <c r="AC155" t="str">
        <f>_xlfn.XLOOKUP(H155,tblDepartment[Department],tblDepartment[Priority_Level],"")</f>
        <v>High</v>
      </c>
      <c r="AD155" t="str">
        <f>_xlfn.XLOOKUP(H155,tblDepartment[Department],tblDepartment[Key_KPI],"")</f>
        <v>Project Delivery</v>
      </c>
      <c r="AE155">
        <f>_xlfn.XLOOKUP(tblMaster[[#This Row],[Shift]],tblShift[Shift_Name],tblShift[Login_Time],"")</f>
        <v>0.58333333333333337</v>
      </c>
      <c r="AF155">
        <f>_xlfn.XLOOKUP(tblMaster[[#This Row],[Shift]],tblShift[Shift_Name],tblShift[Logout_Time]," ")</f>
        <v>0.95833333333333337</v>
      </c>
      <c r="AG155">
        <f>_xlfn.XLOOKUP(tblMaster[[#This Row],[Shift]],tblShift[Shift_Name],tblShift[Standard_Working_Hours],"")</f>
        <v>8</v>
      </c>
      <c r="AH155" t="str">
        <f>_xlfn.XLOOKUP(tblMaster[[#This Row],[Attendance_Date]],tblHoliday[Holiday_Date],tblHoliday[Holiday_Name],"Working Day")</f>
        <v>Working Day</v>
      </c>
      <c r="AI155" t="str">
        <f>_xlfn.XLOOKUP(tblMaster[[#This Row],[Attendance_Date]],tblHoliday[Holiday_Date],tblHoliday[Holiday_Type],"Working Day ")</f>
        <v xml:space="preserve">Working Day </v>
      </c>
    </row>
    <row r="156" spans="1:35" hidden="1" x14ac:dyDescent="0.3">
      <c r="A156" t="s">
        <v>338</v>
      </c>
      <c r="B156" s="1">
        <v>45828</v>
      </c>
      <c r="C156" t="s">
        <v>23</v>
      </c>
      <c r="D156" t="s">
        <v>24</v>
      </c>
      <c r="E156" t="s">
        <v>119</v>
      </c>
      <c r="F156" t="s">
        <v>266</v>
      </c>
      <c r="G156" t="s">
        <v>267</v>
      </c>
      <c r="H156" t="s">
        <v>98</v>
      </c>
      <c r="I156" t="s">
        <v>99</v>
      </c>
      <c r="J156" t="s">
        <v>66</v>
      </c>
      <c r="K156" t="s">
        <v>44</v>
      </c>
      <c r="L156" s="2">
        <v>0.375</v>
      </c>
      <c r="M156" s="2">
        <v>0.75</v>
      </c>
      <c r="N156">
        <v>8</v>
      </c>
      <c r="O156">
        <v>0</v>
      </c>
      <c r="P156" t="s">
        <v>32</v>
      </c>
      <c r="R156">
        <v>4</v>
      </c>
      <c r="S156" t="s">
        <v>45</v>
      </c>
      <c r="T156" t="s">
        <v>101</v>
      </c>
      <c r="U156" t="s">
        <v>55</v>
      </c>
      <c r="V156" t="s">
        <v>69</v>
      </c>
      <c r="W156">
        <f>_xlfn.XLOOKUP(F156,tblEmployee[Employee_ID],tblEmployee[Age],"Not Found")</f>
        <v>28</v>
      </c>
      <c r="X156" t="str">
        <f>_xlfn.XLOOKUP(F156,tblEmployee[Employee_ID],tblEmployee[Gender],"Not Found")</f>
        <v>Female</v>
      </c>
      <c r="Y156">
        <f>_xlfn.XLOOKUP(F156,tblEmployee[Employee_ID],tblEmployee[Joining_Date],"")</f>
        <v>45488</v>
      </c>
      <c r="Z156">
        <f>_xlfn.XLOOKUP(H156,tblDepartment[Department],tblDepartment[Annual_Budget_INR],"")</f>
        <v>22000000</v>
      </c>
      <c r="AA156" t="str">
        <f>_xlfn.XLOOKUP(H156,tblDepartment[Department],tblDepartment[Monthly_Target],"")</f>
        <v>2500 Qualified Leads</v>
      </c>
      <c r="AB156">
        <f>_xlfn.XLOOKUP(H156,tblDepartment[Department],tblDepartment[Average_Salary_INR],"")</f>
        <v>590000</v>
      </c>
      <c r="AC156" t="str">
        <f>_xlfn.XLOOKUP(H156,tblDepartment[Department],tblDepartment[Priority_Level],"")</f>
        <v>Medium</v>
      </c>
      <c r="AD156" t="str">
        <f>_xlfn.XLOOKUP(H156,tblDepartment[Department],tblDepartment[Key_KPI],"")</f>
        <v>Lead Generation</v>
      </c>
      <c r="AE156">
        <f>_xlfn.XLOOKUP(tblMaster[[#This Row],[Shift]],tblShift[Shift_Name],tblShift[Login_Time],"")</f>
        <v>0.41666666666666669</v>
      </c>
      <c r="AF156">
        <f>_xlfn.XLOOKUP(tblMaster[[#This Row],[Shift]],tblShift[Shift_Name],tblShift[Logout_Time]," ")</f>
        <v>0.79166666666666663</v>
      </c>
      <c r="AG156">
        <f>_xlfn.XLOOKUP(tblMaster[[#This Row],[Shift]],tblShift[Shift_Name],tblShift[Standard_Working_Hours],"")</f>
        <v>8</v>
      </c>
      <c r="AH156" t="str">
        <f>_xlfn.XLOOKUP(tblMaster[[#This Row],[Attendance_Date]],tblHoliday[Holiday_Date],tblHoliday[Holiday_Name],"Working Day")</f>
        <v>Working Day</v>
      </c>
      <c r="AI156" t="str">
        <f>_xlfn.XLOOKUP(tblMaster[[#This Row],[Attendance_Date]],tblHoliday[Holiday_Date],tblHoliday[Holiday_Type],"Working Day ")</f>
        <v xml:space="preserve">Working Day </v>
      </c>
    </row>
    <row r="157" spans="1:35" x14ac:dyDescent="0.3">
      <c r="A157" t="s">
        <v>339</v>
      </c>
      <c r="B157" s="1">
        <v>45708</v>
      </c>
      <c r="C157" t="s">
        <v>95</v>
      </c>
      <c r="D157" t="s">
        <v>50</v>
      </c>
      <c r="E157" t="s">
        <v>25</v>
      </c>
      <c r="F157" t="s">
        <v>266</v>
      </c>
      <c r="G157" t="s">
        <v>267</v>
      </c>
      <c r="H157" t="s">
        <v>98</v>
      </c>
      <c r="I157" t="s">
        <v>99</v>
      </c>
      <c r="J157" t="s">
        <v>66</v>
      </c>
      <c r="K157" t="s">
        <v>81</v>
      </c>
      <c r="P157" t="s">
        <v>135</v>
      </c>
      <c r="S157" t="s">
        <v>45</v>
      </c>
      <c r="T157" t="s">
        <v>101</v>
      </c>
      <c r="U157" t="str">
        <f>_xlfn.XLOOKUP(tblMaster[[#This Row],[Employee_ID]],tblEmployee[Employee_ID],tblEmployee[Work_Mode]," ")</f>
        <v>Office</v>
      </c>
      <c r="V157" t="s">
        <v>60</v>
      </c>
      <c r="W157">
        <f>_xlfn.XLOOKUP(F157,tblEmployee[Employee_ID],tblEmployee[Age],"Not Found")</f>
        <v>28</v>
      </c>
      <c r="X157" t="str">
        <f>_xlfn.XLOOKUP(F157,tblEmployee[Employee_ID],tblEmployee[Gender],"Not Found")</f>
        <v>Female</v>
      </c>
      <c r="Y157">
        <f>_xlfn.XLOOKUP(F157,tblEmployee[Employee_ID],tblEmployee[Joining_Date],"")</f>
        <v>45488</v>
      </c>
      <c r="Z157">
        <f>_xlfn.XLOOKUP(H157,tblDepartment[Department],tblDepartment[Annual_Budget_INR],"")</f>
        <v>22000000</v>
      </c>
      <c r="AA157" t="str">
        <f>_xlfn.XLOOKUP(H157,tblDepartment[Department],tblDepartment[Monthly_Target],"")</f>
        <v>2500 Qualified Leads</v>
      </c>
      <c r="AB157">
        <f>_xlfn.XLOOKUP(H157,tblDepartment[Department],tblDepartment[Average_Salary_INR],"")</f>
        <v>590000</v>
      </c>
      <c r="AC157" t="str">
        <f>_xlfn.XLOOKUP(H157,tblDepartment[Department],tblDepartment[Priority_Level],"")</f>
        <v>Medium</v>
      </c>
      <c r="AD157" t="str">
        <f>_xlfn.XLOOKUP(H157,tblDepartment[Department],tblDepartment[Key_KPI],"")</f>
        <v>Lead Generation</v>
      </c>
      <c r="AE157">
        <f>_xlfn.XLOOKUP(tblMaster[[#This Row],[Shift]],tblShift[Shift_Name],tblShift[Login_Time],"")</f>
        <v>0.91666666666666663</v>
      </c>
      <c r="AF157">
        <f>_xlfn.XLOOKUP(tblMaster[[#This Row],[Shift]],tblShift[Shift_Name],tblShift[Logout_Time]," ")</f>
        <v>0.29166666666666669</v>
      </c>
      <c r="AG157">
        <f>_xlfn.XLOOKUP(tblMaster[[#This Row],[Shift]],tblShift[Shift_Name],tblShift[Standard_Working_Hours],"")</f>
        <v>8</v>
      </c>
      <c r="AH157" t="str">
        <f>_xlfn.XLOOKUP(tblMaster[[#This Row],[Attendance_Date]],tblHoliday[Holiday_Date],tblHoliday[Holiday_Name],"Working Day")</f>
        <v>Working Day</v>
      </c>
      <c r="AI157" t="str">
        <f>_xlfn.XLOOKUP(tblMaster[[#This Row],[Attendance_Date]],tblHoliday[Holiday_Date],tblHoliday[Holiday_Type],"Working Day ")</f>
        <v xml:space="preserve">Working Day </v>
      </c>
    </row>
    <row r="158" spans="1:35" x14ac:dyDescent="0.3">
      <c r="A158" t="s">
        <v>340</v>
      </c>
      <c r="B158" s="3">
        <v>45814</v>
      </c>
      <c r="C158" t="s">
        <v>23</v>
      </c>
      <c r="D158" t="s">
        <v>24</v>
      </c>
      <c r="E158" t="s">
        <v>119</v>
      </c>
      <c r="F158" t="s">
        <v>258</v>
      </c>
      <c r="G158" t="s">
        <v>259</v>
      </c>
      <c r="H158" t="s">
        <v>112</v>
      </c>
      <c r="I158" t="s">
        <v>113</v>
      </c>
      <c r="J158" t="s">
        <v>74</v>
      </c>
      <c r="K158" t="s">
        <v>75</v>
      </c>
      <c r="L158" s="2">
        <v>0.3888888888888889</v>
      </c>
      <c r="M158" s="2">
        <v>0.75</v>
      </c>
      <c r="N158">
        <v>8</v>
      </c>
      <c r="O158">
        <v>0</v>
      </c>
      <c r="P158" t="s">
        <v>32</v>
      </c>
      <c r="R158">
        <v>3</v>
      </c>
      <c r="S158" t="s">
        <v>67</v>
      </c>
      <c r="T158" t="s">
        <v>114</v>
      </c>
      <c r="U158" t="str">
        <f>_xlfn.XLOOKUP(tblMaster[[#This Row],[Employee_ID]],tblEmployee[Employee_ID],tblEmployee[Work_Mode]," ")</f>
        <v>Remote</v>
      </c>
      <c r="V158" t="s">
        <v>35</v>
      </c>
      <c r="W158">
        <f>_xlfn.XLOOKUP(F158,tblEmployee[Employee_ID],tblEmployee[Age],"Not Found")</f>
        <v>39</v>
      </c>
      <c r="X158" t="str">
        <f>_xlfn.XLOOKUP(F158,tblEmployee[Employee_ID],tblEmployee[Gender],"Not Found")</f>
        <v>Male</v>
      </c>
      <c r="Y158">
        <f>_xlfn.XLOOKUP(F158,tblEmployee[Employee_ID],tblEmployee[Joining_Date],"")</f>
        <v>44362</v>
      </c>
      <c r="Z158">
        <f>_xlfn.XLOOKUP(H158,tblDepartment[Department],tblDepartment[Annual_Budget_INR],"")</f>
        <v>42000000</v>
      </c>
      <c r="AA158" t="str">
        <f>_xlfn.XLOOKUP(H158,tblDepartment[Department],tblDepartment[Monthly_Target],"")</f>
        <v>₹2.5 Cr Monthly Sales</v>
      </c>
      <c r="AB158">
        <f>_xlfn.XLOOKUP(H158,tblDepartment[Department],tblDepartment[Average_Salary_INR],"")</f>
        <v>680000</v>
      </c>
      <c r="AC158" t="str">
        <f>_xlfn.XLOOKUP(H158,tblDepartment[Department],tblDepartment[Priority_Level],"")</f>
        <v>High</v>
      </c>
      <c r="AD158" t="str">
        <f>_xlfn.XLOOKUP(H158,tblDepartment[Department],tblDepartment[Key_KPI],"")</f>
        <v>Revenue Achievement</v>
      </c>
      <c r="AE158">
        <f>_xlfn.XLOOKUP(tblMaster[[#This Row],[Shift]],tblShift[Shift_Name],tblShift[Login_Time],"")</f>
        <v>0.375</v>
      </c>
      <c r="AF158">
        <f>_xlfn.XLOOKUP(tblMaster[[#This Row],[Shift]],tblShift[Shift_Name],tblShift[Logout_Time]," ")</f>
        <v>0.75</v>
      </c>
      <c r="AG158">
        <f>_xlfn.XLOOKUP(tblMaster[[#This Row],[Shift]],tblShift[Shift_Name],tblShift[Standard_Working_Hours],"")</f>
        <v>8</v>
      </c>
      <c r="AH158" t="str">
        <f>_xlfn.XLOOKUP(tblMaster[[#This Row],[Attendance_Date]],tblHoliday[Holiday_Date],tblHoliday[Holiday_Name],"Working Day")</f>
        <v>Working Day</v>
      </c>
      <c r="AI158" t="str">
        <f>_xlfn.XLOOKUP(tblMaster[[#This Row],[Attendance_Date]],tblHoliday[Holiday_Date],tblHoliday[Holiday_Type],"Working Day ")</f>
        <v xml:space="preserve">Working Day </v>
      </c>
    </row>
    <row r="159" spans="1:35" hidden="1" x14ac:dyDescent="0.3">
      <c r="A159" t="s">
        <v>341</v>
      </c>
      <c r="B159" s="1">
        <v>45834</v>
      </c>
      <c r="C159" t="s">
        <v>23</v>
      </c>
      <c r="D159" t="s">
        <v>24</v>
      </c>
      <c r="E159" t="s">
        <v>25</v>
      </c>
      <c r="F159" t="s">
        <v>104</v>
      </c>
      <c r="G159" t="s">
        <v>105</v>
      </c>
      <c r="H159" t="s">
        <v>28</v>
      </c>
      <c r="I159" t="s">
        <v>29</v>
      </c>
      <c r="J159" t="s">
        <v>30</v>
      </c>
      <c r="K159" t="s">
        <v>81</v>
      </c>
      <c r="L159" s="2">
        <v>0.91666666666666663</v>
      </c>
      <c r="M159" s="2">
        <v>0.29166666666666669</v>
      </c>
      <c r="N159">
        <v>9.5</v>
      </c>
      <c r="O159">
        <v>1.5</v>
      </c>
      <c r="P159" t="s">
        <v>32</v>
      </c>
      <c r="R159">
        <v>4</v>
      </c>
      <c r="S159" t="s">
        <v>45</v>
      </c>
      <c r="T159" t="s">
        <v>34</v>
      </c>
      <c r="U159" t="s">
        <v>85</v>
      </c>
      <c r="V159" t="s">
        <v>69</v>
      </c>
      <c r="W159">
        <f>_xlfn.XLOOKUP(F159,tblEmployee[Employee_ID],tblEmployee[Age],"Not Found")</f>
        <v>35</v>
      </c>
      <c r="X159" t="str">
        <f>_xlfn.XLOOKUP(F159,tblEmployee[Employee_ID],tblEmployee[Gender],"Not Found")</f>
        <v>Male</v>
      </c>
      <c r="Y159">
        <f>_xlfn.XLOOKUP(F159,tblEmployee[Employee_ID],tblEmployee[Joining_Date],"")</f>
        <v>43146</v>
      </c>
      <c r="Z159">
        <f>_xlfn.XLOOKUP(H159,tblDepartment[Department],tblDepartment[Annual_Budget_INR],"")</f>
        <v>24000000</v>
      </c>
      <c r="AA159" t="str">
        <f>_xlfn.XLOOKUP(H159,tblDepartment[Department],tblDepartment[Monthly_Target],"")</f>
        <v>90% Customer Satisfaction</v>
      </c>
      <c r="AB159">
        <f>_xlfn.XLOOKUP(H159,tblDepartment[Department],tblDepartment[Average_Salary_INR],"")</f>
        <v>520000</v>
      </c>
      <c r="AC159" t="str">
        <f>_xlfn.XLOOKUP(H159,tblDepartment[Department],tblDepartment[Priority_Level],"")</f>
        <v>High</v>
      </c>
      <c r="AD159" t="str">
        <f>_xlfn.XLOOKUP(H159,tblDepartment[Department],tblDepartment[Key_KPI],"")</f>
        <v>Customer Satisfaction</v>
      </c>
      <c r="AE159">
        <f>_xlfn.XLOOKUP(tblMaster[[#This Row],[Shift]],tblShift[Shift_Name],tblShift[Login_Time],"")</f>
        <v>0.91666666666666663</v>
      </c>
      <c r="AF159">
        <f>_xlfn.XLOOKUP(tblMaster[[#This Row],[Shift]],tblShift[Shift_Name],tblShift[Logout_Time]," ")</f>
        <v>0.29166666666666669</v>
      </c>
      <c r="AG159">
        <f>_xlfn.XLOOKUP(tblMaster[[#This Row],[Shift]],tblShift[Shift_Name],tblShift[Standard_Working_Hours],"")</f>
        <v>8</v>
      </c>
      <c r="AH159" t="str">
        <f>_xlfn.XLOOKUP(tblMaster[[#This Row],[Attendance_Date]],tblHoliday[Holiday_Date],tblHoliday[Holiday_Name],"Working Day")</f>
        <v>Working Day</v>
      </c>
      <c r="AI159" t="str">
        <f>_xlfn.XLOOKUP(tblMaster[[#This Row],[Attendance_Date]],tblHoliday[Holiday_Date],tblHoliday[Holiday_Type],"Working Day ")</f>
        <v xml:space="preserve">Working Day </v>
      </c>
    </row>
    <row r="160" spans="1:35" hidden="1" x14ac:dyDescent="0.3">
      <c r="A160" t="s">
        <v>342</v>
      </c>
      <c r="B160" s="1">
        <v>45774</v>
      </c>
      <c r="C160" t="s">
        <v>37</v>
      </c>
      <c r="D160" t="s">
        <v>24</v>
      </c>
      <c r="E160" t="s">
        <v>103</v>
      </c>
      <c r="F160" t="s">
        <v>201</v>
      </c>
      <c r="G160" t="s">
        <v>202</v>
      </c>
      <c r="H160" t="s">
        <v>112</v>
      </c>
      <c r="I160" t="s">
        <v>113</v>
      </c>
      <c r="J160" t="s">
        <v>66</v>
      </c>
      <c r="K160" t="s">
        <v>81</v>
      </c>
      <c r="L160" s="2">
        <v>0.39930555555555558</v>
      </c>
      <c r="M160" s="2">
        <v>0.29166666666666669</v>
      </c>
      <c r="N160">
        <v>10</v>
      </c>
      <c r="O160">
        <v>2</v>
      </c>
      <c r="P160" t="s">
        <v>32</v>
      </c>
      <c r="R160">
        <v>4</v>
      </c>
      <c r="S160" t="s">
        <v>45</v>
      </c>
      <c r="T160" t="s">
        <v>114</v>
      </c>
      <c r="U160" t="s">
        <v>55</v>
      </c>
      <c r="V160" t="s">
        <v>69</v>
      </c>
      <c r="W160">
        <f>_xlfn.XLOOKUP(F160,tblEmployee[Employee_ID],tblEmployee[Age],"Not Found")</f>
        <v>35</v>
      </c>
      <c r="X160" t="str">
        <f>_xlfn.XLOOKUP(F160,tblEmployee[Employee_ID],tblEmployee[Gender],"Not Found")</f>
        <v>Male</v>
      </c>
      <c r="Y160">
        <f>_xlfn.XLOOKUP(F160,tblEmployee[Employee_ID],tblEmployee[Joining_Date],"")</f>
        <v>44423</v>
      </c>
      <c r="Z160">
        <f>_xlfn.XLOOKUP(H160,tblDepartment[Department],tblDepartment[Annual_Budget_INR],"")</f>
        <v>42000000</v>
      </c>
      <c r="AA160" t="str">
        <f>_xlfn.XLOOKUP(H160,tblDepartment[Department],tblDepartment[Monthly_Target],"")</f>
        <v>₹2.5 Cr Monthly Sales</v>
      </c>
      <c r="AB160">
        <f>_xlfn.XLOOKUP(H160,tblDepartment[Department],tblDepartment[Average_Salary_INR],"")</f>
        <v>680000</v>
      </c>
      <c r="AC160" t="str">
        <f>_xlfn.XLOOKUP(H160,tblDepartment[Department],tblDepartment[Priority_Level],"")</f>
        <v>High</v>
      </c>
      <c r="AD160" t="str">
        <f>_xlfn.XLOOKUP(H160,tblDepartment[Department],tblDepartment[Key_KPI],"")</f>
        <v>Revenue Achievement</v>
      </c>
      <c r="AE160">
        <f>_xlfn.XLOOKUP(tblMaster[[#This Row],[Shift]],tblShift[Shift_Name],tblShift[Login_Time],"")</f>
        <v>0.91666666666666663</v>
      </c>
      <c r="AF160">
        <f>_xlfn.XLOOKUP(tblMaster[[#This Row],[Shift]],tblShift[Shift_Name],tblShift[Logout_Time]," ")</f>
        <v>0.29166666666666669</v>
      </c>
      <c r="AG160">
        <f>_xlfn.XLOOKUP(tblMaster[[#This Row],[Shift]],tblShift[Shift_Name],tblShift[Standard_Working_Hours],"")</f>
        <v>8</v>
      </c>
      <c r="AH160" t="str">
        <f>_xlfn.XLOOKUP(tblMaster[[#This Row],[Attendance_Date]],tblHoliday[Holiday_Date],tblHoliday[Holiday_Name],"Working Day")</f>
        <v>Working Day</v>
      </c>
      <c r="AI160" t="str">
        <f>_xlfn.XLOOKUP(tblMaster[[#This Row],[Attendance_Date]],tblHoliday[Holiday_Date],tblHoliday[Holiday_Type],"Working Day ")</f>
        <v xml:space="preserve">Working Day </v>
      </c>
    </row>
    <row r="161" spans="1:35" hidden="1" x14ac:dyDescent="0.3">
      <c r="A161" t="s">
        <v>343</v>
      </c>
      <c r="B161" s="3">
        <v>45778</v>
      </c>
      <c r="C161" t="s">
        <v>57</v>
      </c>
      <c r="D161" t="s">
        <v>24</v>
      </c>
      <c r="E161" t="s">
        <v>25</v>
      </c>
      <c r="F161" t="s">
        <v>182</v>
      </c>
      <c r="G161" t="s">
        <v>183</v>
      </c>
      <c r="H161" t="s">
        <v>112</v>
      </c>
      <c r="I161" t="s">
        <v>113</v>
      </c>
      <c r="J161" t="s">
        <v>30</v>
      </c>
      <c r="K161" t="s">
        <v>44</v>
      </c>
      <c r="L161" s="2">
        <v>0.375</v>
      </c>
      <c r="N161">
        <v>8</v>
      </c>
      <c r="O161">
        <v>0</v>
      </c>
      <c r="P161" t="s">
        <v>32</v>
      </c>
      <c r="R161">
        <v>3</v>
      </c>
      <c r="S161" t="s">
        <v>45</v>
      </c>
      <c r="T161" t="s">
        <v>114</v>
      </c>
      <c r="U161" t="s">
        <v>47</v>
      </c>
      <c r="V161" t="s">
        <v>35</v>
      </c>
      <c r="W161">
        <f>_xlfn.XLOOKUP(F161,tblEmployee[Employee_ID],tblEmployee[Age],"Not Found")</f>
        <v>28</v>
      </c>
      <c r="X161" t="str">
        <f>_xlfn.XLOOKUP(F161,tblEmployee[Employee_ID],tblEmployee[Gender],"Not Found")</f>
        <v>Male</v>
      </c>
      <c r="Y161">
        <f>_xlfn.XLOOKUP(F161,tblEmployee[Employee_ID],tblEmployee[Joining_Date],"")</f>
        <v>44211</v>
      </c>
      <c r="Z161">
        <f>_xlfn.XLOOKUP(H161,tblDepartment[Department],tblDepartment[Annual_Budget_INR],"")</f>
        <v>42000000</v>
      </c>
      <c r="AA161" t="str">
        <f>_xlfn.XLOOKUP(H161,tblDepartment[Department],tblDepartment[Monthly_Target],"")</f>
        <v>₹2.5 Cr Monthly Sales</v>
      </c>
      <c r="AB161">
        <f>_xlfn.XLOOKUP(H161,tblDepartment[Department],tblDepartment[Average_Salary_INR],"")</f>
        <v>680000</v>
      </c>
      <c r="AC161" t="str">
        <f>_xlfn.XLOOKUP(H161,tblDepartment[Department],tblDepartment[Priority_Level],"")</f>
        <v>High</v>
      </c>
      <c r="AD161" t="str">
        <f>_xlfn.XLOOKUP(H161,tblDepartment[Department],tblDepartment[Key_KPI],"")</f>
        <v>Revenue Achievement</v>
      </c>
      <c r="AE161">
        <f>_xlfn.XLOOKUP(tblMaster[[#This Row],[Shift]],tblShift[Shift_Name],tblShift[Login_Time],"")</f>
        <v>0.41666666666666669</v>
      </c>
      <c r="AF161">
        <f>_xlfn.XLOOKUP(tblMaster[[#This Row],[Shift]],tblShift[Shift_Name],tblShift[Logout_Time]," ")</f>
        <v>0.79166666666666663</v>
      </c>
      <c r="AG161">
        <f>_xlfn.XLOOKUP(tblMaster[[#This Row],[Shift]],tblShift[Shift_Name],tblShift[Standard_Working_Hours],"")</f>
        <v>8</v>
      </c>
      <c r="AH161" t="str">
        <f>_xlfn.XLOOKUP(tblMaster[[#This Row],[Attendance_Date]],tblHoliday[Holiday_Date],tblHoliday[Holiday_Name],"Working Day")</f>
        <v>Labour Day</v>
      </c>
      <c r="AI161" t="str">
        <f>_xlfn.XLOOKUP(tblMaster[[#This Row],[Attendance_Date]],tblHoliday[Holiday_Date],tblHoliday[Holiday_Type],"Working Day ")</f>
        <v>National</v>
      </c>
    </row>
    <row r="162" spans="1:35" hidden="1" x14ac:dyDescent="0.3">
      <c r="A162" t="s">
        <v>344</v>
      </c>
      <c r="B162" s="3">
        <v>45820</v>
      </c>
      <c r="C162" t="s">
        <v>23</v>
      </c>
      <c r="D162" t="s">
        <v>24</v>
      </c>
      <c r="E162" t="s">
        <v>25</v>
      </c>
      <c r="F162" t="s">
        <v>72</v>
      </c>
      <c r="G162" t="s">
        <v>73</v>
      </c>
      <c r="H162" t="s">
        <v>28</v>
      </c>
      <c r="I162" t="s">
        <v>29</v>
      </c>
      <c r="J162" t="s">
        <v>74</v>
      </c>
      <c r="K162" t="s">
        <v>81</v>
      </c>
      <c r="L162" s="2">
        <v>0.91666666666666663</v>
      </c>
      <c r="N162">
        <v>9</v>
      </c>
      <c r="O162">
        <v>1</v>
      </c>
      <c r="P162" t="s">
        <v>32</v>
      </c>
      <c r="R162">
        <v>5</v>
      </c>
      <c r="S162" t="s">
        <v>92</v>
      </c>
      <c r="T162" t="s">
        <v>34</v>
      </c>
      <c r="U162" t="s">
        <v>85</v>
      </c>
      <c r="V162" t="s">
        <v>60</v>
      </c>
      <c r="W162">
        <f>_xlfn.XLOOKUP(F162,tblEmployee[Employee_ID],tblEmployee[Age],"Not Found")</f>
        <v>28</v>
      </c>
      <c r="X162" t="str">
        <f>_xlfn.XLOOKUP(F162,tblEmployee[Employee_ID],tblEmployee[Gender],"Not Found")</f>
        <v>Female</v>
      </c>
      <c r="Y162">
        <f>_xlfn.XLOOKUP(F162,tblEmployee[Employee_ID],tblEmployee[Joining_Date],"")</f>
        <v>43296</v>
      </c>
      <c r="Z162">
        <f>_xlfn.XLOOKUP(H162,tblDepartment[Department],tblDepartment[Annual_Budget_INR],"")</f>
        <v>24000000</v>
      </c>
      <c r="AA162" t="str">
        <f>_xlfn.XLOOKUP(H162,tblDepartment[Department],tblDepartment[Monthly_Target],"")</f>
        <v>90% Customer Satisfaction</v>
      </c>
      <c r="AB162">
        <f>_xlfn.XLOOKUP(H162,tblDepartment[Department],tblDepartment[Average_Salary_INR],"")</f>
        <v>520000</v>
      </c>
      <c r="AC162" t="str">
        <f>_xlfn.XLOOKUP(H162,tblDepartment[Department],tblDepartment[Priority_Level],"")</f>
        <v>High</v>
      </c>
      <c r="AD162" t="str">
        <f>_xlfn.XLOOKUP(H162,tblDepartment[Department],tblDepartment[Key_KPI],"")</f>
        <v>Customer Satisfaction</v>
      </c>
      <c r="AE162">
        <f>_xlfn.XLOOKUP(tblMaster[[#This Row],[Shift]],tblShift[Shift_Name],tblShift[Login_Time],"")</f>
        <v>0.91666666666666663</v>
      </c>
      <c r="AF162">
        <f>_xlfn.XLOOKUP(tblMaster[[#This Row],[Shift]],tblShift[Shift_Name],tblShift[Logout_Time]," ")</f>
        <v>0.29166666666666669</v>
      </c>
      <c r="AG162">
        <f>_xlfn.XLOOKUP(tblMaster[[#This Row],[Shift]],tblShift[Shift_Name],tblShift[Standard_Working_Hours],"")</f>
        <v>8</v>
      </c>
      <c r="AH162" t="str">
        <f>_xlfn.XLOOKUP(tblMaster[[#This Row],[Attendance_Date]],tblHoliday[Holiday_Date],tblHoliday[Holiday_Name],"Working Day")</f>
        <v>Working Day</v>
      </c>
      <c r="AI162" t="str">
        <f>_xlfn.XLOOKUP(tblMaster[[#This Row],[Attendance_Date]],tblHoliday[Holiday_Date],tblHoliday[Holiday_Type],"Working Day ")</f>
        <v xml:space="preserve">Working Day </v>
      </c>
    </row>
    <row r="163" spans="1:35" x14ac:dyDescent="0.3">
      <c r="A163" t="s">
        <v>345</v>
      </c>
      <c r="B163" s="3">
        <v>45677</v>
      </c>
      <c r="C163" t="s">
        <v>49</v>
      </c>
      <c r="D163" t="s">
        <v>50</v>
      </c>
      <c r="E163" t="s">
        <v>109</v>
      </c>
      <c r="F163" t="s">
        <v>151</v>
      </c>
      <c r="G163" t="s">
        <v>152</v>
      </c>
      <c r="H163" t="s">
        <v>98</v>
      </c>
      <c r="I163" t="s">
        <v>99</v>
      </c>
      <c r="J163" t="s">
        <v>30</v>
      </c>
      <c r="K163" t="s">
        <v>54</v>
      </c>
      <c r="L163" s="2">
        <v>0.375</v>
      </c>
      <c r="M163" s="2">
        <v>0.75</v>
      </c>
      <c r="N163">
        <v>8</v>
      </c>
      <c r="O163">
        <v>0</v>
      </c>
      <c r="P163" t="s">
        <v>32</v>
      </c>
      <c r="R163">
        <v>4</v>
      </c>
      <c r="S163" t="s">
        <v>33</v>
      </c>
      <c r="T163" t="s">
        <v>101</v>
      </c>
      <c r="U163" t="str">
        <f>_xlfn.XLOOKUP(tblMaster[[#This Row],[Employee_ID]],tblEmployee[Employee_ID],tblEmployee[Work_Mode]," ")</f>
        <v>Hybrid</v>
      </c>
      <c r="V163" t="s">
        <v>35</v>
      </c>
      <c r="W163">
        <f>_xlfn.XLOOKUP(F163,tblEmployee[Employee_ID],tblEmployee[Age],"Not Found")</f>
        <v>38</v>
      </c>
      <c r="X163" t="str">
        <f>_xlfn.XLOOKUP(F163,tblEmployee[Employee_ID],tblEmployee[Gender],"Not Found")</f>
        <v>Female</v>
      </c>
      <c r="Y163">
        <f>_xlfn.XLOOKUP(F163,tblEmployee[Employee_ID],tblEmployee[Joining_Date],"")</f>
        <v>45611</v>
      </c>
      <c r="Z163">
        <f>_xlfn.XLOOKUP(H163,tblDepartment[Department],tblDepartment[Annual_Budget_INR],"")</f>
        <v>22000000</v>
      </c>
      <c r="AA163" t="str">
        <f>_xlfn.XLOOKUP(H163,tblDepartment[Department],tblDepartment[Monthly_Target],"")</f>
        <v>2500 Qualified Leads</v>
      </c>
      <c r="AB163">
        <f>_xlfn.XLOOKUP(H163,tblDepartment[Department],tblDepartment[Average_Salary_INR],"")</f>
        <v>590000</v>
      </c>
      <c r="AC163" t="str">
        <f>_xlfn.XLOOKUP(H163,tblDepartment[Department],tblDepartment[Priority_Level],"")</f>
        <v>Medium</v>
      </c>
      <c r="AD163" t="str">
        <f>_xlfn.XLOOKUP(H163,tblDepartment[Department],tblDepartment[Key_KPI],"")</f>
        <v>Lead Generation</v>
      </c>
      <c r="AE163">
        <f>_xlfn.XLOOKUP(tblMaster[[#This Row],[Shift]],tblShift[Shift_Name],tblShift[Login_Time],"")</f>
        <v>0.58333333333333337</v>
      </c>
      <c r="AF163">
        <f>_xlfn.XLOOKUP(tblMaster[[#This Row],[Shift]],tblShift[Shift_Name],tblShift[Logout_Time]," ")</f>
        <v>0.95833333333333337</v>
      </c>
      <c r="AG163">
        <f>_xlfn.XLOOKUP(tblMaster[[#This Row],[Shift]],tblShift[Shift_Name],tblShift[Standard_Working_Hours],"")</f>
        <v>8</v>
      </c>
      <c r="AH163" t="str">
        <f>_xlfn.XLOOKUP(tblMaster[[#This Row],[Attendance_Date]],tblHoliday[Holiday_Date],tblHoliday[Holiday_Name],"Working Day")</f>
        <v>Working Day</v>
      </c>
      <c r="AI163" t="str">
        <f>_xlfn.XLOOKUP(tblMaster[[#This Row],[Attendance_Date]],tblHoliday[Holiday_Date],tblHoliday[Holiday_Type],"Working Day ")</f>
        <v xml:space="preserve">Working Day </v>
      </c>
    </row>
    <row r="164" spans="1:35" hidden="1" x14ac:dyDescent="0.3">
      <c r="A164" t="s">
        <v>346</v>
      </c>
      <c r="B164" s="3">
        <v>45838</v>
      </c>
      <c r="C164" t="s">
        <v>23</v>
      </c>
      <c r="D164" t="s">
        <v>24</v>
      </c>
      <c r="E164" t="s">
        <v>109</v>
      </c>
      <c r="F164" t="s">
        <v>243</v>
      </c>
      <c r="G164" t="s">
        <v>244</v>
      </c>
      <c r="H164" t="s">
        <v>90</v>
      </c>
      <c r="I164" t="s">
        <v>91</v>
      </c>
      <c r="J164" t="s">
        <v>30</v>
      </c>
      <c r="K164" t="s">
        <v>31</v>
      </c>
      <c r="P164" t="s">
        <v>135</v>
      </c>
      <c r="S164" t="s">
        <v>45</v>
      </c>
      <c r="T164" t="s">
        <v>93</v>
      </c>
      <c r="U164" t="s">
        <v>55</v>
      </c>
      <c r="W164">
        <f>_xlfn.XLOOKUP(F164,tblEmployee[Employee_ID],tblEmployee[Age],"Not Found")</f>
        <v>30</v>
      </c>
      <c r="X164" t="str">
        <f>_xlfn.XLOOKUP(F164,tblEmployee[Employee_ID],tblEmployee[Gender],"Not Found")</f>
        <v>Female</v>
      </c>
      <c r="Y164">
        <f>_xlfn.XLOOKUP(F164,tblEmployee[Employee_ID],tblEmployee[Joining_Date],"")</f>
        <v>44089</v>
      </c>
      <c r="Z164">
        <f>_xlfn.XLOOKUP(H164,tblDepartment[Department],tblDepartment[Annual_Budget_INR],"")</f>
        <v>18000000</v>
      </c>
      <c r="AA164" t="str">
        <f>_xlfn.XLOOKUP(H164,tblDepartment[Department],tblDepartment[Monthly_Target],"")</f>
        <v>&lt;30 Days Hiring Cycle</v>
      </c>
      <c r="AB164">
        <f>_xlfn.XLOOKUP(H164,tblDepartment[Department],tblDepartment[Average_Salary_INR],"")</f>
        <v>560000</v>
      </c>
      <c r="AC164" t="str">
        <f>_xlfn.XLOOKUP(H164,tblDepartment[Department],tblDepartment[Priority_Level],"")</f>
        <v>Medium</v>
      </c>
      <c r="AD164" t="str">
        <f>_xlfn.XLOOKUP(H164,tblDepartment[Department],tblDepartment[Key_KPI],"")</f>
        <v>Hiring &amp; Retention</v>
      </c>
      <c r="AE164">
        <f>_xlfn.XLOOKUP(tblMaster[[#This Row],[Shift]],tblShift[Shift_Name],tblShift[Login_Time],"")</f>
        <v>0.25</v>
      </c>
      <c r="AF164">
        <f>_xlfn.XLOOKUP(tblMaster[[#This Row],[Shift]],tblShift[Shift_Name],tblShift[Logout_Time]," ")</f>
        <v>0.625</v>
      </c>
      <c r="AG164">
        <f>_xlfn.XLOOKUP(tblMaster[[#This Row],[Shift]],tblShift[Shift_Name],tblShift[Standard_Working_Hours],"")</f>
        <v>8</v>
      </c>
      <c r="AH164" t="str">
        <f>_xlfn.XLOOKUP(tblMaster[[#This Row],[Attendance_Date]],tblHoliday[Holiday_Date],tblHoliday[Holiday_Name],"Working Day")</f>
        <v>Working Day</v>
      </c>
      <c r="AI164" t="str">
        <f>_xlfn.XLOOKUP(tblMaster[[#This Row],[Attendance_Date]],tblHoliday[Holiday_Date],tblHoliday[Holiday_Type],"Working Day ")</f>
        <v xml:space="preserve">Working Day </v>
      </c>
    </row>
    <row r="165" spans="1:35" x14ac:dyDescent="0.3">
      <c r="A165" t="s">
        <v>347</v>
      </c>
      <c r="B165" s="3">
        <v>45747</v>
      </c>
      <c r="C165" t="s">
        <v>71</v>
      </c>
      <c r="D165" t="s">
        <v>50</v>
      </c>
      <c r="E165" t="s">
        <v>109</v>
      </c>
      <c r="F165" t="s">
        <v>88</v>
      </c>
      <c r="G165" t="s">
        <v>89</v>
      </c>
      <c r="H165" t="s">
        <v>90</v>
      </c>
      <c r="I165" t="s">
        <v>91</v>
      </c>
      <c r="J165" t="s">
        <v>43</v>
      </c>
      <c r="K165" t="s">
        <v>81</v>
      </c>
      <c r="L165" s="2">
        <v>0.91666666666666663</v>
      </c>
      <c r="M165" s="2">
        <v>0.29166666666666669</v>
      </c>
      <c r="N165">
        <v>9</v>
      </c>
      <c r="O165">
        <v>1</v>
      </c>
      <c r="P165" t="s">
        <v>32</v>
      </c>
      <c r="R165">
        <v>4</v>
      </c>
      <c r="S165" t="s">
        <v>45</v>
      </c>
      <c r="T165" t="s">
        <v>93</v>
      </c>
      <c r="U165" t="str">
        <f>_xlfn.XLOOKUP(tblMaster[[#This Row],[Employee_ID]],tblEmployee[Employee_ID],tblEmployee[Work_Mode]," ")</f>
        <v>Office</v>
      </c>
      <c r="V165" t="s">
        <v>60</v>
      </c>
      <c r="W165">
        <f>_xlfn.XLOOKUP(F165,tblEmployee[Employee_ID],tblEmployee[Age],"Not Found")</f>
        <v>34</v>
      </c>
      <c r="X165" t="str">
        <f>_xlfn.XLOOKUP(F165,tblEmployee[Employee_ID],tblEmployee[Gender],"Not Found")</f>
        <v>Female</v>
      </c>
      <c r="Y165">
        <f>_xlfn.XLOOKUP(F165,tblEmployee[Employee_ID],tblEmployee[Joining_Date],"")</f>
        <v>44027</v>
      </c>
      <c r="Z165">
        <f>_xlfn.XLOOKUP(H165,tblDepartment[Department],tblDepartment[Annual_Budget_INR],"")</f>
        <v>18000000</v>
      </c>
      <c r="AA165" t="str">
        <f>_xlfn.XLOOKUP(H165,tblDepartment[Department],tblDepartment[Monthly_Target],"")</f>
        <v>&lt;30 Days Hiring Cycle</v>
      </c>
      <c r="AB165">
        <f>_xlfn.XLOOKUP(H165,tblDepartment[Department],tblDepartment[Average_Salary_INR],"")</f>
        <v>560000</v>
      </c>
      <c r="AC165" t="str">
        <f>_xlfn.XLOOKUP(H165,tblDepartment[Department],tblDepartment[Priority_Level],"")</f>
        <v>Medium</v>
      </c>
      <c r="AD165" t="str">
        <f>_xlfn.XLOOKUP(H165,tblDepartment[Department],tblDepartment[Key_KPI],"")</f>
        <v>Hiring &amp; Retention</v>
      </c>
      <c r="AE165">
        <f>_xlfn.XLOOKUP(tblMaster[[#This Row],[Shift]],tblShift[Shift_Name],tblShift[Login_Time],"")</f>
        <v>0.91666666666666663</v>
      </c>
      <c r="AF165">
        <f>_xlfn.XLOOKUP(tblMaster[[#This Row],[Shift]],tblShift[Shift_Name],tblShift[Logout_Time]," ")</f>
        <v>0.29166666666666669</v>
      </c>
      <c r="AG165">
        <f>_xlfn.XLOOKUP(tblMaster[[#This Row],[Shift]],tblShift[Shift_Name],tblShift[Standard_Working_Hours],"")</f>
        <v>8</v>
      </c>
      <c r="AH165" t="str">
        <f>_xlfn.XLOOKUP(tblMaster[[#This Row],[Attendance_Date]],tblHoliday[Holiday_Date],tblHoliday[Holiday_Name],"Working Day")</f>
        <v>Working Day</v>
      </c>
      <c r="AI165" t="str">
        <f>_xlfn.XLOOKUP(tblMaster[[#This Row],[Attendance_Date]],tblHoliday[Holiday_Date],tblHoliday[Holiday_Type],"Working Day ")</f>
        <v xml:space="preserve">Working Day </v>
      </c>
    </row>
    <row r="166" spans="1:35" x14ac:dyDescent="0.3">
      <c r="A166" t="s">
        <v>348</v>
      </c>
      <c r="B166" s="3">
        <v>45660</v>
      </c>
      <c r="C166" t="s">
        <v>49</v>
      </c>
      <c r="D166" t="s">
        <v>50</v>
      </c>
      <c r="E166" t="s">
        <v>119</v>
      </c>
      <c r="F166" t="s">
        <v>154</v>
      </c>
      <c r="G166" t="s">
        <v>155</v>
      </c>
      <c r="H166" t="s">
        <v>41</v>
      </c>
      <c r="I166" t="s">
        <v>42</v>
      </c>
      <c r="J166" t="s">
        <v>74</v>
      </c>
      <c r="K166" t="s">
        <v>75</v>
      </c>
      <c r="L166" s="2">
        <v>0.375</v>
      </c>
      <c r="M166" s="2">
        <v>0.75</v>
      </c>
      <c r="N166">
        <v>8</v>
      </c>
      <c r="O166">
        <v>0</v>
      </c>
      <c r="P166" t="s">
        <v>32</v>
      </c>
      <c r="R166">
        <v>4</v>
      </c>
      <c r="S166" t="s">
        <v>67</v>
      </c>
      <c r="T166" t="s">
        <v>46</v>
      </c>
      <c r="U166" t="str">
        <f>_xlfn.XLOOKUP(tblMaster[[#This Row],[Employee_ID]],tblEmployee[Employee_ID],tblEmployee[Work_Mode]," ")</f>
        <v>Remote</v>
      </c>
      <c r="V166" t="s">
        <v>69</v>
      </c>
      <c r="W166">
        <f>_xlfn.XLOOKUP(F166,tblEmployee[Employee_ID],tblEmployee[Age],"Not Found")</f>
        <v>33</v>
      </c>
      <c r="X166" t="str">
        <f>_xlfn.XLOOKUP(F166,tblEmployee[Employee_ID],tblEmployee[Gender],"Not Found")</f>
        <v>Male</v>
      </c>
      <c r="Y166">
        <f>_xlfn.XLOOKUP(F166,tblEmployee[Employee_ID],tblEmployee[Joining_Date],"")</f>
        <v>45275</v>
      </c>
      <c r="Z166">
        <f>_xlfn.XLOOKUP(H166,tblDepartment[Department],tblDepartment[Annual_Budget_INR],"")</f>
        <v>34000000</v>
      </c>
      <c r="AA166" t="str">
        <f>_xlfn.XLOOKUP(H166,tblDepartment[Department],tblDepartment[Monthly_Target],"")</f>
        <v>95% Process Efficiency</v>
      </c>
      <c r="AB166">
        <f>_xlfn.XLOOKUP(H166,tblDepartment[Department],tblDepartment[Average_Salary_INR],"")</f>
        <v>610000</v>
      </c>
      <c r="AC166" t="str">
        <f>_xlfn.XLOOKUP(H166,tblDepartment[Department],tblDepartment[Priority_Level],"")</f>
        <v>High</v>
      </c>
      <c r="AD166" t="str">
        <f>_xlfn.XLOOKUP(H166,tblDepartment[Department],tblDepartment[Key_KPI],"")</f>
        <v>Operational Efficiency</v>
      </c>
      <c r="AE166">
        <f>_xlfn.XLOOKUP(tblMaster[[#This Row],[Shift]],tblShift[Shift_Name],tblShift[Login_Time],"")</f>
        <v>0.375</v>
      </c>
      <c r="AF166">
        <f>_xlfn.XLOOKUP(tblMaster[[#This Row],[Shift]],tblShift[Shift_Name],tblShift[Logout_Time]," ")</f>
        <v>0.75</v>
      </c>
      <c r="AG166">
        <f>_xlfn.XLOOKUP(tblMaster[[#This Row],[Shift]],tblShift[Shift_Name],tblShift[Standard_Working_Hours],"")</f>
        <v>8</v>
      </c>
      <c r="AH166" t="str">
        <f>_xlfn.XLOOKUP(tblMaster[[#This Row],[Attendance_Date]],tblHoliday[Holiday_Date],tblHoliday[Holiday_Name],"Working Day")</f>
        <v>Working Day</v>
      </c>
      <c r="AI166" t="str">
        <f>_xlfn.XLOOKUP(tblMaster[[#This Row],[Attendance_Date]],tblHoliday[Holiday_Date],tblHoliday[Holiday_Type],"Working Day ")</f>
        <v xml:space="preserve">Working Day </v>
      </c>
    </row>
    <row r="167" spans="1:35" x14ac:dyDescent="0.3">
      <c r="A167" t="s">
        <v>349</v>
      </c>
      <c r="B167" s="3">
        <v>45820</v>
      </c>
      <c r="C167" t="s">
        <v>23</v>
      </c>
      <c r="D167" t="s">
        <v>24</v>
      </c>
      <c r="E167" t="s">
        <v>25</v>
      </c>
      <c r="F167" t="s">
        <v>127</v>
      </c>
      <c r="G167" t="s">
        <v>128</v>
      </c>
      <c r="H167" t="s">
        <v>90</v>
      </c>
      <c r="I167" t="s">
        <v>91</v>
      </c>
      <c r="J167" t="s">
        <v>66</v>
      </c>
      <c r="K167" t="s">
        <v>54</v>
      </c>
      <c r="L167" s="2">
        <v>0.375</v>
      </c>
      <c r="M167" s="2">
        <v>0.75</v>
      </c>
      <c r="N167">
        <v>8</v>
      </c>
      <c r="O167">
        <v>0</v>
      </c>
      <c r="P167" t="s">
        <v>32</v>
      </c>
      <c r="R167">
        <v>4</v>
      </c>
      <c r="S167" t="s">
        <v>92</v>
      </c>
      <c r="T167" t="s">
        <v>93</v>
      </c>
      <c r="U167" t="str">
        <f>_xlfn.XLOOKUP(tblMaster[[#This Row],[Employee_ID]],tblEmployee[Employee_ID],tblEmployee[Work_Mode]," ")</f>
        <v>Hybrid</v>
      </c>
      <c r="W167">
        <f>_xlfn.XLOOKUP(F167,tblEmployee[Employee_ID],tblEmployee[Age],"Not Found")</f>
        <v>38</v>
      </c>
      <c r="X167" t="str">
        <f>_xlfn.XLOOKUP(F167,tblEmployee[Employee_ID],tblEmployee[Gender],"Not Found")</f>
        <v>Female</v>
      </c>
      <c r="Y167">
        <f>_xlfn.XLOOKUP(F167,tblEmployee[Employee_ID],tblEmployee[Joining_Date],"")</f>
        <v>43966</v>
      </c>
      <c r="Z167">
        <f>_xlfn.XLOOKUP(H167,tblDepartment[Department],tblDepartment[Annual_Budget_INR],"")</f>
        <v>18000000</v>
      </c>
      <c r="AA167" t="str">
        <f>_xlfn.XLOOKUP(H167,tblDepartment[Department],tblDepartment[Monthly_Target],"")</f>
        <v>&lt;30 Days Hiring Cycle</v>
      </c>
      <c r="AB167">
        <f>_xlfn.XLOOKUP(H167,tblDepartment[Department],tblDepartment[Average_Salary_INR],"")</f>
        <v>560000</v>
      </c>
      <c r="AC167" t="str">
        <f>_xlfn.XLOOKUP(H167,tblDepartment[Department],tblDepartment[Priority_Level],"")</f>
        <v>Medium</v>
      </c>
      <c r="AD167" t="str">
        <f>_xlfn.XLOOKUP(H167,tblDepartment[Department],tblDepartment[Key_KPI],"")</f>
        <v>Hiring &amp; Retention</v>
      </c>
      <c r="AE167">
        <f>_xlfn.XLOOKUP(tblMaster[[#This Row],[Shift]],tblShift[Shift_Name],tblShift[Login_Time],"")</f>
        <v>0.58333333333333337</v>
      </c>
      <c r="AF167">
        <f>_xlfn.XLOOKUP(tblMaster[[#This Row],[Shift]],tblShift[Shift_Name],tblShift[Logout_Time]," ")</f>
        <v>0.95833333333333337</v>
      </c>
      <c r="AG167">
        <f>_xlfn.XLOOKUP(tblMaster[[#This Row],[Shift]],tblShift[Shift_Name],tblShift[Standard_Working_Hours],"")</f>
        <v>8</v>
      </c>
      <c r="AH167" t="str">
        <f>_xlfn.XLOOKUP(tblMaster[[#This Row],[Attendance_Date]],tblHoliday[Holiday_Date],tblHoliday[Holiday_Name],"Working Day")</f>
        <v>Working Day</v>
      </c>
      <c r="AI167" t="str">
        <f>_xlfn.XLOOKUP(tblMaster[[#This Row],[Attendance_Date]],tblHoliday[Holiday_Date],tblHoliday[Holiday_Type],"Working Day ")</f>
        <v xml:space="preserve">Working Day </v>
      </c>
    </row>
    <row r="168" spans="1:35" x14ac:dyDescent="0.3">
      <c r="A168" t="s">
        <v>350</v>
      </c>
      <c r="B168" s="3">
        <v>45817</v>
      </c>
      <c r="C168" t="s">
        <v>23</v>
      </c>
      <c r="D168" t="s">
        <v>24</v>
      </c>
      <c r="E168" t="s">
        <v>109</v>
      </c>
      <c r="F168" t="s">
        <v>154</v>
      </c>
      <c r="G168" t="s">
        <v>155</v>
      </c>
      <c r="H168" t="s">
        <v>41</v>
      </c>
      <c r="I168" t="s">
        <v>42</v>
      </c>
      <c r="J168" t="s">
        <v>74</v>
      </c>
      <c r="K168" t="s">
        <v>31</v>
      </c>
      <c r="L168" s="2">
        <v>0.375</v>
      </c>
      <c r="M168" s="2">
        <v>0.75</v>
      </c>
      <c r="N168">
        <v>8</v>
      </c>
      <c r="O168">
        <v>0</v>
      </c>
      <c r="P168" t="s">
        <v>32</v>
      </c>
      <c r="R168">
        <v>4</v>
      </c>
      <c r="S168" t="s">
        <v>92</v>
      </c>
      <c r="T168" t="s">
        <v>46</v>
      </c>
      <c r="U168" t="str">
        <f>_xlfn.XLOOKUP(tblMaster[[#This Row],[Employee_ID]],tblEmployee[Employee_ID],tblEmployee[Work_Mode]," ")</f>
        <v>Remote</v>
      </c>
      <c r="V168" t="s">
        <v>60</v>
      </c>
      <c r="W168">
        <f>_xlfn.XLOOKUP(F168,tblEmployee[Employee_ID],tblEmployee[Age],"Not Found")</f>
        <v>33</v>
      </c>
      <c r="X168" t="str">
        <f>_xlfn.XLOOKUP(F168,tblEmployee[Employee_ID],tblEmployee[Gender],"Not Found")</f>
        <v>Male</v>
      </c>
      <c r="Y168">
        <f>_xlfn.XLOOKUP(F168,tblEmployee[Employee_ID],tblEmployee[Joining_Date],"")</f>
        <v>45275</v>
      </c>
      <c r="Z168">
        <f>_xlfn.XLOOKUP(H168,tblDepartment[Department],tblDepartment[Annual_Budget_INR],"")</f>
        <v>34000000</v>
      </c>
      <c r="AA168" t="str">
        <f>_xlfn.XLOOKUP(H168,tblDepartment[Department],tblDepartment[Monthly_Target],"")</f>
        <v>95% Process Efficiency</v>
      </c>
      <c r="AB168">
        <f>_xlfn.XLOOKUP(H168,tblDepartment[Department],tblDepartment[Average_Salary_INR],"")</f>
        <v>610000</v>
      </c>
      <c r="AC168" t="str">
        <f>_xlfn.XLOOKUP(H168,tblDepartment[Department],tblDepartment[Priority_Level],"")</f>
        <v>High</v>
      </c>
      <c r="AD168" t="str">
        <f>_xlfn.XLOOKUP(H168,tblDepartment[Department],tblDepartment[Key_KPI],"")</f>
        <v>Operational Efficiency</v>
      </c>
      <c r="AE168">
        <f>_xlfn.XLOOKUP(tblMaster[[#This Row],[Shift]],tblShift[Shift_Name],tblShift[Login_Time],"")</f>
        <v>0.25</v>
      </c>
      <c r="AF168">
        <f>_xlfn.XLOOKUP(tblMaster[[#This Row],[Shift]],tblShift[Shift_Name],tblShift[Logout_Time]," ")</f>
        <v>0.625</v>
      </c>
      <c r="AG168">
        <f>_xlfn.XLOOKUP(tblMaster[[#This Row],[Shift]],tblShift[Shift_Name],tblShift[Standard_Working_Hours],"")</f>
        <v>8</v>
      </c>
      <c r="AH168" t="str">
        <f>_xlfn.XLOOKUP(tblMaster[[#This Row],[Attendance_Date]],tblHoliday[Holiday_Date],tblHoliday[Holiday_Name],"Working Day")</f>
        <v>Working Day</v>
      </c>
      <c r="AI168" t="str">
        <f>_xlfn.XLOOKUP(tblMaster[[#This Row],[Attendance_Date]],tblHoliday[Holiday_Date],tblHoliday[Holiday_Type],"Working Day ")</f>
        <v xml:space="preserve">Working Day </v>
      </c>
    </row>
    <row r="169" spans="1:35" hidden="1" x14ac:dyDescent="0.3">
      <c r="A169" t="s">
        <v>351</v>
      </c>
      <c r="B169" s="1">
        <v>45746</v>
      </c>
      <c r="C169" t="s">
        <v>71</v>
      </c>
      <c r="D169" t="s">
        <v>50</v>
      </c>
      <c r="E169" t="s">
        <v>103</v>
      </c>
      <c r="F169" t="s">
        <v>309</v>
      </c>
      <c r="G169" t="s">
        <v>310</v>
      </c>
      <c r="H169" t="s">
        <v>28</v>
      </c>
      <c r="I169" t="s">
        <v>29</v>
      </c>
      <c r="J169" t="s">
        <v>43</v>
      </c>
      <c r="K169" t="s">
        <v>54</v>
      </c>
      <c r="P169" t="s">
        <v>135</v>
      </c>
      <c r="S169" t="s">
        <v>33</v>
      </c>
      <c r="T169" t="s">
        <v>34</v>
      </c>
      <c r="U169" t="s">
        <v>55</v>
      </c>
      <c r="V169" t="s">
        <v>69</v>
      </c>
      <c r="W169">
        <f>_xlfn.XLOOKUP(F169,tblEmployee[Employee_ID],tblEmployee[Age],"Not Found")</f>
        <v>39</v>
      </c>
      <c r="X169" t="str">
        <f>_xlfn.XLOOKUP(F169,tblEmployee[Employee_ID],tblEmployee[Gender],"Not Found")</f>
        <v>Male</v>
      </c>
      <c r="Y169">
        <f>_xlfn.XLOOKUP(F169,tblEmployee[Employee_ID],tblEmployee[Joining_Date],"")</f>
        <v>43449</v>
      </c>
      <c r="Z169">
        <f>_xlfn.XLOOKUP(H169,tblDepartment[Department],tblDepartment[Annual_Budget_INR],"")</f>
        <v>24000000</v>
      </c>
      <c r="AA169" t="str">
        <f>_xlfn.XLOOKUP(H169,tblDepartment[Department],tblDepartment[Monthly_Target],"")</f>
        <v>90% Customer Satisfaction</v>
      </c>
      <c r="AB169">
        <f>_xlfn.XLOOKUP(H169,tblDepartment[Department],tblDepartment[Average_Salary_INR],"")</f>
        <v>520000</v>
      </c>
      <c r="AC169" t="str">
        <f>_xlfn.XLOOKUP(H169,tblDepartment[Department],tblDepartment[Priority_Level],"")</f>
        <v>High</v>
      </c>
      <c r="AD169" t="str">
        <f>_xlfn.XLOOKUP(H169,tblDepartment[Department],tblDepartment[Key_KPI],"")</f>
        <v>Customer Satisfaction</v>
      </c>
      <c r="AE169">
        <f>_xlfn.XLOOKUP(tblMaster[[#This Row],[Shift]],tblShift[Shift_Name],tblShift[Login_Time],"")</f>
        <v>0.58333333333333337</v>
      </c>
      <c r="AF169">
        <f>_xlfn.XLOOKUP(tblMaster[[#This Row],[Shift]],tblShift[Shift_Name],tblShift[Logout_Time]," ")</f>
        <v>0.95833333333333337</v>
      </c>
      <c r="AG169">
        <f>_xlfn.XLOOKUP(tblMaster[[#This Row],[Shift]],tblShift[Shift_Name],tblShift[Standard_Working_Hours],"")</f>
        <v>8</v>
      </c>
      <c r="AH169" t="str">
        <f>_xlfn.XLOOKUP(tblMaster[[#This Row],[Attendance_Date]],tblHoliday[Holiday_Date],tblHoliday[Holiday_Name],"Working Day")</f>
        <v>Working Day</v>
      </c>
      <c r="AI169" t="str">
        <f>_xlfn.XLOOKUP(tblMaster[[#This Row],[Attendance_Date]],tblHoliday[Holiday_Date],tblHoliday[Holiday_Type],"Working Day ")</f>
        <v xml:space="preserve">Working Day </v>
      </c>
    </row>
    <row r="170" spans="1:35" hidden="1" x14ac:dyDescent="0.3">
      <c r="A170" t="s">
        <v>352</v>
      </c>
      <c r="B170" s="3">
        <v>45780</v>
      </c>
      <c r="C170" t="s">
        <v>57</v>
      </c>
      <c r="D170" t="s">
        <v>24</v>
      </c>
      <c r="E170" t="s">
        <v>38</v>
      </c>
      <c r="F170" t="s">
        <v>182</v>
      </c>
      <c r="G170" t="s">
        <v>183</v>
      </c>
      <c r="H170" t="s">
        <v>112</v>
      </c>
      <c r="I170" t="s">
        <v>113</v>
      </c>
      <c r="J170" t="s">
        <v>30</v>
      </c>
      <c r="K170" t="s">
        <v>75</v>
      </c>
      <c r="L170" s="2">
        <v>0.3888888888888889</v>
      </c>
      <c r="M170" s="2">
        <v>0.75</v>
      </c>
      <c r="N170">
        <v>8</v>
      </c>
      <c r="O170">
        <v>0</v>
      </c>
      <c r="P170" t="s">
        <v>32</v>
      </c>
      <c r="R170">
        <v>4</v>
      </c>
      <c r="S170" t="s">
        <v>33</v>
      </c>
      <c r="T170" t="s">
        <v>114</v>
      </c>
      <c r="U170" t="s">
        <v>55</v>
      </c>
      <c r="V170" t="s">
        <v>35</v>
      </c>
      <c r="W170">
        <f>_xlfn.XLOOKUP(F170,tblEmployee[Employee_ID],tblEmployee[Age],"Not Found")</f>
        <v>28</v>
      </c>
      <c r="X170" t="str">
        <f>_xlfn.XLOOKUP(F170,tblEmployee[Employee_ID],tblEmployee[Gender],"Not Found")</f>
        <v>Male</v>
      </c>
      <c r="Y170">
        <f>_xlfn.XLOOKUP(F170,tblEmployee[Employee_ID],tblEmployee[Joining_Date],"")</f>
        <v>44211</v>
      </c>
      <c r="Z170">
        <f>_xlfn.XLOOKUP(H170,tblDepartment[Department],tblDepartment[Annual_Budget_INR],"")</f>
        <v>42000000</v>
      </c>
      <c r="AA170" t="str">
        <f>_xlfn.XLOOKUP(H170,tblDepartment[Department],tblDepartment[Monthly_Target],"")</f>
        <v>₹2.5 Cr Monthly Sales</v>
      </c>
      <c r="AB170">
        <f>_xlfn.XLOOKUP(H170,tblDepartment[Department],tblDepartment[Average_Salary_INR],"")</f>
        <v>680000</v>
      </c>
      <c r="AC170" t="str">
        <f>_xlfn.XLOOKUP(H170,tblDepartment[Department],tblDepartment[Priority_Level],"")</f>
        <v>High</v>
      </c>
      <c r="AD170" t="str">
        <f>_xlfn.XLOOKUP(H170,tblDepartment[Department],tblDepartment[Key_KPI],"")</f>
        <v>Revenue Achievement</v>
      </c>
      <c r="AE170">
        <f>_xlfn.XLOOKUP(tblMaster[[#This Row],[Shift]],tblShift[Shift_Name],tblShift[Login_Time],"")</f>
        <v>0.375</v>
      </c>
      <c r="AF170">
        <f>_xlfn.XLOOKUP(tblMaster[[#This Row],[Shift]],tblShift[Shift_Name],tblShift[Logout_Time]," ")</f>
        <v>0.75</v>
      </c>
      <c r="AG170">
        <f>_xlfn.XLOOKUP(tblMaster[[#This Row],[Shift]],tblShift[Shift_Name],tblShift[Standard_Working_Hours],"")</f>
        <v>8</v>
      </c>
      <c r="AH170" t="str">
        <f>_xlfn.XLOOKUP(tblMaster[[#This Row],[Attendance_Date]],tblHoliday[Holiday_Date],tblHoliday[Holiday_Name],"Working Day")</f>
        <v>Working Day</v>
      </c>
      <c r="AI170" t="str">
        <f>_xlfn.XLOOKUP(tblMaster[[#This Row],[Attendance_Date]],tblHoliday[Holiday_Date],tblHoliday[Holiday_Type],"Working Day ")</f>
        <v xml:space="preserve">Working Day </v>
      </c>
    </row>
    <row r="171" spans="1:35" x14ac:dyDescent="0.3">
      <c r="A171" t="s">
        <v>353</v>
      </c>
      <c r="B171" s="3">
        <v>45765</v>
      </c>
      <c r="C171" t="s">
        <v>37</v>
      </c>
      <c r="D171" t="s">
        <v>24</v>
      </c>
      <c r="E171" t="s">
        <v>119</v>
      </c>
      <c r="F171" t="s">
        <v>354</v>
      </c>
      <c r="G171" t="s">
        <v>355</v>
      </c>
      <c r="H171" t="s">
        <v>28</v>
      </c>
      <c r="I171" t="s">
        <v>29</v>
      </c>
      <c r="J171" t="s">
        <v>100</v>
      </c>
      <c r="K171" t="s">
        <v>75</v>
      </c>
      <c r="L171" s="2">
        <v>0.375</v>
      </c>
      <c r="M171" s="2">
        <v>0.75</v>
      </c>
      <c r="N171">
        <v>8</v>
      </c>
      <c r="O171">
        <v>0</v>
      </c>
      <c r="P171" t="s">
        <v>32</v>
      </c>
      <c r="S171" t="s">
        <v>67</v>
      </c>
      <c r="T171" t="s">
        <v>34</v>
      </c>
      <c r="U171" t="str">
        <f>_xlfn.XLOOKUP(tblMaster[[#This Row],[Employee_ID]],tblEmployee[Employee_ID],tblEmployee[Work_Mode]," ")</f>
        <v>Hybrid</v>
      </c>
      <c r="V171" t="s">
        <v>69</v>
      </c>
      <c r="W171">
        <f>_xlfn.XLOOKUP(F171,tblEmployee[Employee_ID],tblEmployee[Age],"Not Found")</f>
        <v>32</v>
      </c>
      <c r="X171" t="str">
        <f>_xlfn.XLOOKUP(F171,tblEmployee[Employee_ID],tblEmployee[Gender],"Not Found")</f>
        <v>Female</v>
      </c>
      <c r="Y171">
        <f>_xlfn.XLOOKUP(F171,tblEmployee[Employee_ID],tblEmployee[Joining_Date],"")</f>
        <v>43235</v>
      </c>
      <c r="Z171">
        <f>_xlfn.XLOOKUP(H171,tblDepartment[Department],tblDepartment[Annual_Budget_INR],"")</f>
        <v>24000000</v>
      </c>
      <c r="AA171" t="str">
        <f>_xlfn.XLOOKUP(H171,tblDepartment[Department],tblDepartment[Monthly_Target],"")</f>
        <v>90% Customer Satisfaction</v>
      </c>
      <c r="AB171">
        <f>_xlfn.XLOOKUP(H171,tblDepartment[Department],tblDepartment[Average_Salary_INR],"")</f>
        <v>520000</v>
      </c>
      <c r="AC171" t="str">
        <f>_xlfn.XLOOKUP(H171,tblDepartment[Department],tblDepartment[Priority_Level],"")</f>
        <v>High</v>
      </c>
      <c r="AD171" t="str">
        <f>_xlfn.XLOOKUP(H171,tblDepartment[Department],tblDepartment[Key_KPI],"")</f>
        <v>Customer Satisfaction</v>
      </c>
      <c r="AE171">
        <f>_xlfn.XLOOKUP(tblMaster[[#This Row],[Shift]],tblShift[Shift_Name],tblShift[Login_Time],"")</f>
        <v>0.375</v>
      </c>
      <c r="AF171">
        <f>_xlfn.XLOOKUP(tblMaster[[#This Row],[Shift]],tblShift[Shift_Name],tblShift[Logout_Time]," ")</f>
        <v>0.75</v>
      </c>
      <c r="AG171">
        <f>_xlfn.XLOOKUP(tblMaster[[#This Row],[Shift]],tblShift[Shift_Name],tblShift[Standard_Working_Hours],"")</f>
        <v>8</v>
      </c>
      <c r="AH171" t="str">
        <f>_xlfn.XLOOKUP(tblMaster[[#This Row],[Attendance_Date]],tblHoliday[Holiday_Date],tblHoliday[Holiday_Name],"Working Day")</f>
        <v>Good Friday</v>
      </c>
      <c r="AI171" t="str">
        <f>_xlfn.XLOOKUP(tblMaster[[#This Row],[Attendance_Date]],tblHoliday[Holiday_Date],tblHoliday[Holiday_Type],"Working Day ")</f>
        <v>Restricted</v>
      </c>
    </row>
    <row r="172" spans="1:35" hidden="1" x14ac:dyDescent="0.3">
      <c r="A172" t="s">
        <v>356</v>
      </c>
      <c r="B172" s="3">
        <v>45789</v>
      </c>
      <c r="C172" t="s">
        <v>57</v>
      </c>
      <c r="D172" t="s">
        <v>24</v>
      </c>
      <c r="E172" t="s">
        <v>109</v>
      </c>
      <c r="F172" t="s">
        <v>211</v>
      </c>
      <c r="G172" t="s">
        <v>212</v>
      </c>
      <c r="H172" t="s">
        <v>64</v>
      </c>
      <c r="I172" t="s">
        <v>65</v>
      </c>
      <c r="J172" t="s">
        <v>74</v>
      </c>
      <c r="K172" t="s">
        <v>54</v>
      </c>
      <c r="L172" s="2">
        <v>0.375</v>
      </c>
      <c r="M172" s="2">
        <v>0.75</v>
      </c>
      <c r="N172">
        <v>8</v>
      </c>
      <c r="O172">
        <v>0</v>
      </c>
      <c r="P172" t="s">
        <v>32</v>
      </c>
      <c r="R172">
        <v>3</v>
      </c>
      <c r="S172" t="s">
        <v>45</v>
      </c>
      <c r="T172" t="s">
        <v>68</v>
      </c>
      <c r="U172" t="s">
        <v>55</v>
      </c>
      <c r="W172">
        <f>_xlfn.XLOOKUP(F172,tblEmployee[Employee_ID],tblEmployee[Age],"Not Found")</f>
        <v>26</v>
      </c>
      <c r="X172" t="str">
        <f>_xlfn.XLOOKUP(F172,tblEmployee[Employee_ID],tblEmployee[Gender],"Not Found")</f>
        <v>Female</v>
      </c>
      <c r="Y172">
        <f>_xlfn.XLOOKUP(F172,tblEmployee[Employee_ID],tblEmployee[Joining_Date],"")</f>
        <v>43784</v>
      </c>
      <c r="Z172">
        <f>_xlfn.XLOOKUP(H172,tblDepartment[Department],tblDepartment[Annual_Budget_INR],"")</f>
        <v>85000000</v>
      </c>
      <c r="AA172" t="str">
        <f>_xlfn.XLOOKUP(H172,tblDepartment[Department],tblDepartment[Monthly_Target],"")</f>
        <v>99.5% System Uptime</v>
      </c>
      <c r="AB172">
        <f>_xlfn.XLOOKUP(H172,tblDepartment[Department],tblDepartment[Average_Salary_INR],"")</f>
        <v>720000</v>
      </c>
      <c r="AC172" t="str">
        <f>_xlfn.XLOOKUP(H172,tblDepartment[Department],tblDepartment[Priority_Level],"")</f>
        <v>High</v>
      </c>
      <c r="AD172" t="str">
        <f>_xlfn.XLOOKUP(H172,tblDepartment[Department],tblDepartment[Key_KPI],"")</f>
        <v>Project Delivery</v>
      </c>
      <c r="AE172">
        <f>_xlfn.XLOOKUP(tblMaster[[#This Row],[Shift]],tblShift[Shift_Name],tblShift[Login_Time],"")</f>
        <v>0.58333333333333337</v>
      </c>
      <c r="AF172">
        <f>_xlfn.XLOOKUP(tblMaster[[#This Row],[Shift]],tblShift[Shift_Name],tblShift[Logout_Time]," ")</f>
        <v>0.95833333333333337</v>
      </c>
      <c r="AG172">
        <f>_xlfn.XLOOKUP(tblMaster[[#This Row],[Shift]],tblShift[Shift_Name],tblShift[Standard_Working_Hours],"")</f>
        <v>8</v>
      </c>
      <c r="AH172" t="str">
        <f>_xlfn.XLOOKUP(tblMaster[[#This Row],[Attendance_Date]],tblHoliday[Holiday_Date],tblHoliday[Holiday_Name],"Working Day")</f>
        <v>Working Day</v>
      </c>
      <c r="AI172" t="str">
        <f>_xlfn.XLOOKUP(tblMaster[[#This Row],[Attendance_Date]],tblHoliday[Holiday_Date],tblHoliday[Holiday_Type],"Working Day ")</f>
        <v xml:space="preserve">Working Day </v>
      </c>
    </row>
    <row r="173" spans="1:35" hidden="1" x14ac:dyDescent="0.3">
      <c r="A173" t="s">
        <v>357</v>
      </c>
      <c r="B173" s="3">
        <v>45728</v>
      </c>
      <c r="C173" t="s">
        <v>71</v>
      </c>
      <c r="D173" t="s">
        <v>50</v>
      </c>
      <c r="E173" t="s">
        <v>51</v>
      </c>
      <c r="F173" t="s">
        <v>207</v>
      </c>
      <c r="G173" t="s">
        <v>208</v>
      </c>
      <c r="H173" t="s">
        <v>64</v>
      </c>
      <c r="I173" t="s">
        <v>65</v>
      </c>
      <c r="J173" t="s">
        <v>30</v>
      </c>
      <c r="K173" t="s">
        <v>75</v>
      </c>
      <c r="P173" t="s">
        <v>82</v>
      </c>
      <c r="S173" t="s">
        <v>92</v>
      </c>
      <c r="T173" t="s">
        <v>68</v>
      </c>
      <c r="U173" t="s">
        <v>55</v>
      </c>
      <c r="W173">
        <f>_xlfn.XLOOKUP(F173,tblEmployee[Employee_ID],tblEmployee[Age],"Not Found")</f>
        <v>33</v>
      </c>
      <c r="X173" t="str">
        <f>_xlfn.XLOOKUP(F173,tblEmployee[Employee_ID],tblEmployee[Gender],"Not Found")</f>
        <v>Male</v>
      </c>
      <c r="Y173">
        <f>_xlfn.XLOOKUP(F173,tblEmployee[Employee_ID],tblEmployee[Joining_Date],"")</f>
        <v>43631</v>
      </c>
      <c r="Z173">
        <f>_xlfn.XLOOKUP(H173,tblDepartment[Department],tblDepartment[Annual_Budget_INR],"")</f>
        <v>85000000</v>
      </c>
      <c r="AA173" t="str">
        <f>_xlfn.XLOOKUP(H173,tblDepartment[Department],tblDepartment[Monthly_Target],"")</f>
        <v>99.5% System Uptime</v>
      </c>
      <c r="AB173">
        <f>_xlfn.XLOOKUP(H173,tblDepartment[Department],tblDepartment[Average_Salary_INR],"")</f>
        <v>720000</v>
      </c>
      <c r="AC173" t="str">
        <f>_xlfn.XLOOKUP(H173,tblDepartment[Department],tblDepartment[Priority_Level],"")</f>
        <v>High</v>
      </c>
      <c r="AD173" t="str">
        <f>_xlfn.XLOOKUP(H173,tblDepartment[Department],tblDepartment[Key_KPI],"")</f>
        <v>Project Delivery</v>
      </c>
      <c r="AE173">
        <f>_xlfn.XLOOKUP(tblMaster[[#This Row],[Shift]],tblShift[Shift_Name],tblShift[Login_Time],"")</f>
        <v>0.375</v>
      </c>
      <c r="AF173">
        <f>_xlfn.XLOOKUP(tblMaster[[#This Row],[Shift]],tblShift[Shift_Name],tblShift[Logout_Time]," ")</f>
        <v>0.75</v>
      </c>
      <c r="AG173">
        <f>_xlfn.XLOOKUP(tblMaster[[#This Row],[Shift]],tblShift[Shift_Name],tblShift[Standard_Working_Hours],"")</f>
        <v>8</v>
      </c>
      <c r="AH173" t="str">
        <f>_xlfn.XLOOKUP(tblMaster[[#This Row],[Attendance_Date]],tblHoliday[Holiday_Date],tblHoliday[Holiday_Name],"Working Day")</f>
        <v>Working Day</v>
      </c>
      <c r="AI173" t="str">
        <f>_xlfn.XLOOKUP(tblMaster[[#This Row],[Attendance_Date]],tblHoliday[Holiday_Date],tblHoliday[Holiday_Type],"Working Day ")</f>
        <v xml:space="preserve">Working Day </v>
      </c>
    </row>
    <row r="174" spans="1:35" hidden="1" x14ac:dyDescent="0.3">
      <c r="A174" t="s">
        <v>358</v>
      </c>
      <c r="B174" s="1">
        <v>45766</v>
      </c>
      <c r="C174" t="s">
        <v>37</v>
      </c>
      <c r="D174" t="s">
        <v>24</v>
      </c>
      <c r="E174" t="s">
        <v>38</v>
      </c>
      <c r="F174" t="s">
        <v>305</v>
      </c>
      <c r="G174" t="s">
        <v>306</v>
      </c>
      <c r="H174" t="s">
        <v>79</v>
      </c>
      <c r="I174" t="s">
        <v>80</v>
      </c>
      <c r="J174" t="s">
        <v>74</v>
      </c>
      <c r="K174" t="s">
        <v>54</v>
      </c>
      <c r="L174" s="2">
        <v>0.375</v>
      </c>
      <c r="M174" s="2">
        <v>0.75</v>
      </c>
      <c r="N174">
        <v>8</v>
      </c>
      <c r="O174">
        <v>0</v>
      </c>
      <c r="P174" t="s">
        <v>32</v>
      </c>
      <c r="R174">
        <v>4</v>
      </c>
      <c r="S174" t="s">
        <v>67</v>
      </c>
      <c r="T174" t="s">
        <v>84</v>
      </c>
      <c r="U174" t="s">
        <v>85</v>
      </c>
      <c r="W174">
        <f>_xlfn.XLOOKUP(F174,tblEmployee[Employee_ID],tblEmployee[Age],"Not Found")</f>
        <v>36</v>
      </c>
      <c r="X174" t="str">
        <f>_xlfn.XLOOKUP(F174,tblEmployee[Employee_ID],tblEmployee[Gender],"Not Found")</f>
        <v>Female</v>
      </c>
      <c r="Y174">
        <f>_xlfn.XLOOKUP(F174,tblEmployee[Employee_ID],tblEmployee[Joining_Date],"")</f>
        <v>44819</v>
      </c>
      <c r="Z174">
        <f>_xlfn.XLOOKUP(H174,tblDepartment[Department],tblDepartment[Annual_Budget_INR],"")</f>
        <v>26000000</v>
      </c>
      <c r="AA174" t="str">
        <f>_xlfn.XLOOKUP(H174,tblDepartment[Department],tblDepartment[Monthly_Target],"")</f>
        <v>100% Payroll Accuracy</v>
      </c>
      <c r="AB174">
        <f>_xlfn.XLOOKUP(H174,tblDepartment[Department],tblDepartment[Average_Salary_INR],"")</f>
        <v>640000</v>
      </c>
      <c r="AC174" t="str">
        <f>_xlfn.XLOOKUP(H174,tblDepartment[Department],tblDepartment[Priority_Level],"")</f>
        <v>High</v>
      </c>
      <c r="AD174" t="str">
        <f>_xlfn.XLOOKUP(H174,tblDepartment[Department],tblDepartment[Key_KPI],"")</f>
        <v>Financial Compliance</v>
      </c>
      <c r="AE174">
        <f>_xlfn.XLOOKUP(tblMaster[[#This Row],[Shift]],tblShift[Shift_Name],tblShift[Login_Time],"")</f>
        <v>0.58333333333333337</v>
      </c>
      <c r="AF174">
        <f>_xlfn.XLOOKUP(tblMaster[[#This Row],[Shift]],tblShift[Shift_Name],tblShift[Logout_Time]," ")</f>
        <v>0.95833333333333337</v>
      </c>
      <c r="AG174">
        <f>_xlfn.XLOOKUP(tblMaster[[#This Row],[Shift]],tblShift[Shift_Name],tblShift[Standard_Working_Hours],"")</f>
        <v>8</v>
      </c>
      <c r="AH174" t="str">
        <f>_xlfn.XLOOKUP(tblMaster[[#This Row],[Attendance_Date]],tblHoliday[Holiday_Date],tblHoliday[Holiday_Name],"Working Day")</f>
        <v>Working Day</v>
      </c>
      <c r="AI174" t="str">
        <f>_xlfn.XLOOKUP(tblMaster[[#This Row],[Attendance_Date]],tblHoliday[Holiday_Date],tblHoliday[Holiday_Type],"Working Day ")</f>
        <v xml:space="preserve">Working Day </v>
      </c>
    </row>
    <row r="175" spans="1:35" hidden="1" x14ac:dyDescent="0.3">
      <c r="A175" t="s">
        <v>359</v>
      </c>
      <c r="B175" s="3">
        <v>45833</v>
      </c>
      <c r="C175" t="s">
        <v>23</v>
      </c>
      <c r="D175" t="s">
        <v>24</v>
      </c>
      <c r="E175" t="s">
        <v>51</v>
      </c>
      <c r="F175" t="s">
        <v>182</v>
      </c>
      <c r="G175" t="s">
        <v>183</v>
      </c>
      <c r="H175" t="s">
        <v>112</v>
      </c>
      <c r="I175" t="s">
        <v>113</v>
      </c>
      <c r="J175" t="s">
        <v>30</v>
      </c>
      <c r="K175" t="s">
        <v>44</v>
      </c>
      <c r="L175" s="2">
        <v>0.375</v>
      </c>
      <c r="M175" s="2">
        <v>0.75</v>
      </c>
      <c r="N175">
        <v>8</v>
      </c>
      <c r="O175">
        <v>0</v>
      </c>
      <c r="P175" t="s">
        <v>32</v>
      </c>
      <c r="S175" t="s">
        <v>33</v>
      </c>
      <c r="T175" t="s">
        <v>114</v>
      </c>
      <c r="U175" t="s">
        <v>47</v>
      </c>
      <c r="V175" t="s">
        <v>60</v>
      </c>
      <c r="W175">
        <f>_xlfn.XLOOKUP(F175,tblEmployee[Employee_ID],tblEmployee[Age],"Not Found")</f>
        <v>28</v>
      </c>
      <c r="X175" t="str">
        <f>_xlfn.XLOOKUP(F175,tblEmployee[Employee_ID],tblEmployee[Gender],"Not Found")</f>
        <v>Male</v>
      </c>
      <c r="Y175">
        <f>_xlfn.XLOOKUP(F175,tblEmployee[Employee_ID],tblEmployee[Joining_Date],"")</f>
        <v>44211</v>
      </c>
      <c r="Z175">
        <f>_xlfn.XLOOKUP(H175,tblDepartment[Department],tblDepartment[Annual_Budget_INR],"")</f>
        <v>42000000</v>
      </c>
      <c r="AA175" t="str">
        <f>_xlfn.XLOOKUP(H175,tblDepartment[Department],tblDepartment[Monthly_Target],"")</f>
        <v>₹2.5 Cr Monthly Sales</v>
      </c>
      <c r="AB175">
        <f>_xlfn.XLOOKUP(H175,tblDepartment[Department],tblDepartment[Average_Salary_INR],"")</f>
        <v>680000</v>
      </c>
      <c r="AC175" t="str">
        <f>_xlfn.XLOOKUP(H175,tblDepartment[Department],tblDepartment[Priority_Level],"")</f>
        <v>High</v>
      </c>
      <c r="AD175" t="str">
        <f>_xlfn.XLOOKUP(H175,tblDepartment[Department],tblDepartment[Key_KPI],"")</f>
        <v>Revenue Achievement</v>
      </c>
      <c r="AE175">
        <f>_xlfn.XLOOKUP(tblMaster[[#This Row],[Shift]],tblShift[Shift_Name],tblShift[Login_Time],"")</f>
        <v>0.41666666666666669</v>
      </c>
      <c r="AF175">
        <f>_xlfn.XLOOKUP(tblMaster[[#This Row],[Shift]],tblShift[Shift_Name],tblShift[Logout_Time]," ")</f>
        <v>0.79166666666666663</v>
      </c>
      <c r="AG175">
        <f>_xlfn.XLOOKUP(tblMaster[[#This Row],[Shift]],tblShift[Shift_Name],tblShift[Standard_Working_Hours],"")</f>
        <v>8</v>
      </c>
      <c r="AH175" t="str">
        <f>_xlfn.XLOOKUP(tblMaster[[#This Row],[Attendance_Date]],tblHoliday[Holiday_Date],tblHoliday[Holiday_Name],"Working Day")</f>
        <v>Working Day</v>
      </c>
      <c r="AI175" t="str">
        <f>_xlfn.XLOOKUP(tblMaster[[#This Row],[Attendance_Date]],tblHoliday[Holiday_Date],tblHoliday[Holiday_Type],"Working Day ")</f>
        <v xml:space="preserve">Working Day </v>
      </c>
    </row>
    <row r="176" spans="1:35" hidden="1" x14ac:dyDescent="0.3">
      <c r="A176" t="s">
        <v>360</v>
      </c>
      <c r="B176" s="3">
        <v>45779</v>
      </c>
      <c r="C176" t="s">
        <v>57</v>
      </c>
      <c r="D176" t="s">
        <v>24</v>
      </c>
      <c r="E176" t="s">
        <v>119</v>
      </c>
      <c r="F176" t="s">
        <v>88</v>
      </c>
      <c r="G176" t="s">
        <v>89</v>
      </c>
      <c r="H176" t="s">
        <v>90</v>
      </c>
      <c r="I176" t="s">
        <v>91</v>
      </c>
      <c r="J176" t="s">
        <v>43</v>
      </c>
      <c r="K176" t="s">
        <v>31</v>
      </c>
      <c r="L176" s="2">
        <v>0.375</v>
      </c>
      <c r="M176" s="2">
        <v>0.75</v>
      </c>
      <c r="N176">
        <v>8</v>
      </c>
      <c r="O176">
        <v>0</v>
      </c>
      <c r="P176" t="s">
        <v>32</v>
      </c>
      <c r="R176">
        <v>4</v>
      </c>
      <c r="S176" t="s">
        <v>67</v>
      </c>
      <c r="T176" t="s">
        <v>93</v>
      </c>
      <c r="U176" t="s">
        <v>47</v>
      </c>
      <c r="V176" t="s">
        <v>60</v>
      </c>
      <c r="W176">
        <f>_xlfn.XLOOKUP(F176,tblEmployee[Employee_ID],tblEmployee[Age],"Not Found")</f>
        <v>34</v>
      </c>
      <c r="X176" t="str">
        <f>_xlfn.XLOOKUP(F176,tblEmployee[Employee_ID],tblEmployee[Gender],"Not Found")</f>
        <v>Female</v>
      </c>
      <c r="Y176">
        <f>_xlfn.XLOOKUP(F176,tblEmployee[Employee_ID],tblEmployee[Joining_Date],"")</f>
        <v>44027</v>
      </c>
      <c r="Z176">
        <f>_xlfn.XLOOKUP(H176,tblDepartment[Department],tblDepartment[Annual_Budget_INR],"")</f>
        <v>18000000</v>
      </c>
      <c r="AA176" t="str">
        <f>_xlfn.XLOOKUP(H176,tblDepartment[Department],tblDepartment[Monthly_Target],"")</f>
        <v>&lt;30 Days Hiring Cycle</v>
      </c>
      <c r="AB176">
        <f>_xlfn.XLOOKUP(H176,tblDepartment[Department],tblDepartment[Average_Salary_INR],"")</f>
        <v>560000</v>
      </c>
      <c r="AC176" t="str">
        <f>_xlfn.XLOOKUP(H176,tblDepartment[Department],tblDepartment[Priority_Level],"")</f>
        <v>Medium</v>
      </c>
      <c r="AD176" t="str">
        <f>_xlfn.XLOOKUP(H176,tblDepartment[Department],tblDepartment[Key_KPI],"")</f>
        <v>Hiring &amp; Retention</v>
      </c>
      <c r="AE176">
        <f>_xlfn.XLOOKUP(tblMaster[[#This Row],[Shift]],tblShift[Shift_Name],tblShift[Login_Time],"")</f>
        <v>0.25</v>
      </c>
      <c r="AF176">
        <f>_xlfn.XLOOKUP(tblMaster[[#This Row],[Shift]],tblShift[Shift_Name],tblShift[Logout_Time]," ")</f>
        <v>0.625</v>
      </c>
      <c r="AG176">
        <f>_xlfn.XLOOKUP(tblMaster[[#This Row],[Shift]],tblShift[Shift_Name],tblShift[Standard_Working_Hours],"")</f>
        <v>8</v>
      </c>
      <c r="AH176" t="str">
        <f>_xlfn.XLOOKUP(tblMaster[[#This Row],[Attendance_Date]],tblHoliday[Holiday_Date],tblHoliday[Holiday_Name],"Working Day")</f>
        <v>Working Day</v>
      </c>
      <c r="AI176" t="str">
        <f>_xlfn.XLOOKUP(tblMaster[[#This Row],[Attendance_Date]],tblHoliday[Holiday_Date],tblHoliday[Holiday_Type],"Working Day ")</f>
        <v xml:space="preserve">Working Day </v>
      </c>
    </row>
    <row r="177" spans="1:35" hidden="1" x14ac:dyDescent="0.3">
      <c r="A177" t="s">
        <v>361</v>
      </c>
      <c r="B177" s="3">
        <v>45719</v>
      </c>
      <c r="C177" t="s">
        <v>71</v>
      </c>
      <c r="D177" t="s">
        <v>50</v>
      </c>
      <c r="E177" t="s">
        <v>109</v>
      </c>
      <c r="F177" t="s">
        <v>72</v>
      </c>
      <c r="G177" t="s">
        <v>73</v>
      </c>
      <c r="H177" t="s">
        <v>28</v>
      </c>
      <c r="I177" t="s">
        <v>29</v>
      </c>
      <c r="J177" t="s">
        <v>74</v>
      </c>
      <c r="K177" t="s">
        <v>75</v>
      </c>
      <c r="L177" s="2">
        <v>0.375</v>
      </c>
      <c r="M177" s="2">
        <v>0.75</v>
      </c>
      <c r="N177">
        <v>8</v>
      </c>
      <c r="O177">
        <v>0</v>
      </c>
      <c r="P177" t="s">
        <v>32</v>
      </c>
      <c r="S177" t="s">
        <v>92</v>
      </c>
      <c r="T177" t="s">
        <v>34</v>
      </c>
      <c r="U177" t="s">
        <v>85</v>
      </c>
      <c r="W177">
        <f>_xlfn.XLOOKUP(F177,tblEmployee[Employee_ID],tblEmployee[Age],"Not Found")</f>
        <v>28</v>
      </c>
      <c r="X177" t="str">
        <f>_xlfn.XLOOKUP(F177,tblEmployee[Employee_ID],tblEmployee[Gender],"Not Found")</f>
        <v>Female</v>
      </c>
      <c r="Y177">
        <f>_xlfn.XLOOKUP(F177,tblEmployee[Employee_ID],tblEmployee[Joining_Date],"")</f>
        <v>43296</v>
      </c>
      <c r="Z177">
        <f>_xlfn.XLOOKUP(H177,tblDepartment[Department],tblDepartment[Annual_Budget_INR],"")</f>
        <v>24000000</v>
      </c>
      <c r="AA177" t="str">
        <f>_xlfn.XLOOKUP(H177,tblDepartment[Department],tblDepartment[Monthly_Target],"")</f>
        <v>90% Customer Satisfaction</v>
      </c>
      <c r="AB177">
        <f>_xlfn.XLOOKUP(H177,tblDepartment[Department],tblDepartment[Average_Salary_INR],"")</f>
        <v>520000</v>
      </c>
      <c r="AC177" t="str">
        <f>_xlfn.XLOOKUP(H177,tblDepartment[Department],tblDepartment[Priority_Level],"")</f>
        <v>High</v>
      </c>
      <c r="AD177" t="str">
        <f>_xlfn.XLOOKUP(H177,tblDepartment[Department],tblDepartment[Key_KPI],"")</f>
        <v>Customer Satisfaction</v>
      </c>
      <c r="AE177">
        <f>_xlfn.XLOOKUP(tblMaster[[#This Row],[Shift]],tblShift[Shift_Name],tblShift[Login_Time],"")</f>
        <v>0.375</v>
      </c>
      <c r="AF177">
        <f>_xlfn.XLOOKUP(tblMaster[[#This Row],[Shift]],tblShift[Shift_Name],tblShift[Logout_Time]," ")</f>
        <v>0.75</v>
      </c>
      <c r="AG177">
        <f>_xlfn.XLOOKUP(tblMaster[[#This Row],[Shift]],tblShift[Shift_Name],tblShift[Standard_Working_Hours],"")</f>
        <v>8</v>
      </c>
      <c r="AH177" t="str">
        <f>_xlfn.XLOOKUP(tblMaster[[#This Row],[Attendance_Date]],tblHoliday[Holiday_Date],tblHoliday[Holiday_Name],"Working Day")</f>
        <v>Working Day</v>
      </c>
      <c r="AI177" t="str">
        <f>_xlfn.XLOOKUP(tblMaster[[#This Row],[Attendance_Date]],tblHoliday[Holiday_Date],tblHoliday[Holiday_Type],"Working Day ")</f>
        <v xml:space="preserve">Working Day </v>
      </c>
    </row>
    <row r="178" spans="1:35" hidden="1" x14ac:dyDescent="0.3">
      <c r="A178" t="s">
        <v>362</v>
      </c>
      <c r="B178" s="1">
        <v>45812</v>
      </c>
      <c r="C178" t="s">
        <v>23</v>
      </c>
      <c r="D178" t="s">
        <v>24</v>
      </c>
      <c r="E178" t="s">
        <v>51</v>
      </c>
      <c r="F178" t="s">
        <v>166</v>
      </c>
      <c r="G178" t="s">
        <v>167</v>
      </c>
      <c r="H178" t="s">
        <v>41</v>
      </c>
      <c r="I178" t="s">
        <v>42</v>
      </c>
      <c r="J178" t="s">
        <v>100</v>
      </c>
      <c r="K178" t="s">
        <v>44</v>
      </c>
      <c r="L178" s="2">
        <v>0.375</v>
      </c>
      <c r="M178" s="2">
        <v>0.75</v>
      </c>
      <c r="N178">
        <v>8</v>
      </c>
      <c r="O178">
        <v>0</v>
      </c>
      <c r="P178" t="s">
        <v>32</v>
      </c>
      <c r="R178">
        <v>3</v>
      </c>
      <c r="S178" t="s">
        <v>92</v>
      </c>
      <c r="T178" t="s">
        <v>46</v>
      </c>
      <c r="U178" t="s">
        <v>85</v>
      </c>
      <c r="V178" t="s">
        <v>69</v>
      </c>
      <c r="W178">
        <f>_xlfn.XLOOKUP(F178,tblEmployee[Employee_ID],tblEmployee[Age],"Not Found")</f>
        <v>37</v>
      </c>
      <c r="X178" t="str">
        <f>_xlfn.XLOOKUP(F178,tblEmployee[Employee_ID],tblEmployee[Gender],"Not Found")</f>
        <v>Male</v>
      </c>
      <c r="Y178">
        <f>_xlfn.XLOOKUP(F178,tblEmployee[Employee_ID],tblEmployee[Joining_Date],"")</f>
        <v>45214</v>
      </c>
      <c r="Z178">
        <f>_xlfn.XLOOKUP(H178,tblDepartment[Department],tblDepartment[Annual_Budget_INR],"")</f>
        <v>34000000</v>
      </c>
      <c r="AA178" t="str">
        <f>_xlfn.XLOOKUP(H178,tblDepartment[Department],tblDepartment[Monthly_Target],"")</f>
        <v>95% Process Efficiency</v>
      </c>
      <c r="AB178">
        <f>_xlfn.XLOOKUP(H178,tblDepartment[Department],tblDepartment[Average_Salary_INR],"")</f>
        <v>610000</v>
      </c>
      <c r="AC178" t="str">
        <f>_xlfn.XLOOKUP(H178,tblDepartment[Department],tblDepartment[Priority_Level],"")</f>
        <v>High</v>
      </c>
      <c r="AD178" t="str">
        <f>_xlfn.XLOOKUP(H178,tblDepartment[Department],tblDepartment[Key_KPI],"")</f>
        <v>Operational Efficiency</v>
      </c>
      <c r="AE178">
        <f>_xlfn.XLOOKUP(tblMaster[[#This Row],[Shift]],tblShift[Shift_Name],tblShift[Login_Time],"")</f>
        <v>0.41666666666666669</v>
      </c>
      <c r="AF178">
        <f>_xlfn.XLOOKUP(tblMaster[[#This Row],[Shift]],tblShift[Shift_Name],tblShift[Logout_Time]," ")</f>
        <v>0.79166666666666663</v>
      </c>
      <c r="AG178">
        <f>_xlfn.XLOOKUP(tblMaster[[#This Row],[Shift]],tblShift[Shift_Name],tblShift[Standard_Working_Hours],"")</f>
        <v>8</v>
      </c>
      <c r="AH178" t="str">
        <f>_xlfn.XLOOKUP(tblMaster[[#This Row],[Attendance_Date]],tblHoliday[Holiday_Date],tblHoliday[Holiday_Name],"Working Day")</f>
        <v>Working Day</v>
      </c>
      <c r="AI178" t="str">
        <f>_xlfn.XLOOKUP(tblMaster[[#This Row],[Attendance_Date]],tblHoliday[Holiday_Date],tblHoliday[Holiday_Type],"Working Day ")</f>
        <v xml:space="preserve">Working Day </v>
      </c>
    </row>
    <row r="179" spans="1:35" hidden="1" x14ac:dyDescent="0.3">
      <c r="A179" t="s">
        <v>363</v>
      </c>
      <c r="B179" s="3">
        <v>45747</v>
      </c>
      <c r="C179" t="s">
        <v>71</v>
      </c>
      <c r="D179" t="s">
        <v>50</v>
      </c>
      <c r="E179" t="s">
        <v>109</v>
      </c>
      <c r="F179" t="s">
        <v>220</v>
      </c>
      <c r="G179" t="s">
        <v>221</v>
      </c>
      <c r="H179" t="s">
        <v>79</v>
      </c>
      <c r="I179" t="s">
        <v>80</v>
      </c>
      <c r="J179" t="s">
        <v>100</v>
      </c>
      <c r="K179" t="s">
        <v>81</v>
      </c>
      <c r="L179" s="2">
        <v>0.91666666666666663</v>
      </c>
      <c r="M179" s="2">
        <v>0.29166666666666669</v>
      </c>
      <c r="N179">
        <v>9</v>
      </c>
      <c r="O179">
        <v>1</v>
      </c>
      <c r="P179" t="s">
        <v>32</v>
      </c>
      <c r="R179">
        <v>5</v>
      </c>
      <c r="S179" t="s">
        <v>45</v>
      </c>
      <c r="T179" t="s">
        <v>84</v>
      </c>
      <c r="U179" t="s">
        <v>85</v>
      </c>
      <c r="V179" t="s">
        <v>35</v>
      </c>
      <c r="W179">
        <f>_xlfn.XLOOKUP(F179,tblEmployee[Employee_ID],tblEmployee[Age],"Not Found")</f>
        <v>22</v>
      </c>
      <c r="X179" t="str">
        <f>_xlfn.XLOOKUP(F179,tblEmployee[Employee_ID],tblEmployee[Gender],"Not Found")</f>
        <v>Male</v>
      </c>
      <c r="Y179">
        <f>_xlfn.XLOOKUP(F179,tblEmployee[Employee_ID],tblEmployee[Joining_Date],"")</f>
        <v>44757</v>
      </c>
      <c r="Z179">
        <f>_xlfn.XLOOKUP(H179,tblDepartment[Department],tblDepartment[Annual_Budget_INR],"")</f>
        <v>26000000</v>
      </c>
      <c r="AA179" t="str">
        <f>_xlfn.XLOOKUP(H179,tblDepartment[Department],tblDepartment[Monthly_Target],"")</f>
        <v>100% Payroll Accuracy</v>
      </c>
      <c r="AB179">
        <f>_xlfn.XLOOKUP(H179,tblDepartment[Department],tblDepartment[Average_Salary_INR],"")</f>
        <v>640000</v>
      </c>
      <c r="AC179" t="str">
        <f>_xlfn.XLOOKUP(H179,tblDepartment[Department],tblDepartment[Priority_Level],"")</f>
        <v>High</v>
      </c>
      <c r="AD179" t="str">
        <f>_xlfn.XLOOKUP(H179,tblDepartment[Department],tblDepartment[Key_KPI],"")</f>
        <v>Financial Compliance</v>
      </c>
      <c r="AE179">
        <f>_xlfn.XLOOKUP(tblMaster[[#This Row],[Shift]],tblShift[Shift_Name],tblShift[Login_Time],"")</f>
        <v>0.91666666666666663</v>
      </c>
      <c r="AF179">
        <f>_xlfn.XLOOKUP(tblMaster[[#This Row],[Shift]],tblShift[Shift_Name],tblShift[Logout_Time]," ")</f>
        <v>0.29166666666666669</v>
      </c>
      <c r="AG179">
        <f>_xlfn.XLOOKUP(tblMaster[[#This Row],[Shift]],tblShift[Shift_Name],tblShift[Standard_Working_Hours],"")</f>
        <v>8</v>
      </c>
      <c r="AH179" t="str">
        <f>_xlfn.XLOOKUP(tblMaster[[#This Row],[Attendance_Date]],tblHoliday[Holiday_Date],tblHoliday[Holiday_Name],"Working Day")</f>
        <v>Working Day</v>
      </c>
      <c r="AI179" t="str">
        <f>_xlfn.XLOOKUP(tblMaster[[#This Row],[Attendance_Date]],tblHoliday[Holiday_Date],tblHoliday[Holiday_Type],"Working Day ")</f>
        <v xml:space="preserve">Working Day </v>
      </c>
    </row>
    <row r="180" spans="1:35" hidden="1" x14ac:dyDescent="0.3">
      <c r="A180" t="s">
        <v>364</v>
      </c>
      <c r="B180" s="1">
        <v>45767</v>
      </c>
      <c r="C180" t="s">
        <v>37</v>
      </c>
      <c r="D180" t="s">
        <v>24</v>
      </c>
      <c r="E180" t="s">
        <v>103</v>
      </c>
      <c r="F180" t="s">
        <v>281</v>
      </c>
      <c r="G180" t="s">
        <v>282</v>
      </c>
      <c r="H180" t="s">
        <v>90</v>
      </c>
      <c r="I180" t="s">
        <v>91</v>
      </c>
      <c r="J180" t="s">
        <v>30</v>
      </c>
      <c r="K180" t="s">
        <v>75</v>
      </c>
      <c r="L180" s="2">
        <v>0.375</v>
      </c>
      <c r="M180" s="2">
        <v>0.75</v>
      </c>
      <c r="N180">
        <v>8</v>
      </c>
      <c r="O180">
        <v>0</v>
      </c>
      <c r="P180" t="s">
        <v>32</v>
      </c>
      <c r="R180">
        <v>3</v>
      </c>
      <c r="S180" t="s">
        <v>45</v>
      </c>
      <c r="T180" t="s">
        <v>93</v>
      </c>
      <c r="U180" t="s">
        <v>55</v>
      </c>
      <c r="V180" t="s">
        <v>69</v>
      </c>
      <c r="W180">
        <f>_xlfn.XLOOKUP(F180,tblEmployee[Employee_ID],tblEmployee[Age],"Not Found")</f>
        <v>31</v>
      </c>
      <c r="X180" t="str">
        <f>_xlfn.XLOOKUP(F180,tblEmployee[Employee_ID],tblEmployee[Gender],"Not Found")</f>
        <v>Male</v>
      </c>
      <c r="Y180">
        <f>_xlfn.XLOOKUP(F180,tblEmployee[Employee_ID],tblEmployee[Joining_Date],"")</f>
        <v>44119</v>
      </c>
      <c r="Z180">
        <f>_xlfn.XLOOKUP(H180,tblDepartment[Department],tblDepartment[Annual_Budget_INR],"")</f>
        <v>18000000</v>
      </c>
      <c r="AA180" t="str">
        <f>_xlfn.XLOOKUP(H180,tblDepartment[Department],tblDepartment[Monthly_Target],"")</f>
        <v>&lt;30 Days Hiring Cycle</v>
      </c>
      <c r="AB180">
        <f>_xlfn.XLOOKUP(H180,tblDepartment[Department],tblDepartment[Average_Salary_INR],"")</f>
        <v>560000</v>
      </c>
      <c r="AC180" t="str">
        <f>_xlfn.XLOOKUP(H180,tblDepartment[Department],tblDepartment[Priority_Level],"")</f>
        <v>Medium</v>
      </c>
      <c r="AD180" t="str">
        <f>_xlfn.XLOOKUP(H180,tblDepartment[Department],tblDepartment[Key_KPI],"")</f>
        <v>Hiring &amp; Retention</v>
      </c>
      <c r="AE180">
        <f>_xlfn.XLOOKUP(tblMaster[[#This Row],[Shift]],tblShift[Shift_Name],tblShift[Login_Time],"")</f>
        <v>0.375</v>
      </c>
      <c r="AF180">
        <f>_xlfn.XLOOKUP(tblMaster[[#This Row],[Shift]],tblShift[Shift_Name],tblShift[Logout_Time]," ")</f>
        <v>0.75</v>
      </c>
      <c r="AG180">
        <f>_xlfn.XLOOKUP(tblMaster[[#This Row],[Shift]],tblShift[Shift_Name],tblShift[Standard_Working_Hours],"")</f>
        <v>8</v>
      </c>
      <c r="AH180" t="str">
        <f>_xlfn.XLOOKUP(tblMaster[[#This Row],[Attendance_Date]],tblHoliday[Holiday_Date],tblHoliday[Holiday_Name],"Working Day")</f>
        <v>Working Day</v>
      </c>
      <c r="AI180" t="str">
        <f>_xlfn.XLOOKUP(tblMaster[[#This Row],[Attendance_Date]],tblHoliday[Holiday_Date],tblHoliday[Holiday_Type],"Working Day ")</f>
        <v xml:space="preserve">Working Day </v>
      </c>
    </row>
    <row r="181" spans="1:35" hidden="1" x14ac:dyDescent="0.3">
      <c r="A181" t="s">
        <v>365</v>
      </c>
      <c r="B181" s="3">
        <v>45678</v>
      </c>
      <c r="C181" t="s">
        <v>49</v>
      </c>
      <c r="D181" t="s">
        <v>50</v>
      </c>
      <c r="E181" t="s">
        <v>87</v>
      </c>
      <c r="F181" t="s">
        <v>62</v>
      </c>
      <c r="G181" t="s">
        <v>63</v>
      </c>
      <c r="H181" t="s">
        <v>64</v>
      </c>
      <c r="I181" t="s">
        <v>65</v>
      </c>
      <c r="J181" t="s">
        <v>66</v>
      </c>
      <c r="K181" t="s">
        <v>31</v>
      </c>
      <c r="L181" s="2">
        <v>0.375</v>
      </c>
      <c r="M181" s="2">
        <v>0.75</v>
      </c>
      <c r="N181">
        <v>10</v>
      </c>
      <c r="O181">
        <v>2</v>
      </c>
      <c r="P181" t="s">
        <v>32</v>
      </c>
      <c r="R181">
        <v>4</v>
      </c>
      <c r="S181" t="s">
        <v>45</v>
      </c>
      <c r="T181" t="s">
        <v>68</v>
      </c>
      <c r="U181" t="s">
        <v>47</v>
      </c>
      <c r="V181" t="s">
        <v>60</v>
      </c>
      <c r="W181">
        <f>_xlfn.XLOOKUP(F181,tblEmployee[Employee_ID],tblEmployee[Age],"Not Found")</f>
        <v>23</v>
      </c>
      <c r="X181" t="str">
        <f>_xlfn.XLOOKUP(F181,tblEmployee[Employee_ID],tblEmployee[Gender],"Not Found")</f>
        <v>Male</v>
      </c>
      <c r="Y181">
        <f>_xlfn.XLOOKUP(F181,tblEmployee[Employee_ID],tblEmployee[Joining_Date],"")</f>
        <v>43511</v>
      </c>
      <c r="Z181">
        <f>_xlfn.XLOOKUP(H181,tblDepartment[Department],tblDepartment[Annual_Budget_INR],"")</f>
        <v>85000000</v>
      </c>
      <c r="AA181" t="str">
        <f>_xlfn.XLOOKUP(H181,tblDepartment[Department],tblDepartment[Monthly_Target],"")</f>
        <v>99.5% System Uptime</v>
      </c>
      <c r="AB181">
        <f>_xlfn.XLOOKUP(H181,tblDepartment[Department],tblDepartment[Average_Salary_INR],"")</f>
        <v>720000</v>
      </c>
      <c r="AC181" t="str">
        <f>_xlfn.XLOOKUP(H181,tblDepartment[Department],tblDepartment[Priority_Level],"")</f>
        <v>High</v>
      </c>
      <c r="AD181" t="str">
        <f>_xlfn.XLOOKUP(H181,tblDepartment[Department],tblDepartment[Key_KPI],"")</f>
        <v>Project Delivery</v>
      </c>
      <c r="AE181">
        <f>_xlfn.XLOOKUP(tblMaster[[#This Row],[Shift]],tblShift[Shift_Name],tblShift[Login_Time],"")</f>
        <v>0.25</v>
      </c>
      <c r="AF181">
        <f>_xlfn.XLOOKUP(tblMaster[[#This Row],[Shift]],tblShift[Shift_Name],tblShift[Logout_Time]," ")</f>
        <v>0.625</v>
      </c>
      <c r="AG181">
        <f>_xlfn.XLOOKUP(tblMaster[[#This Row],[Shift]],tblShift[Shift_Name],tblShift[Standard_Working_Hours],"")</f>
        <v>8</v>
      </c>
      <c r="AH181" t="str">
        <f>_xlfn.XLOOKUP(tblMaster[[#This Row],[Attendance_Date]],tblHoliday[Holiday_Date],tblHoliday[Holiday_Name],"Working Day")</f>
        <v>Working Day</v>
      </c>
      <c r="AI181" t="str">
        <f>_xlfn.XLOOKUP(tblMaster[[#This Row],[Attendance_Date]],tblHoliday[Holiday_Date],tblHoliday[Holiday_Type],"Working Day ")</f>
        <v xml:space="preserve">Working Day </v>
      </c>
    </row>
    <row r="182" spans="1:35" hidden="1" x14ac:dyDescent="0.3">
      <c r="A182" t="s">
        <v>366</v>
      </c>
      <c r="B182" s="1">
        <v>45769</v>
      </c>
      <c r="C182" t="s">
        <v>37</v>
      </c>
      <c r="D182" t="s">
        <v>24</v>
      </c>
      <c r="E182" t="s">
        <v>87</v>
      </c>
      <c r="F182" t="s">
        <v>247</v>
      </c>
      <c r="G182" t="s">
        <v>248</v>
      </c>
      <c r="H182" t="s">
        <v>64</v>
      </c>
      <c r="I182" t="s">
        <v>65</v>
      </c>
      <c r="J182" t="s">
        <v>66</v>
      </c>
      <c r="K182" t="s">
        <v>44</v>
      </c>
      <c r="M182" s="2">
        <v>0.75</v>
      </c>
      <c r="N182">
        <v>8.5</v>
      </c>
      <c r="O182">
        <v>0.5</v>
      </c>
      <c r="P182" t="s">
        <v>32</v>
      </c>
      <c r="R182">
        <v>4</v>
      </c>
      <c r="S182" t="s">
        <v>92</v>
      </c>
      <c r="T182" t="s">
        <v>68</v>
      </c>
      <c r="U182" t="s">
        <v>55</v>
      </c>
      <c r="V182" t="s">
        <v>69</v>
      </c>
      <c r="W182">
        <f>_xlfn.XLOOKUP(F182,tblEmployee[Employee_ID],tblEmployee[Age],"Not Found")</f>
        <v>22</v>
      </c>
      <c r="X182" t="str">
        <f>_xlfn.XLOOKUP(F182,tblEmployee[Employee_ID],tblEmployee[Gender],"Not Found")</f>
        <v>Male</v>
      </c>
      <c r="Y182">
        <f>_xlfn.XLOOKUP(F182,tblEmployee[Employee_ID],tblEmployee[Joining_Date],"")</f>
        <v>43480</v>
      </c>
      <c r="Z182">
        <f>_xlfn.XLOOKUP(H182,tblDepartment[Department],tblDepartment[Annual_Budget_INR],"")</f>
        <v>85000000</v>
      </c>
      <c r="AA182" t="str">
        <f>_xlfn.XLOOKUP(H182,tblDepartment[Department],tblDepartment[Monthly_Target],"")</f>
        <v>99.5% System Uptime</v>
      </c>
      <c r="AB182">
        <f>_xlfn.XLOOKUP(H182,tblDepartment[Department],tblDepartment[Average_Salary_INR],"")</f>
        <v>720000</v>
      </c>
      <c r="AC182" t="str">
        <f>_xlfn.XLOOKUP(H182,tblDepartment[Department],tblDepartment[Priority_Level],"")</f>
        <v>High</v>
      </c>
      <c r="AD182" t="str">
        <f>_xlfn.XLOOKUP(H182,tblDepartment[Department],tblDepartment[Key_KPI],"")</f>
        <v>Project Delivery</v>
      </c>
      <c r="AE182">
        <f>_xlfn.XLOOKUP(tblMaster[[#This Row],[Shift]],tblShift[Shift_Name],tblShift[Login_Time],"")</f>
        <v>0.41666666666666669</v>
      </c>
      <c r="AF182">
        <f>_xlfn.XLOOKUP(tblMaster[[#This Row],[Shift]],tblShift[Shift_Name],tblShift[Logout_Time]," ")</f>
        <v>0.79166666666666663</v>
      </c>
      <c r="AG182">
        <f>_xlfn.XLOOKUP(tblMaster[[#This Row],[Shift]],tblShift[Shift_Name],tblShift[Standard_Working_Hours],"")</f>
        <v>8</v>
      </c>
      <c r="AH182" t="str">
        <f>_xlfn.XLOOKUP(tblMaster[[#This Row],[Attendance_Date]],tblHoliday[Holiday_Date],tblHoliday[Holiday_Name],"Working Day")</f>
        <v>Working Day</v>
      </c>
      <c r="AI182" t="str">
        <f>_xlfn.XLOOKUP(tblMaster[[#This Row],[Attendance_Date]],tblHoliday[Holiday_Date],tblHoliday[Holiday_Type],"Working Day ")</f>
        <v xml:space="preserve">Working Day </v>
      </c>
    </row>
    <row r="183" spans="1:35" hidden="1" x14ac:dyDescent="0.3">
      <c r="A183" t="s">
        <v>367</v>
      </c>
      <c r="B183" s="3">
        <v>45726</v>
      </c>
      <c r="C183" t="s">
        <v>71</v>
      </c>
      <c r="D183" t="s">
        <v>50</v>
      </c>
      <c r="E183" t="s">
        <v>109</v>
      </c>
      <c r="F183" t="s">
        <v>231</v>
      </c>
      <c r="G183" t="s">
        <v>232</v>
      </c>
      <c r="H183" t="s">
        <v>98</v>
      </c>
      <c r="I183" t="s">
        <v>99</v>
      </c>
      <c r="J183" t="s">
        <v>74</v>
      </c>
      <c r="K183" t="s">
        <v>75</v>
      </c>
      <c r="L183" s="2">
        <v>0.375</v>
      </c>
      <c r="M183" s="2">
        <v>0.75</v>
      </c>
      <c r="N183">
        <v>8</v>
      </c>
      <c r="O183">
        <v>0</v>
      </c>
      <c r="P183" t="s">
        <v>32</v>
      </c>
      <c r="R183">
        <v>4</v>
      </c>
      <c r="S183" t="s">
        <v>33</v>
      </c>
      <c r="T183" t="s">
        <v>101</v>
      </c>
      <c r="U183" t="s">
        <v>85</v>
      </c>
      <c r="V183" t="s">
        <v>60</v>
      </c>
      <c r="W183">
        <f>_xlfn.XLOOKUP(F183,tblEmployee[Employee_ID],tblEmployee[Age],"Not Found")</f>
        <v>31</v>
      </c>
      <c r="X183" t="str">
        <f>_xlfn.XLOOKUP(F183,tblEmployee[Employee_ID],tblEmployee[Gender],"Not Found")</f>
        <v>Male</v>
      </c>
      <c r="Y183">
        <f>_xlfn.XLOOKUP(F183,tblEmployee[Employee_ID],tblEmployee[Joining_Date],"")</f>
        <v>45397</v>
      </c>
      <c r="Z183">
        <f>_xlfn.XLOOKUP(H183,tblDepartment[Department],tblDepartment[Annual_Budget_INR],"")</f>
        <v>22000000</v>
      </c>
      <c r="AA183" t="str">
        <f>_xlfn.XLOOKUP(H183,tblDepartment[Department],tblDepartment[Monthly_Target],"")</f>
        <v>2500 Qualified Leads</v>
      </c>
      <c r="AB183">
        <f>_xlfn.XLOOKUP(H183,tblDepartment[Department],tblDepartment[Average_Salary_INR],"")</f>
        <v>590000</v>
      </c>
      <c r="AC183" t="str">
        <f>_xlfn.XLOOKUP(H183,tblDepartment[Department],tblDepartment[Priority_Level],"")</f>
        <v>Medium</v>
      </c>
      <c r="AD183" t="str">
        <f>_xlfn.XLOOKUP(H183,tblDepartment[Department],tblDepartment[Key_KPI],"")</f>
        <v>Lead Generation</v>
      </c>
      <c r="AE183">
        <f>_xlfn.XLOOKUP(tblMaster[[#This Row],[Shift]],tblShift[Shift_Name],tblShift[Login_Time],"")</f>
        <v>0.375</v>
      </c>
      <c r="AF183">
        <f>_xlfn.XLOOKUP(tblMaster[[#This Row],[Shift]],tblShift[Shift_Name],tblShift[Logout_Time]," ")</f>
        <v>0.75</v>
      </c>
      <c r="AG183">
        <f>_xlfn.XLOOKUP(tblMaster[[#This Row],[Shift]],tblShift[Shift_Name],tblShift[Standard_Working_Hours],"")</f>
        <v>8</v>
      </c>
      <c r="AH183" t="str">
        <f>_xlfn.XLOOKUP(tblMaster[[#This Row],[Attendance_Date]],tblHoliday[Holiday_Date],tblHoliday[Holiday_Name],"Working Day")</f>
        <v>Working Day</v>
      </c>
      <c r="AI183" t="str">
        <f>_xlfn.XLOOKUP(tblMaster[[#This Row],[Attendance_Date]],tblHoliday[Holiday_Date],tblHoliday[Holiday_Type],"Working Day ")</f>
        <v xml:space="preserve">Working Day </v>
      </c>
    </row>
    <row r="184" spans="1:35" hidden="1" x14ac:dyDescent="0.3">
      <c r="A184" t="s">
        <v>368</v>
      </c>
      <c r="B184" s="1">
        <v>45810</v>
      </c>
      <c r="C184" t="s">
        <v>23</v>
      </c>
      <c r="D184" t="s">
        <v>24</v>
      </c>
      <c r="E184" t="s">
        <v>109</v>
      </c>
      <c r="F184" t="s">
        <v>170</v>
      </c>
      <c r="G184" t="s">
        <v>171</v>
      </c>
      <c r="H184" t="s">
        <v>64</v>
      </c>
      <c r="I184" t="s">
        <v>65</v>
      </c>
      <c r="J184" t="s">
        <v>43</v>
      </c>
      <c r="K184" t="s">
        <v>31</v>
      </c>
      <c r="P184" t="s">
        <v>135</v>
      </c>
      <c r="S184" t="s">
        <v>67</v>
      </c>
      <c r="T184" t="s">
        <v>68</v>
      </c>
      <c r="U184" t="s">
        <v>55</v>
      </c>
      <c r="V184" t="s">
        <v>35</v>
      </c>
      <c r="W184">
        <f>_xlfn.XLOOKUP(F184,tblEmployee[Employee_ID],tblEmployee[Age],"Not Found")</f>
        <v>36</v>
      </c>
      <c r="X184" t="str">
        <f>_xlfn.XLOOKUP(F184,tblEmployee[Employee_ID],tblEmployee[Gender],"Not Found")</f>
        <v>Female</v>
      </c>
      <c r="Y184">
        <f>_xlfn.XLOOKUP(F184,tblEmployee[Employee_ID],tblEmployee[Joining_Date],"")</f>
        <v>43539</v>
      </c>
      <c r="Z184">
        <f>_xlfn.XLOOKUP(H184,tblDepartment[Department],tblDepartment[Annual_Budget_INR],"")</f>
        <v>85000000</v>
      </c>
      <c r="AA184" t="str">
        <f>_xlfn.XLOOKUP(H184,tblDepartment[Department],tblDepartment[Monthly_Target],"")</f>
        <v>99.5% System Uptime</v>
      </c>
      <c r="AB184">
        <f>_xlfn.XLOOKUP(H184,tblDepartment[Department],tblDepartment[Average_Salary_INR],"")</f>
        <v>720000</v>
      </c>
      <c r="AC184" t="str">
        <f>_xlfn.XLOOKUP(H184,tblDepartment[Department],tblDepartment[Priority_Level],"")</f>
        <v>High</v>
      </c>
      <c r="AD184" t="str">
        <f>_xlfn.XLOOKUP(H184,tblDepartment[Department],tblDepartment[Key_KPI],"")</f>
        <v>Project Delivery</v>
      </c>
      <c r="AE184">
        <f>_xlfn.XLOOKUP(tblMaster[[#This Row],[Shift]],tblShift[Shift_Name],tblShift[Login_Time],"")</f>
        <v>0.25</v>
      </c>
      <c r="AF184">
        <f>_xlfn.XLOOKUP(tblMaster[[#This Row],[Shift]],tblShift[Shift_Name],tblShift[Logout_Time]," ")</f>
        <v>0.625</v>
      </c>
      <c r="AG184">
        <f>_xlfn.XLOOKUP(tblMaster[[#This Row],[Shift]],tblShift[Shift_Name],tblShift[Standard_Working_Hours],"")</f>
        <v>8</v>
      </c>
      <c r="AH184" t="str">
        <f>_xlfn.XLOOKUP(tblMaster[[#This Row],[Attendance_Date]],tblHoliday[Holiday_Date],tblHoliday[Holiday_Name],"Working Day")</f>
        <v>Working Day</v>
      </c>
      <c r="AI184" t="str">
        <f>_xlfn.XLOOKUP(tblMaster[[#This Row],[Attendance_Date]],tblHoliday[Holiday_Date],tblHoliday[Holiday_Type],"Working Day ")</f>
        <v xml:space="preserve">Working Day </v>
      </c>
    </row>
    <row r="185" spans="1:35" hidden="1" x14ac:dyDescent="0.3">
      <c r="A185" t="s">
        <v>369</v>
      </c>
      <c r="B185" s="3">
        <v>45679</v>
      </c>
      <c r="C185" t="s">
        <v>49</v>
      </c>
      <c r="D185" t="s">
        <v>50</v>
      </c>
      <c r="E185" t="s">
        <v>51</v>
      </c>
      <c r="F185" t="s">
        <v>305</v>
      </c>
      <c r="G185" t="s">
        <v>306</v>
      </c>
      <c r="H185" t="s">
        <v>79</v>
      </c>
      <c r="I185" t="s">
        <v>80</v>
      </c>
      <c r="J185" t="s">
        <v>74</v>
      </c>
      <c r="K185" t="s">
        <v>31</v>
      </c>
      <c r="L185" s="2">
        <v>0.375</v>
      </c>
      <c r="M185" s="2">
        <v>0.75</v>
      </c>
      <c r="N185">
        <v>8</v>
      </c>
      <c r="O185">
        <v>0</v>
      </c>
      <c r="P185" t="s">
        <v>32</v>
      </c>
      <c r="R185">
        <v>3</v>
      </c>
      <c r="S185" t="s">
        <v>92</v>
      </c>
      <c r="T185" t="s">
        <v>84</v>
      </c>
      <c r="U185" t="s">
        <v>85</v>
      </c>
      <c r="V185" t="s">
        <v>35</v>
      </c>
      <c r="W185">
        <f>_xlfn.XLOOKUP(F185,tblEmployee[Employee_ID],tblEmployee[Age],"Not Found")</f>
        <v>36</v>
      </c>
      <c r="X185" t="str">
        <f>_xlfn.XLOOKUP(F185,tblEmployee[Employee_ID],tblEmployee[Gender],"Not Found")</f>
        <v>Female</v>
      </c>
      <c r="Y185">
        <f>_xlfn.XLOOKUP(F185,tblEmployee[Employee_ID],tblEmployee[Joining_Date],"")</f>
        <v>44819</v>
      </c>
      <c r="Z185">
        <f>_xlfn.XLOOKUP(H185,tblDepartment[Department],tblDepartment[Annual_Budget_INR],"")</f>
        <v>26000000</v>
      </c>
      <c r="AA185" t="str">
        <f>_xlfn.XLOOKUP(H185,tblDepartment[Department],tblDepartment[Monthly_Target],"")</f>
        <v>100% Payroll Accuracy</v>
      </c>
      <c r="AB185">
        <f>_xlfn.XLOOKUP(H185,tblDepartment[Department],tblDepartment[Average_Salary_INR],"")</f>
        <v>640000</v>
      </c>
      <c r="AC185" t="str">
        <f>_xlfn.XLOOKUP(H185,tblDepartment[Department],tblDepartment[Priority_Level],"")</f>
        <v>High</v>
      </c>
      <c r="AD185" t="str">
        <f>_xlfn.XLOOKUP(H185,tblDepartment[Department],tblDepartment[Key_KPI],"")</f>
        <v>Financial Compliance</v>
      </c>
      <c r="AE185">
        <f>_xlfn.XLOOKUP(tblMaster[[#This Row],[Shift]],tblShift[Shift_Name],tblShift[Login_Time],"")</f>
        <v>0.25</v>
      </c>
      <c r="AF185">
        <f>_xlfn.XLOOKUP(tblMaster[[#This Row],[Shift]],tblShift[Shift_Name],tblShift[Logout_Time]," ")</f>
        <v>0.625</v>
      </c>
      <c r="AG185">
        <f>_xlfn.XLOOKUP(tblMaster[[#This Row],[Shift]],tblShift[Shift_Name],tblShift[Standard_Working_Hours],"")</f>
        <v>8</v>
      </c>
      <c r="AH185" t="str">
        <f>_xlfn.XLOOKUP(tblMaster[[#This Row],[Attendance_Date]],tblHoliday[Holiday_Date],tblHoliday[Holiday_Name],"Working Day")</f>
        <v>Working Day</v>
      </c>
      <c r="AI185" t="str">
        <f>_xlfn.XLOOKUP(tblMaster[[#This Row],[Attendance_Date]],tblHoliday[Holiday_Date],tblHoliday[Holiday_Type],"Working Day ")</f>
        <v xml:space="preserve">Working Day </v>
      </c>
    </row>
    <row r="186" spans="1:35" hidden="1" x14ac:dyDescent="0.3">
      <c r="A186" t="s">
        <v>370</v>
      </c>
      <c r="B186" s="3">
        <v>45720</v>
      </c>
      <c r="C186" t="s">
        <v>71</v>
      </c>
      <c r="D186" t="s">
        <v>50</v>
      </c>
      <c r="E186" t="s">
        <v>87</v>
      </c>
      <c r="F186" t="s">
        <v>77</v>
      </c>
      <c r="G186" t="s">
        <v>78</v>
      </c>
      <c r="H186" t="s">
        <v>79</v>
      </c>
      <c r="I186" t="s">
        <v>80</v>
      </c>
      <c r="J186" t="s">
        <v>30</v>
      </c>
      <c r="K186" t="s">
        <v>44</v>
      </c>
      <c r="L186" s="2">
        <v>0.375</v>
      </c>
      <c r="M186" s="2">
        <v>0.75</v>
      </c>
      <c r="N186">
        <v>8</v>
      </c>
      <c r="O186">
        <v>0</v>
      </c>
      <c r="P186" t="s">
        <v>32</v>
      </c>
      <c r="R186">
        <v>4</v>
      </c>
      <c r="S186" t="s">
        <v>45</v>
      </c>
      <c r="T186" t="s">
        <v>84</v>
      </c>
      <c r="U186" t="s">
        <v>85</v>
      </c>
      <c r="V186" t="s">
        <v>69</v>
      </c>
      <c r="W186">
        <f>_xlfn.XLOOKUP(F186,tblEmployee[Employee_ID],tblEmployee[Age],"Not Found")</f>
        <v>26</v>
      </c>
      <c r="X186" t="str">
        <f>_xlfn.XLOOKUP(F186,tblEmployee[Employee_ID],tblEmployee[Gender],"Not Found")</f>
        <v>Female</v>
      </c>
      <c r="Y186">
        <f>_xlfn.XLOOKUP(F186,tblEmployee[Employee_ID],tblEmployee[Joining_Date],"")</f>
        <v>44696</v>
      </c>
      <c r="Z186">
        <f>_xlfn.XLOOKUP(H186,tblDepartment[Department],tblDepartment[Annual_Budget_INR],"")</f>
        <v>26000000</v>
      </c>
      <c r="AA186" t="str">
        <f>_xlfn.XLOOKUP(H186,tblDepartment[Department],tblDepartment[Monthly_Target],"")</f>
        <v>100% Payroll Accuracy</v>
      </c>
      <c r="AB186">
        <f>_xlfn.XLOOKUP(H186,tblDepartment[Department],tblDepartment[Average_Salary_INR],"")</f>
        <v>640000</v>
      </c>
      <c r="AC186" t="str">
        <f>_xlfn.XLOOKUP(H186,tblDepartment[Department],tblDepartment[Priority_Level],"")</f>
        <v>High</v>
      </c>
      <c r="AD186" t="str">
        <f>_xlfn.XLOOKUP(H186,tblDepartment[Department],tblDepartment[Key_KPI],"")</f>
        <v>Financial Compliance</v>
      </c>
      <c r="AE186">
        <f>_xlfn.XLOOKUP(tblMaster[[#This Row],[Shift]],tblShift[Shift_Name],tblShift[Login_Time],"")</f>
        <v>0.41666666666666669</v>
      </c>
      <c r="AF186">
        <f>_xlfn.XLOOKUP(tblMaster[[#This Row],[Shift]],tblShift[Shift_Name],tblShift[Logout_Time]," ")</f>
        <v>0.79166666666666663</v>
      </c>
      <c r="AG186">
        <f>_xlfn.XLOOKUP(tblMaster[[#This Row],[Shift]],tblShift[Shift_Name],tblShift[Standard_Working_Hours],"")</f>
        <v>8</v>
      </c>
      <c r="AH186" t="str">
        <f>_xlfn.XLOOKUP(tblMaster[[#This Row],[Attendance_Date]],tblHoliday[Holiday_Date],tblHoliday[Holiday_Name],"Working Day")</f>
        <v>Working Day</v>
      </c>
      <c r="AI186" t="str">
        <f>_xlfn.XLOOKUP(tblMaster[[#This Row],[Attendance_Date]],tblHoliday[Holiday_Date],tblHoliday[Holiday_Type],"Working Day ")</f>
        <v xml:space="preserve">Working Day </v>
      </c>
    </row>
    <row r="187" spans="1:35" hidden="1" x14ac:dyDescent="0.3">
      <c r="A187" t="s">
        <v>371</v>
      </c>
      <c r="B187" s="3">
        <v>45784</v>
      </c>
      <c r="C187" t="s">
        <v>57</v>
      </c>
      <c r="D187" t="s">
        <v>24</v>
      </c>
      <c r="E187" t="s">
        <v>51</v>
      </c>
      <c r="F187" t="s">
        <v>148</v>
      </c>
      <c r="G187" t="s">
        <v>149</v>
      </c>
      <c r="H187" t="s">
        <v>112</v>
      </c>
      <c r="I187" t="s">
        <v>113</v>
      </c>
      <c r="J187" t="s">
        <v>43</v>
      </c>
      <c r="K187" t="s">
        <v>54</v>
      </c>
      <c r="P187" t="s">
        <v>82</v>
      </c>
      <c r="Q187" t="s">
        <v>122</v>
      </c>
      <c r="S187" t="s">
        <v>92</v>
      </c>
      <c r="T187" t="s">
        <v>114</v>
      </c>
      <c r="U187" t="s">
        <v>55</v>
      </c>
      <c r="W187">
        <f>_xlfn.XLOOKUP(F187,tblEmployee[Employee_ID],tblEmployee[Age],"Not Found")</f>
        <v>31</v>
      </c>
      <c r="X187" t="str">
        <f>_xlfn.XLOOKUP(F187,tblEmployee[Employee_ID],tblEmployee[Gender],"Not Found")</f>
        <v>Male</v>
      </c>
      <c r="Y187">
        <f>_xlfn.XLOOKUP(F187,tblEmployee[Employee_ID],tblEmployee[Joining_Date],"")</f>
        <v>44484</v>
      </c>
      <c r="Z187">
        <f>_xlfn.XLOOKUP(H187,tblDepartment[Department],tblDepartment[Annual_Budget_INR],"")</f>
        <v>42000000</v>
      </c>
      <c r="AA187" t="str">
        <f>_xlfn.XLOOKUP(H187,tblDepartment[Department],tblDepartment[Monthly_Target],"")</f>
        <v>₹2.5 Cr Monthly Sales</v>
      </c>
      <c r="AB187">
        <f>_xlfn.XLOOKUP(H187,tblDepartment[Department],tblDepartment[Average_Salary_INR],"")</f>
        <v>680000</v>
      </c>
      <c r="AC187" t="str">
        <f>_xlfn.XLOOKUP(H187,tblDepartment[Department],tblDepartment[Priority_Level],"")</f>
        <v>High</v>
      </c>
      <c r="AD187" t="str">
        <f>_xlfn.XLOOKUP(H187,tblDepartment[Department],tblDepartment[Key_KPI],"")</f>
        <v>Revenue Achievement</v>
      </c>
      <c r="AE187">
        <f>_xlfn.XLOOKUP(tblMaster[[#This Row],[Shift]],tblShift[Shift_Name],tblShift[Login_Time],"")</f>
        <v>0.58333333333333337</v>
      </c>
      <c r="AF187">
        <f>_xlfn.XLOOKUP(tblMaster[[#This Row],[Shift]],tblShift[Shift_Name],tblShift[Logout_Time]," ")</f>
        <v>0.95833333333333337</v>
      </c>
      <c r="AG187">
        <f>_xlfn.XLOOKUP(tblMaster[[#This Row],[Shift]],tblShift[Shift_Name],tblShift[Standard_Working_Hours],"")</f>
        <v>8</v>
      </c>
      <c r="AH187" t="str">
        <f>_xlfn.XLOOKUP(tblMaster[[#This Row],[Attendance_Date]],tblHoliday[Holiday_Date],tblHoliday[Holiday_Name],"Working Day")</f>
        <v>Working Day</v>
      </c>
      <c r="AI187" t="str">
        <f>_xlfn.XLOOKUP(tblMaster[[#This Row],[Attendance_Date]],tblHoliday[Holiday_Date],tblHoliday[Holiday_Type],"Working Day ")</f>
        <v xml:space="preserve">Working Day </v>
      </c>
    </row>
    <row r="188" spans="1:35" hidden="1" x14ac:dyDescent="0.3">
      <c r="A188" t="s">
        <v>372</v>
      </c>
      <c r="B188" s="1">
        <v>45679</v>
      </c>
      <c r="C188" t="s">
        <v>49</v>
      </c>
      <c r="D188" t="s">
        <v>50</v>
      </c>
      <c r="E188" t="s">
        <v>51</v>
      </c>
      <c r="F188" t="s">
        <v>240</v>
      </c>
      <c r="G188" t="s">
        <v>241</v>
      </c>
      <c r="H188" t="s">
        <v>41</v>
      </c>
      <c r="I188" t="s">
        <v>42</v>
      </c>
      <c r="J188" t="s">
        <v>66</v>
      </c>
      <c r="K188" t="s">
        <v>31</v>
      </c>
      <c r="L188" s="2">
        <v>0.375</v>
      </c>
      <c r="M188" s="2">
        <v>0.75</v>
      </c>
      <c r="N188">
        <v>8</v>
      </c>
      <c r="O188">
        <v>0</v>
      </c>
      <c r="P188" t="s">
        <v>32</v>
      </c>
      <c r="R188">
        <v>4</v>
      </c>
      <c r="S188" t="s">
        <v>45</v>
      </c>
      <c r="T188" t="s">
        <v>46</v>
      </c>
      <c r="U188" t="s">
        <v>55</v>
      </c>
      <c r="V188" t="s">
        <v>69</v>
      </c>
      <c r="W188">
        <f>_xlfn.XLOOKUP(F188,tblEmployee[Employee_ID],tblEmployee[Age],"Not Found")</f>
        <v>30</v>
      </c>
      <c r="X188" t="str">
        <f>_xlfn.XLOOKUP(F188,tblEmployee[Employee_ID],tblEmployee[Gender],"Not Found")</f>
        <v>Female</v>
      </c>
      <c r="Y188">
        <f>_xlfn.XLOOKUP(F188,tblEmployee[Employee_ID],tblEmployee[Joining_Date],"")</f>
        <v>45000</v>
      </c>
      <c r="Z188">
        <f>_xlfn.XLOOKUP(H188,tblDepartment[Department],tblDepartment[Annual_Budget_INR],"")</f>
        <v>34000000</v>
      </c>
      <c r="AA188" t="str">
        <f>_xlfn.XLOOKUP(H188,tblDepartment[Department],tblDepartment[Monthly_Target],"")</f>
        <v>95% Process Efficiency</v>
      </c>
      <c r="AB188">
        <f>_xlfn.XLOOKUP(H188,tblDepartment[Department],tblDepartment[Average_Salary_INR],"")</f>
        <v>610000</v>
      </c>
      <c r="AC188" t="str">
        <f>_xlfn.XLOOKUP(H188,tblDepartment[Department],tblDepartment[Priority_Level],"")</f>
        <v>High</v>
      </c>
      <c r="AD188" t="str">
        <f>_xlfn.XLOOKUP(H188,tblDepartment[Department],tblDepartment[Key_KPI],"")</f>
        <v>Operational Efficiency</v>
      </c>
      <c r="AE188">
        <f>_xlfn.XLOOKUP(tblMaster[[#This Row],[Shift]],tblShift[Shift_Name],tblShift[Login_Time],"")</f>
        <v>0.25</v>
      </c>
      <c r="AF188">
        <f>_xlfn.XLOOKUP(tblMaster[[#This Row],[Shift]],tblShift[Shift_Name],tblShift[Logout_Time]," ")</f>
        <v>0.625</v>
      </c>
      <c r="AG188">
        <f>_xlfn.XLOOKUP(tblMaster[[#This Row],[Shift]],tblShift[Shift_Name],tblShift[Standard_Working_Hours],"")</f>
        <v>8</v>
      </c>
      <c r="AH188" t="str">
        <f>_xlfn.XLOOKUP(tblMaster[[#This Row],[Attendance_Date]],tblHoliday[Holiday_Date],tblHoliday[Holiday_Name],"Working Day")</f>
        <v>Working Day</v>
      </c>
      <c r="AI188" t="str">
        <f>_xlfn.XLOOKUP(tblMaster[[#This Row],[Attendance_Date]],tblHoliday[Holiday_Date],tblHoliday[Holiday_Type],"Working Day ")</f>
        <v xml:space="preserve">Working Day </v>
      </c>
    </row>
    <row r="189" spans="1:35" x14ac:dyDescent="0.3">
      <c r="A189" t="s">
        <v>373</v>
      </c>
      <c r="B189" s="3">
        <v>45670</v>
      </c>
      <c r="C189" t="s">
        <v>49</v>
      </c>
      <c r="D189" t="s">
        <v>50</v>
      </c>
      <c r="E189" t="s">
        <v>109</v>
      </c>
      <c r="F189" t="s">
        <v>142</v>
      </c>
      <c r="G189" t="s">
        <v>143</v>
      </c>
      <c r="H189" t="s">
        <v>64</v>
      </c>
      <c r="I189" t="s">
        <v>65</v>
      </c>
      <c r="J189" t="s">
        <v>43</v>
      </c>
      <c r="K189" t="s">
        <v>54</v>
      </c>
      <c r="L189" s="2">
        <v>0.375</v>
      </c>
      <c r="M189" s="2">
        <v>0.75</v>
      </c>
      <c r="N189">
        <v>9</v>
      </c>
      <c r="O189">
        <v>1</v>
      </c>
      <c r="P189" t="s">
        <v>32</v>
      </c>
      <c r="R189">
        <v>5</v>
      </c>
      <c r="S189" t="s">
        <v>67</v>
      </c>
      <c r="T189" t="s">
        <v>68</v>
      </c>
      <c r="U189" t="str">
        <f>_xlfn.XLOOKUP(tblMaster[[#This Row],[Employee_ID]],tblEmployee[Employee_ID],tblEmployee[Work_Mode]," ")</f>
        <v>Office</v>
      </c>
      <c r="W189">
        <f>_xlfn.XLOOKUP(F189,tblEmployee[Employee_ID],tblEmployee[Age],"Not Found")</f>
        <v>37</v>
      </c>
      <c r="X189" t="str">
        <f>_xlfn.XLOOKUP(F189,tblEmployee[Employee_ID],tblEmployee[Gender],"Not Found")</f>
        <v>Male</v>
      </c>
      <c r="Y189">
        <f>_xlfn.XLOOKUP(F189,tblEmployee[Employee_ID],tblEmployee[Joining_Date],"")</f>
        <v>43570</v>
      </c>
      <c r="Z189">
        <f>_xlfn.XLOOKUP(H189,tblDepartment[Department],tblDepartment[Annual_Budget_INR],"")</f>
        <v>85000000</v>
      </c>
      <c r="AA189" t="str">
        <f>_xlfn.XLOOKUP(H189,tblDepartment[Department],tblDepartment[Monthly_Target],"")</f>
        <v>99.5% System Uptime</v>
      </c>
      <c r="AB189">
        <f>_xlfn.XLOOKUP(H189,tblDepartment[Department],tblDepartment[Average_Salary_INR],"")</f>
        <v>720000</v>
      </c>
      <c r="AC189" t="str">
        <f>_xlfn.XLOOKUP(H189,tblDepartment[Department],tblDepartment[Priority_Level],"")</f>
        <v>High</v>
      </c>
      <c r="AD189" t="str">
        <f>_xlfn.XLOOKUP(H189,tblDepartment[Department],tblDepartment[Key_KPI],"")</f>
        <v>Project Delivery</v>
      </c>
      <c r="AE189">
        <f>_xlfn.XLOOKUP(tblMaster[[#This Row],[Shift]],tblShift[Shift_Name],tblShift[Login_Time],"")</f>
        <v>0.58333333333333337</v>
      </c>
      <c r="AF189">
        <f>_xlfn.XLOOKUP(tblMaster[[#This Row],[Shift]],tblShift[Shift_Name],tblShift[Logout_Time]," ")</f>
        <v>0.95833333333333337</v>
      </c>
      <c r="AG189">
        <f>_xlfn.XLOOKUP(tblMaster[[#This Row],[Shift]],tblShift[Shift_Name],tblShift[Standard_Working_Hours],"")</f>
        <v>8</v>
      </c>
      <c r="AH189" t="str">
        <f>_xlfn.XLOOKUP(tblMaster[[#This Row],[Attendance_Date]],tblHoliday[Holiday_Date],tblHoliday[Holiday_Name],"Working Day")</f>
        <v>Working Day</v>
      </c>
      <c r="AI189" t="str">
        <f>_xlfn.XLOOKUP(tblMaster[[#This Row],[Attendance_Date]],tblHoliday[Holiday_Date],tblHoliday[Holiday_Type],"Working Day ")</f>
        <v xml:space="preserve">Working Day </v>
      </c>
    </row>
    <row r="190" spans="1:35" hidden="1" x14ac:dyDescent="0.3">
      <c r="A190" t="s">
        <v>374</v>
      </c>
      <c r="B190" s="3">
        <v>45814</v>
      </c>
      <c r="C190" t="s">
        <v>23</v>
      </c>
      <c r="D190" t="s">
        <v>24</v>
      </c>
      <c r="E190" t="s">
        <v>119</v>
      </c>
      <c r="F190" t="s">
        <v>192</v>
      </c>
      <c r="G190" t="s">
        <v>193</v>
      </c>
      <c r="H190" t="s">
        <v>79</v>
      </c>
      <c r="I190" t="s">
        <v>80</v>
      </c>
      <c r="J190" t="s">
        <v>66</v>
      </c>
      <c r="K190" t="s">
        <v>81</v>
      </c>
      <c r="L190" s="2">
        <v>0.91666666666666663</v>
      </c>
      <c r="M190" s="2">
        <v>0.29166666666666669</v>
      </c>
      <c r="N190">
        <v>9</v>
      </c>
      <c r="O190">
        <v>1</v>
      </c>
      <c r="P190" t="s">
        <v>32</v>
      </c>
      <c r="R190">
        <v>3</v>
      </c>
      <c r="S190" t="s">
        <v>33</v>
      </c>
      <c r="T190" t="s">
        <v>84</v>
      </c>
      <c r="U190" t="s">
        <v>55</v>
      </c>
      <c r="V190" t="s">
        <v>35</v>
      </c>
      <c r="W190">
        <f>_xlfn.XLOOKUP(F190,tblEmployee[Employee_ID],tblEmployee[Age],"Not Found")</f>
        <v>32</v>
      </c>
      <c r="X190" t="str">
        <f>_xlfn.XLOOKUP(F190,tblEmployee[Employee_ID],tblEmployee[Gender],"Not Found")</f>
        <v>Female</v>
      </c>
      <c r="Y190">
        <f>_xlfn.XLOOKUP(F190,tblEmployee[Employee_ID],tblEmployee[Joining_Date],"")</f>
        <v>44880</v>
      </c>
      <c r="Z190">
        <f>_xlfn.XLOOKUP(H190,tblDepartment[Department],tblDepartment[Annual_Budget_INR],"")</f>
        <v>26000000</v>
      </c>
      <c r="AA190" t="str">
        <f>_xlfn.XLOOKUP(H190,tblDepartment[Department],tblDepartment[Monthly_Target],"")</f>
        <v>100% Payroll Accuracy</v>
      </c>
      <c r="AB190">
        <f>_xlfn.XLOOKUP(H190,tblDepartment[Department],tblDepartment[Average_Salary_INR],"")</f>
        <v>640000</v>
      </c>
      <c r="AC190" t="str">
        <f>_xlfn.XLOOKUP(H190,tblDepartment[Department],tblDepartment[Priority_Level],"")</f>
        <v>High</v>
      </c>
      <c r="AD190" t="str">
        <f>_xlfn.XLOOKUP(H190,tblDepartment[Department],tblDepartment[Key_KPI],"")</f>
        <v>Financial Compliance</v>
      </c>
      <c r="AE190">
        <f>_xlfn.XLOOKUP(tblMaster[[#This Row],[Shift]],tblShift[Shift_Name],tblShift[Login_Time],"")</f>
        <v>0.91666666666666663</v>
      </c>
      <c r="AF190">
        <f>_xlfn.XLOOKUP(tblMaster[[#This Row],[Shift]],tblShift[Shift_Name],tblShift[Logout_Time]," ")</f>
        <v>0.29166666666666669</v>
      </c>
      <c r="AG190">
        <f>_xlfn.XLOOKUP(tblMaster[[#This Row],[Shift]],tblShift[Shift_Name],tblShift[Standard_Working_Hours],"")</f>
        <v>8</v>
      </c>
      <c r="AH190" t="str">
        <f>_xlfn.XLOOKUP(tblMaster[[#This Row],[Attendance_Date]],tblHoliday[Holiday_Date],tblHoliday[Holiday_Name],"Working Day")</f>
        <v>Working Day</v>
      </c>
      <c r="AI190" t="str">
        <f>_xlfn.XLOOKUP(tblMaster[[#This Row],[Attendance_Date]],tblHoliday[Holiday_Date],tblHoliday[Holiday_Type],"Working Day ")</f>
        <v xml:space="preserve">Working Day </v>
      </c>
    </row>
    <row r="191" spans="1:35" hidden="1" x14ac:dyDescent="0.3">
      <c r="A191" t="s">
        <v>375</v>
      </c>
      <c r="B191" s="1">
        <v>45683</v>
      </c>
      <c r="C191" t="s">
        <v>49</v>
      </c>
      <c r="D191" t="s">
        <v>50</v>
      </c>
      <c r="E191" t="s">
        <v>103</v>
      </c>
      <c r="F191" t="s">
        <v>231</v>
      </c>
      <c r="G191" t="s">
        <v>232</v>
      </c>
      <c r="H191" t="s">
        <v>98</v>
      </c>
      <c r="I191" t="s">
        <v>99</v>
      </c>
      <c r="J191" t="s">
        <v>74</v>
      </c>
      <c r="K191" t="s">
        <v>44</v>
      </c>
      <c r="L191" s="2">
        <v>0.375</v>
      </c>
      <c r="M191" s="2">
        <v>0.75</v>
      </c>
      <c r="N191">
        <v>8</v>
      </c>
      <c r="O191">
        <v>0</v>
      </c>
      <c r="P191" t="s">
        <v>32</v>
      </c>
      <c r="R191">
        <v>3</v>
      </c>
      <c r="S191" t="s">
        <v>67</v>
      </c>
      <c r="T191" t="s">
        <v>101</v>
      </c>
      <c r="U191" t="s">
        <v>85</v>
      </c>
      <c r="V191" t="s">
        <v>69</v>
      </c>
      <c r="W191">
        <f>_xlfn.XLOOKUP(F191,tblEmployee[Employee_ID],tblEmployee[Age],"Not Found")</f>
        <v>31</v>
      </c>
      <c r="X191" t="str">
        <f>_xlfn.XLOOKUP(F191,tblEmployee[Employee_ID],tblEmployee[Gender],"Not Found")</f>
        <v>Male</v>
      </c>
      <c r="Y191">
        <f>_xlfn.XLOOKUP(F191,tblEmployee[Employee_ID],tblEmployee[Joining_Date],"")</f>
        <v>45397</v>
      </c>
      <c r="Z191">
        <f>_xlfn.XLOOKUP(H191,tblDepartment[Department],tblDepartment[Annual_Budget_INR],"")</f>
        <v>22000000</v>
      </c>
      <c r="AA191" t="str">
        <f>_xlfn.XLOOKUP(H191,tblDepartment[Department],tblDepartment[Monthly_Target],"")</f>
        <v>2500 Qualified Leads</v>
      </c>
      <c r="AB191">
        <f>_xlfn.XLOOKUP(H191,tblDepartment[Department],tblDepartment[Average_Salary_INR],"")</f>
        <v>590000</v>
      </c>
      <c r="AC191" t="str">
        <f>_xlfn.XLOOKUP(H191,tblDepartment[Department],tblDepartment[Priority_Level],"")</f>
        <v>Medium</v>
      </c>
      <c r="AD191" t="str">
        <f>_xlfn.XLOOKUP(H191,tblDepartment[Department],tblDepartment[Key_KPI],"")</f>
        <v>Lead Generation</v>
      </c>
      <c r="AE191">
        <f>_xlfn.XLOOKUP(tblMaster[[#This Row],[Shift]],tblShift[Shift_Name],tblShift[Login_Time],"")</f>
        <v>0.41666666666666669</v>
      </c>
      <c r="AF191">
        <f>_xlfn.XLOOKUP(tblMaster[[#This Row],[Shift]],tblShift[Shift_Name],tblShift[Logout_Time]," ")</f>
        <v>0.79166666666666663</v>
      </c>
      <c r="AG191">
        <f>_xlfn.XLOOKUP(tblMaster[[#This Row],[Shift]],tblShift[Shift_Name],tblShift[Standard_Working_Hours],"")</f>
        <v>8</v>
      </c>
      <c r="AH191" t="str">
        <f>_xlfn.XLOOKUP(tblMaster[[#This Row],[Attendance_Date]],tblHoliday[Holiday_Date],tblHoliday[Holiday_Name],"Working Day")</f>
        <v>Republic Day</v>
      </c>
      <c r="AI191" t="str">
        <f>_xlfn.XLOOKUP(tblMaster[[#This Row],[Attendance_Date]],tblHoliday[Holiday_Date],tblHoliday[Holiday_Type],"Working Day ")</f>
        <v>National</v>
      </c>
    </row>
    <row r="192" spans="1:35" hidden="1" x14ac:dyDescent="0.3">
      <c r="A192" t="s">
        <v>376</v>
      </c>
      <c r="B192" s="3">
        <v>45716</v>
      </c>
      <c r="C192" t="s">
        <v>95</v>
      </c>
      <c r="D192" t="s">
        <v>50</v>
      </c>
      <c r="E192" t="s">
        <v>119</v>
      </c>
      <c r="F192" t="s">
        <v>354</v>
      </c>
      <c r="G192" t="s">
        <v>355</v>
      </c>
      <c r="H192" t="s">
        <v>28</v>
      </c>
      <c r="I192" t="s">
        <v>29</v>
      </c>
      <c r="J192" t="s">
        <v>100</v>
      </c>
      <c r="K192" t="s">
        <v>54</v>
      </c>
      <c r="L192" s="2">
        <v>0.375</v>
      </c>
      <c r="M192" s="2">
        <v>0.75</v>
      </c>
      <c r="N192">
        <v>8</v>
      </c>
      <c r="O192">
        <v>0</v>
      </c>
      <c r="P192" t="s">
        <v>32</v>
      </c>
      <c r="S192" t="s">
        <v>33</v>
      </c>
      <c r="T192" t="s">
        <v>34</v>
      </c>
      <c r="U192" t="s">
        <v>47</v>
      </c>
      <c r="W192">
        <f>_xlfn.XLOOKUP(F192,tblEmployee[Employee_ID],tblEmployee[Age],"Not Found")</f>
        <v>32</v>
      </c>
      <c r="X192" t="str">
        <f>_xlfn.XLOOKUP(F192,tblEmployee[Employee_ID],tblEmployee[Gender],"Not Found")</f>
        <v>Female</v>
      </c>
      <c r="Y192">
        <f>_xlfn.XLOOKUP(F192,tblEmployee[Employee_ID],tblEmployee[Joining_Date],"")</f>
        <v>43235</v>
      </c>
      <c r="Z192">
        <f>_xlfn.XLOOKUP(H192,tblDepartment[Department],tblDepartment[Annual_Budget_INR],"")</f>
        <v>24000000</v>
      </c>
      <c r="AA192" t="str">
        <f>_xlfn.XLOOKUP(H192,tblDepartment[Department],tblDepartment[Monthly_Target],"")</f>
        <v>90% Customer Satisfaction</v>
      </c>
      <c r="AB192">
        <f>_xlfn.XLOOKUP(H192,tblDepartment[Department],tblDepartment[Average_Salary_INR],"")</f>
        <v>520000</v>
      </c>
      <c r="AC192" t="str">
        <f>_xlfn.XLOOKUP(H192,tblDepartment[Department],tblDepartment[Priority_Level],"")</f>
        <v>High</v>
      </c>
      <c r="AD192" t="str">
        <f>_xlfn.XLOOKUP(H192,tblDepartment[Department],tblDepartment[Key_KPI],"")</f>
        <v>Customer Satisfaction</v>
      </c>
      <c r="AE192">
        <f>_xlfn.XLOOKUP(tblMaster[[#This Row],[Shift]],tblShift[Shift_Name],tblShift[Login_Time],"")</f>
        <v>0.58333333333333337</v>
      </c>
      <c r="AF192">
        <f>_xlfn.XLOOKUP(tblMaster[[#This Row],[Shift]],tblShift[Shift_Name],tblShift[Logout_Time]," ")</f>
        <v>0.95833333333333337</v>
      </c>
      <c r="AG192">
        <f>_xlfn.XLOOKUP(tblMaster[[#This Row],[Shift]],tblShift[Shift_Name],tblShift[Standard_Working_Hours],"")</f>
        <v>8</v>
      </c>
      <c r="AH192" t="str">
        <f>_xlfn.XLOOKUP(tblMaster[[#This Row],[Attendance_Date]],tblHoliday[Holiday_Date],tblHoliday[Holiday_Name],"Working Day")</f>
        <v>Working Day</v>
      </c>
      <c r="AI192" t="str">
        <f>_xlfn.XLOOKUP(tblMaster[[#This Row],[Attendance_Date]],tblHoliday[Holiday_Date],tblHoliday[Holiday_Type],"Working Day ")</f>
        <v xml:space="preserve">Working Day </v>
      </c>
    </row>
    <row r="193" spans="1:35" hidden="1" x14ac:dyDescent="0.3">
      <c r="A193" t="s">
        <v>377</v>
      </c>
      <c r="B193" s="3">
        <v>45681</v>
      </c>
      <c r="C193" t="s">
        <v>49</v>
      </c>
      <c r="D193" t="s">
        <v>50</v>
      </c>
      <c r="E193" t="s">
        <v>119</v>
      </c>
      <c r="F193" t="s">
        <v>96</v>
      </c>
      <c r="G193" t="s">
        <v>97</v>
      </c>
      <c r="H193" t="s">
        <v>98</v>
      </c>
      <c r="I193" t="s">
        <v>99</v>
      </c>
      <c r="J193" t="s">
        <v>100</v>
      </c>
      <c r="K193" t="s">
        <v>44</v>
      </c>
      <c r="L193" s="2">
        <v>0.375</v>
      </c>
      <c r="M193" s="2">
        <v>0.75</v>
      </c>
      <c r="N193">
        <v>8</v>
      </c>
      <c r="O193">
        <v>0</v>
      </c>
      <c r="P193" t="s">
        <v>32</v>
      </c>
      <c r="R193">
        <v>4</v>
      </c>
      <c r="S193" t="s">
        <v>67</v>
      </c>
      <c r="T193" t="s">
        <v>101</v>
      </c>
      <c r="U193" t="s">
        <v>55</v>
      </c>
      <c r="V193" t="s">
        <v>69</v>
      </c>
      <c r="W193">
        <f>_xlfn.XLOOKUP(F193,tblEmployee[Employee_ID],tblEmployee[Age],"Not Found")</f>
        <v>34</v>
      </c>
      <c r="X193" t="str">
        <f>_xlfn.XLOOKUP(F193,tblEmployee[Employee_ID],tblEmployee[Gender],"Not Found")</f>
        <v>Female</v>
      </c>
      <c r="Y193">
        <f>_xlfn.XLOOKUP(F193,tblEmployee[Employee_ID],tblEmployee[Joining_Date],"")</f>
        <v>45306</v>
      </c>
      <c r="Z193">
        <f>_xlfn.XLOOKUP(H193,tblDepartment[Department],tblDepartment[Annual_Budget_INR],"")</f>
        <v>22000000</v>
      </c>
      <c r="AA193" t="str">
        <f>_xlfn.XLOOKUP(H193,tblDepartment[Department],tblDepartment[Monthly_Target],"")</f>
        <v>2500 Qualified Leads</v>
      </c>
      <c r="AB193">
        <f>_xlfn.XLOOKUP(H193,tblDepartment[Department],tblDepartment[Average_Salary_INR],"")</f>
        <v>590000</v>
      </c>
      <c r="AC193" t="str">
        <f>_xlfn.XLOOKUP(H193,tblDepartment[Department],tblDepartment[Priority_Level],"")</f>
        <v>Medium</v>
      </c>
      <c r="AD193" t="str">
        <f>_xlfn.XLOOKUP(H193,tblDepartment[Department],tblDepartment[Key_KPI],"")</f>
        <v>Lead Generation</v>
      </c>
      <c r="AE193">
        <f>_xlfn.XLOOKUP(tblMaster[[#This Row],[Shift]],tblShift[Shift_Name],tblShift[Login_Time],"")</f>
        <v>0.41666666666666669</v>
      </c>
      <c r="AF193">
        <f>_xlfn.XLOOKUP(tblMaster[[#This Row],[Shift]],tblShift[Shift_Name],tblShift[Logout_Time]," ")</f>
        <v>0.79166666666666663</v>
      </c>
      <c r="AG193">
        <f>_xlfn.XLOOKUP(tblMaster[[#This Row],[Shift]],tblShift[Shift_Name],tblShift[Standard_Working_Hours],"")</f>
        <v>8</v>
      </c>
      <c r="AH193" t="str">
        <f>_xlfn.XLOOKUP(tblMaster[[#This Row],[Attendance_Date]],tblHoliday[Holiday_Date],tblHoliday[Holiday_Name],"Working Day")</f>
        <v>Working Day</v>
      </c>
      <c r="AI193" t="str">
        <f>_xlfn.XLOOKUP(tblMaster[[#This Row],[Attendance_Date]],tblHoliday[Holiday_Date],tblHoliday[Holiday_Type],"Working Day ")</f>
        <v xml:space="preserve">Working Day </v>
      </c>
    </row>
    <row r="194" spans="1:35" x14ac:dyDescent="0.3">
      <c r="A194" t="s">
        <v>378</v>
      </c>
      <c r="B194" s="1">
        <v>45765</v>
      </c>
      <c r="C194" t="s">
        <v>37</v>
      </c>
      <c r="D194" t="s">
        <v>24</v>
      </c>
      <c r="E194" t="s">
        <v>119</v>
      </c>
      <c r="F194" t="s">
        <v>211</v>
      </c>
      <c r="G194" t="s">
        <v>212</v>
      </c>
      <c r="H194" t="s">
        <v>64</v>
      </c>
      <c r="I194" t="s">
        <v>65</v>
      </c>
      <c r="J194" t="s">
        <v>74</v>
      </c>
      <c r="K194" t="s">
        <v>75</v>
      </c>
      <c r="L194" s="2">
        <v>0.375</v>
      </c>
      <c r="M194" s="2">
        <v>0.75</v>
      </c>
      <c r="N194">
        <v>10</v>
      </c>
      <c r="O194">
        <v>2</v>
      </c>
      <c r="P194" t="s">
        <v>32</v>
      </c>
      <c r="R194">
        <v>4</v>
      </c>
      <c r="S194" t="s">
        <v>67</v>
      </c>
      <c r="T194" t="s">
        <v>68</v>
      </c>
      <c r="U194" t="str">
        <f>_xlfn.XLOOKUP(tblMaster[[#This Row],[Employee_ID]],tblEmployee[Employee_ID],tblEmployee[Work_Mode]," ")</f>
        <v>Hybrid</v>
      </c>
      <c r="W194">
        <f>_xlfn.XLOOKUP(F194,tblEmployee[Employee_ID],tblEmployee[Age],"Not Found")</f>
        <v>26</v>
      </c>
      <c r="X194" t="str">
        <f>_xlfn.XLOOKUP(F194,tblEmployee[Employee_ID],tblEmployee[Gender],"Not Found")</f>
        <v>Female</v>
      </c>
      <c r="Y194">
        <f>_xlfn.XLOOKUP(F194,tblEmployee[Employee_ID],tblEmployee[Joining_Date],"")</f>
        <v>43784</v>
      </c>
      <c r="Z194">
        <f>_xlfn.XLOOKUP(H194,tblDepartment[Department],tblDepartment[Annual_Budget_INR],"")</f>
        <v>85000000</v>
      </c>
      <c r="AA194" t="str">
        <f>_xlfn.XLOOKUP(H194,tblDepartment[Department],tblDepartment[Monthly_Target],"")</f>
        <v>99.5% System Uptime</v>
      </c>
      <c r="AB194">
        <f>_xlfn.XLOOKUP(H194,tblDepartment[Department],tblDepartment[Average_Salary_INR],"")</f>
        <v>720000</v>
      </c>
      <c r="AC194" t="str">
        <f>_xlfn.XLOOKUP(H194,tblDepartment[Department],tblDepartment[Priority_Level],"")</f>
        <v>High</v>
      </c>
      <c r="AD194" t="str">
        <f>_xlfn.XLOOKUP(H194,tblDepartment[Department],tblDepartment[Key_KPI],"")</f>
        <v>Project Delivery</v>
      </c>
      <c r="AE194">
        <f>_xlfn.XLOOKUP(tblMaster[[#This Row],[Shift]],tblShift[Shift_Name],tblShift[Login_Time],"")</f>
        <v>0.375</v>
      </c>
      <c r="AF194">
        <f>_xlfn.XLOOKUP(tblMaster[[#This Row],[Shift]],tblShift[Shift_Name],tblShift[Logout_Time]," ")</f>
        <v>0.75</v>
      </c>
      <c r="AG194">
        <f>_xlfn.XLOOKUP(tblMaster[[#This Row],[Shift]],tblShift[Shift_Name],tblShift[Standard_Working_Hours],"")</f>
        <v>8</v>
      </c>
      <c r="AH194" t="str">
        <f>_xlfn.XLOOKUP(tblMaster[[#This Row],[Attendance_Date]],tblHoliday[Holiday_Date],tblHoliday[Holiday_Name],"Working Day")</f>
        <v>Good Friday</v>
      </c>
      <c r="AI194" t="str">
        <f>_xlfn.XLOOKUP(tblMaster[[#This Row],[Attendance_Date]],tblHoliday[Holiday_Date],tblHoliday[Holiday_Type],"Working Day ")</f>
        <v>Restricted</v>
      </c>
    </row>
    <row r="195" spans="1:35" x14ac:dyDescent="0.3">
      <c r="A195" t="s">
        <v>379</v>
      </c>
      <c r="B195" s="3">
        <v>45666</v>
      </c>
      <c r="C195" t="s">
        <v>49</v>
      </c>
      <c r="D195" t="s">
        <v>50</v>
      </c>
      <c r="E195" t="s">
        <v>25</v>
      </c>
      <c r="F195" t="s">
        <v>142</v>
      </c>
      <c r="G195" t="s">
        <v>143</v>
      </c>
      <c r="H195" t="s">
        <v>64</v>
      </c>
      <c r="I195" t="s">
        <v>65</v>
      </c>
      <c r="J195" t="s">
        <v>43</v>
      </c>
      <c r="K195" t="s">
        <v>44</v>
      </c>
      <c r="L195" s="2">
        <v>0.375</v>
      </c>
      <c r="M195" s="2">
        <v>0.75</v>
      </c>
      <c r="N195">
        <v>9</v>
      </c>
      <c r="O195">
        <v>1</v>
      </c>
      <c r="P195" t="s">
        <v>32</v>
      </c>
      <c r="R195">
        <v>4</v>
      </c>
      <c r="S195" t="s">
        <v>67</v>
      </c>
      <c r="T195" t="s">
        <v>68</v>
      </c>
      <c r="U195" t="str">
        <f>_xlfn.XLOOKUP(tblMaster[[#This Row],[Employee_ID]],tblEmployee[Employee_ID],tblEmployee[Work_Mode]," ")</f>
        <v>Office</v>
      </c>
      <c r="V195" t="s">
        <v>60</v>
      </c>
      <c r="W195">
        <f>_xlfn.XLOOKUP(F195,tblEmployee[Employee_ID],tblEmployee[Age],"Not Found")</f>
        <v>37</v>
      </c>
      <c r="X195" t="str">
        <f>_xlfn.XLOOKUP(F195,tblEmployee[Employee_ID],tblEmployee[Gender],"Not Found")</f>
        <v>Male</v>
      </c>
      <c r="Y195">
        <f>_xlfn.XLOOKUP(F195,tblEmployee[Employee_ID],tblEmployee[Joining_Date],"")</f>
        <v>43570</v>
      </c>
      <c r="Z195">
        <f>_xlfn.XLOOKUP(H195,tblDepartment[Department],tblDepartment[Annual_Budget_INR],"")</f>
        <v>85000000</v>
      </c>
      <c r="AA195" t="str">
        <f>_xlfn.XLOOKUP(H195,tblDepartment[Department],tblDepartment[Monthly_Target],"")</f>
        <v>99.5% System Uptime</v>
      </c>
      <c r="AB195">
        <f>_xlfn.XLOOKUP(H195,tblDepartment[Department],tblDepartment[Average_Salary_INR],"")</f>
        <v>720000</v>
      </c>
      <c r="AC195" t="str">
        <f>_xlfn.XLOOKUP(H195,tblDepartment[Department],tblDepartment[Priority_Level],"")</f>
        <v>High</v>
      </c>
      <c r="AD195" t="str">
        <f>_xlfn.XLOOKUP(H195,tblDepartment[Department],tblDepartment[Key_KPI],"")</f>
        <v>Project Delivery</v>
      </c>
      <c r="AE195">
        <f>_xlfn.XLOOKUP(tblMaster[[#This Row],[Shift]],tblShift[Shift_Name],tblShift[Login_Time],"")</f>
        <v>0.41666666666666669</v>
      </c>
      <c r="AF195">
        <f>_xlfn.XLOOKUP(tblMaster[[#This Row],[Shift]],tblShift[Shift_Name],tblShift[Logout_Time]," ")</f>
        <v>0.79166666666666663</v>
      </c>
      <c r="AG195">
        <f>_xlfn.XLOOKUP(tblMaster[[#This Row],[Shift]],tblShift[Shift_Name],tblShift[Standard_Working_Hours],"")</f>
        <v>8</v>
      </c>
      <c r="AH195" t="str">
        <f>_xlfn.XLOOKUP(tblMaster[[#This Row],[Attendance_Date]],tblHoliday[Holiday_Date],tblHoliday[Holiday_Name],"Working Day")</f>
        <v>Working Day</v>
      </c>
      <c r="AI195" t="str">
        <f>_xlfn.XLOOKUP(tblMaster[[#This Row],[Attendance_Date]],tblHoliday[Holiday_Date],tblHoliday[Holiday_Type],"Working Day ")</f>
        <v xml:space="preserve">Working Day </v>
      </c>
    </row>
    <row r="196" spans="1:35" hidden="1" x14ac:dyDescent="0.3">
      <c r="A196" t="s">
        <v>380</v>
      </c>
      <c r="B196" s="3">
        <v>45822</v>
      </c>
      <c r="C196" t="s">
        <v>23</v>
      </c>
      <c r="D196" t="s">
        <v>24</v>
      </c>
      <c r="E196" t="s">
        <v>38</v>
      </c>
      <c r="F196" t="s">
        <v>305</v>
      </c>
      <c r="G196" t="s">
        <v>306</v>
      </c>
      <c r="H196" t="s">
        <v>79</v>
      </c>
      <c r="I196" t="s">
        <v>80</v>
      </c>
      <c r="J196" t="s">
        <v>74</v>
      </c>
      <c r="K196" t="s">
        <v>81</v>
      </c>
      <c r="M196" s="2">
        <v>0.29166666666666669</v>
      </c>
      <c r="N196">
        <v>10</v>
      </c>
      <c r="O196">
        <v>2</v>
      </c>
      <c r="P196" t="s">
        <v>32</v>
      </c>
      <c r="R196">
        <v>4</v>
      </c>
      <c r="S196" t="s">
        <v>67</v>
      </c>
      <c r="T196" t="s">
        <v>84</v>
      </c>
      <c r="U196" t="s">
        <v>85</v>
      </c>
      <c r="V196" t="s">
        <v>60</v>
      </c>
      <c r="W196">
        <f>_xlfn.XLOOKUP(F196,tblEmployee[Employee_ID],tblEmployee[Age],"Not Found")</f>
        <v>36</v>
      </c>
      <c r="X196" t="str">
        <f>_xlfn.XLOOKUP(F196,tblEmployee[Employee_ID],tblEmployee[Gender],"Not Found")</f>
        <v>Female</v>
      </c>
      <c r="Y196">
        <f>_xlfn.XLOOKUP(F196,tblEmployee[Employee_ID],tblEmployee[Joining_Date],"")</f>
        <v>44819</v>
      </c>
      <c r="Z196">
        <f>_xlfn.XLOOKUP(H196,tblDepartment[Department],tblDepartment[Annual_Budget_INR],"")</f>
        <v>26000000</v>
      </c>
      <c r="AA196" t="str">
        <f>_xlfn.XLOOKUP(H196,tblDepartment[Department],tblDepartment[Monthly_Target],"")</f>
        <v>100% Payroll Accuracy</v>
      </c>
      <c r="AB196">
        <f>_xlfn.XLOOKUP(H196,tblDepartment[Department],tblDepartment[Average_Salary_INR],"")</f>
        <v>640000</v>
      </c>
      <c r="AC196" t="str">
        <f>_xlfn.XLOOKUP(H196,tblDepartment[Department],tblDepartment[Priority_Level],"")</f>
        <v>High</v>
      </c>
      <c r="AD196" t="str">
        <f>_xlfn.XLOOKUP(H196,tblDepartment[Department],tblDepartment[Key_KPI],"")</f>
        <v>Financial Compliance</v>
      </c>
      <c r="AE196">
        <f>_xlfn.XLOOKUP(tblMaster[[#This Row],[Shift]],tblShift[Shift_Name],tblShift[Login_Time],"")</f>
        <v>0.91666666666666663</v>
      </c>
      <c r="AF196">
        <f>_xlfn.XLOOKUP(tblMaster[[#This Row],[Shift]],tblShift[Shift_Name],tblShift[Logout_Time]," ")</f>
        <v>0.29166666666666669</v>
      </c>
      <c r="AG196">
        <f>_xlfn.XLOOKUP(tblMaster[[#This Row],[Shift]],tblShift[Shift_Name],tblShift[Standard_Working_Hours],"")</f>
        <v>8</v>
      </c>
      <c r="AH196" t="str">
        <f>_xlfn.XLOOKUP(tblMaster[[#This Row],[Attendance_Date]],tblHoliday[Holiday_Date],tblHoliday[Holiday_Name],"Working Day")</f>
        <v>Working Day</v>
      </c>
      <c r="AI196" t="str">
        <f>_xlfn.XLOOKUP(tblMaster[[#This Row],[Attendance_Date]],tblHoliday[Holiday_Date],tblHoliday[Holiday_Type],"Working Day ")</f>
        <v xml:space="preserve">Working Day </v>
      </c>
    </row>
    <row r="197" spans="1:35" hidden="1" x14ac:dyDescent="0.3">
      <c r="A197" t="s">
        <v>381</v>
      </c>
      <c r="B197" s="3">
        <v>45788</v>
      </c>
      <c r="C197" t="s">
        <v>57</v>
      </c>
      <c r="D197" t="s">
        <v>24</v>
      </c>
      <c r="E197" t="s">
        <v>103</v>
      </c>
      <c r="F197" t="s">
        <v>133</v>
      </c>
      <c r="G197" t="s">
        <v>134</v>
      </c>
      <c r="H197" t="s">
        <v>98</v>
      </c>
      <c r="I197" t="s">
        <v>99</v>
      </c>
      <c r="J197" t="s">
        <v>66</v>
      </c>
      <c r="K197" t="s">
        <v>54</v>
      </c>
      <c r="L197" s="2">
        <v>0.375</v>
      </c>
      <c r="M197" s="2">
        <v>0.75</v>
      </c>
      <c r="N197">
        <v>8</v>
      </c>
      <c r="O197">
        <v>0</v>
      </c>
      <c r="P197" t="s">
        <v>32</v>
      </c>
      <c r="R197">
        <v>4</v>
      </c>
      <c r="S197" t="s">
        <v>67</v>
      </c>
      <c r="T197" t="s">
        <v>101</v>
      </c>
      <c r="U197" t="s">
        <v>55</v>
      </c>
      <c r="V197" t="s">
        <v>35</v>
      </c>
      <c r="W197">
        <f>_xlfn.XLOOKUP(F197,tblEmployee[Employee_ID],tblEmployee[Age],"Not Found")</f>
        <v>27</v>
      </c>
      <c r="X197" t="str">
        <f>_xlfn.XLOOKUP(F197,tblEmployee[Employee_ID],tblEmployee[Gender],"Not Found")</f>
        <v>Male</v>
      </c>
      <c r="Y197">
        <f>_xlfn.XLOOKUP(F197,tblEmployee[Employee_ID],tblEmployee[Joining_Date],"")</f>
        <v>45458</v>
      </c>
      <c r="Z197">
        <f>_xlfn.XLOOKUP(H197,tblDepartment[Department],tblDepartment[Annual_Budget_INR],"")</f>
        <v>22000000</v>
      </c>
      <c r="AA197" t="str">
        <f>_xlfn.XLOOKUP(H197,tblDepartment[Department],tblDepartment[Monthly_Target],"")</f>
        <v>2500 Qualified Leads</v>
      </c>
      <c r="AB197">
        <f>_xlfn.XLOOKUP(H197,tblDepartment[Department],tblDepartment[Average_Salary_INR],"")</f>
        <v>590000</v>
      </c>
      <c r="AC197" t="str">
        <f>_xlfn.XLOOKUP(H197,tblDepartment[Department],tblDepartment[Priority_Level],"")</f>
        <v>Medium</v>
      </c>
      <c r="AD197" t="str">
        <f>_xlfn.XLOOKUP(H197,tblDepartment[Department],tblDepartment[Key_KPI],"")</f>
        <v>Lead Generation</v>
      </c>
      <c r="AE197">
        <f>_xlfn.XLOOKUP(tblMaster[[#This Row],[Shift]],tblShift[Shift_Name],tblShift[Login_Time],"")</f>
        <v>0.58333333333333337</v>
      </c>
      <c r="AF197">
        <f>_xlfn.XLOOKUP(tblMaster[[#This Row],[Shift]],tblShift[Shift_Name],tblShift[Logout_Time]," ")</f>
        <v>0.95833333333333337</v>
      </c>
      <c r="AG197">
        <f>_xlfn.XLOOKUP(tblMaster[[#This Row],[Shift]],tblShift[Shift_Name],tblShift[Standard_Working_Hours],"")</f>
        <v>8</v>
      </c>
      <c r="AH197" t="str">
        <f>_xlfn.XLOOKUP(tblMaster[[#This Row],[Attendance_Date]],tblHoliday[Holiday_Date],tblHoliday[Holiday_Name],"Working Day")</f>
        <v>Working Day</v>
      </c>
      <c r="AI197" t="str">
        <f>_xlfn.XLOOKUP(tblMaster[[#This Row],[Attendance_Date]],tblHoliday[Holiday_Date],tblHoliday[Holiday_Type],"Working Day ")</f>
        <v xml:space="preserve">Working Day </v>
      </c>
    </row>
    <row r="198" spans="1:35" hidden="1" x14ac:dyDescent="0.3">
      <c r="A198" t="s">
        <v>382</v>
      </c>
      <c r="B198" s="3">
        <v>45663</v>
      </c>
      <c r="C198" t="s">
        <v>49</v>
      </c>
      <c r="D198" t="s">
        <v>50</v>
      </c>
      <c r="E198" t="s">
        <v>109</v>
      </c>
      <c r="F198" t="s">
        <v>243</v>
      </c>
      <c r="G198" t="s">
        <v>244</v>
      </c>
      <c r="H198" t="s">
        <v>90</v>
      </c>
      <c r="I198" t="s">
        <v>91</v>
      </c>
      <c r="J198" t="s">
        <v>30</v>
      </c>
      <c r="K198" t="s">
        <v>31</v>
      </c>
      <c r="L198" s="2">
        <v>0.375</v>
      </c>
      <c r="M198" s="2">
        <v>0.75</v>
      </c>
      <c r="N198">
        <v>8</v>
      </c>
      <c r="O198">
        <v>0</v>
      </c>
      <c r="P198" t="s">
        <v>32</v>
      </c>
      <c r="R198">
        <v>3</v>
      </c>
      <c r="S198" t="s">
        <v>45</v>
      </c>
      <c r="T198" t="s">
        <v>93</v>
      </c>
      <c r="U198" t="s">
        <v>85</v>
      </c>
      <c r="V198" t="s">
        <v>35</v>
      </c>
      <c r="W198">
        <f>_xlfn.XLOOKUP(F198,tblEmployee[Employee_ID],tblEmployee[Age],"Not Found")</f>
        <v>30</v>
      </c>
      <c r="X198" t="str">
        <f>_xlfn.XLOOKUP(F198,tblEmployee[Employee_ID],tblEmployee[Gender],"Not Found")</f>
        <v>Female</v>
      </c>
      <c r="Y198">
        <f>_xlfn.XLOOKUP(F198,tblEmployee[Employee_ID],tblEmployee[Joining_Date],"")</f>
        <v>44089</v>
      </c>
      <c r="Z198">
        <f>_xlfn.XLOOKUP(H198,tblDepartment[Department],tblDepartment[Annual_Budget_INR],"")</f>
        <v>18000000</v>
      </c>
      <c r="AA198" t="str">
        <f>_xlfn.XLOOKUP(H198,tblDepartment[Department],tblDepartment[Monthly_Target],"")</f>
        <v>&lt;30 Days Hiring Cycle</v>
      </c>
      <c r="AB198">
        <f>_xlfn.XLOOKUP(H198,tblDepartment[Department],tblDepartment[Average_Salary_INR],"")</f>
        <v>560000</v>
      </c>
      <c r="AC198" t="str">
        <f>_xlfn.XLOOKUP(H198,tblDepartment[Department],tblDepartment[Priority_Level],"")</f>
        <v>Medium</v>
      </c>
      <c r="AD198" t="str">
        <f>_xlfn.XLOOKUP(H198,tblDepartment[Department],tblDepartment[Key_KPI],"")</f>
        <v>Hiring &amp; Retention</v>
      </c>
      <c r="AE198">
        <f>_xlfn.XLOOKUP(tblMaster[[#This Row],[Shift]],tblShift[Shift_Name],tblShift[Login_Time],"")</f>
        <v>0.25</v>
      </c>
      <c r="AF198">
        <f>_xlfn.XLOOKUP(tblMaster[[#This Row],[Shift]],tblShift[Shift_Name],tblShift[Logout_Time]," ")</f>
        <v>0.625</v>
      </c>
      <c r="AG198">
        <f>_xlfn.XLOOKUP(tblMaster[[#This Row],[Shift]],tblShift[Shift_Name],tblShift[Standard_Working_Hours],"")</f>
        <v>8</v>
      </c>
      <c r="AH198" t="str">
        <f>_xlfn.XLOOKUP(tblMaster[[#This Row],[Attendance_Date]],tblHoliday[Holiday_Date],tblHoliday[Holiday_Name],"Working Day")</f>
        <v>Working Day</v>
      </c>
      <c r="AI198" t="str">
        <f>_xlfn.XLOOKUP(tblMaster[[#This Row],[Attendance_Date]],tblHoliday[Holiday_Date],tblHoliday[Holiday_Type],"Working Day ")</f>
        <v xml:space="preserve">Working Day </v>
      </c>
    </row>
    <row r="199" spans="1:35" x14ac:dyDescent="0.3">
      <c r="A199" t="s">
        <v>383</v>
      </c>
      <c r="B199" s="1">
        <v>45746</v>
      </c>
      <c r="C199" t="s">
        <v>71</v>
      </c>
      <c r="D199" t="s">
        <v>50</v>
      </c>
      <c r="E199" t="s">
        <v>103</v>
      </c>
      <c r="F199" t="s">
        <v>211</v>
      </c>
      <c r="G199" t="s">
        <v>212</v>
      </c>
      <c r="H199" t="s">
        <v>64</v>
      </c>
      <c r="I199" t="s">
        <v>65</v>
      </c>
      <c r="J199" t="s">
        <v>74</v>
      </c>
      <c r="K199" t="s">
        <v>54</v>
      </c>
      <c r="L199" s="2">
        <v>0.375</v>
      </c>
      <c r="M199" s="2">
        <v>0.75</v>
      </c>
      <c r="N199">
        <v>10</v>
      </c>
      <c r="O199">
        <v>2</v>
      </c>
      <c r="P199" t="s">
        <v>32</v>
      </c>
      <c r="R199">
        <v>5</v>
      </c>
      <c r="S199" t="s">
        <v>67</v>
      </c>
      <c r="T199" t="s">
        <v>68</v>
      </c>
      <c r="U199" t="str">
        <f>_xlfn.XLOOKUP(tblMaster[[#This Row],[Employee_ID]],tblEmployee[Employee_ID],tblEmployee[Work_Mode]," ")</f>
        <v>Hybrid</v>
      </c>
      <c r="V199" t="s">
        <v>69</v>
      </c>
      <c r="W199">
        <f>_xlfn.XLOOKUP(F199,tblEmployee[Employee_ID],tblEmployee[Age],"Not Found")</f>
        <v>26</v>
      </c>
      <c r="X199" t="str">
        <f>_xlfn.XLOOKUP(F199,tblEmployee[Employee_ID],tblEmployee[Gender],"Not Found")</f>
        <v>Female</v>
      </c>
      <c r="Y199">
        <f>_xlfn.XLOOKUP(F199,tblEmployee[Employee_ID],tblEmployee[Joining_Date],"")</f>
        <v>43784</v>
      </c>
      <c r="Z199">
        <f>_xlfn.XLOOKUP(H199,tblDepartment[Department],tblDepartment[Annual_Budget_INR],"")</f>
        <v>85000000</v>
      </c>
      <c r="AA199" t="str">
        <f>_xlfn.XLOOKUP(H199,tblDepartment[Department],tblDepartment[Monthly_Target],"")</f>
        <v>99.5% System Uptime</v>
      </c>
      <c r="AB199">
        <f>_xlfn.XLOOKUP(H199,tblDepartment[Department],tblDepartment[Average_Salary_INR],"")</f>
        <v>720000</v>
      </c>
      <c r="AC199" t="str">
        <f>_xlfn.XLOOKUP(H199,tblDepartment[Department],tblDepartment[Priority_Level],"")</f>
        <v>High</v>
      </c>
      <c r="AD199" t="str">
        <f>_xlfn.XLOOKUP(H199,tblDepartment[Department],tblDepartment[Key_KPI],"")</f>
        <v>Project Delivery</v>
      </c>
      <c r="AE199">
        <f>_xlfn.XLOOKUP(tblMaster[[#This Row],[Shift]],tblShift[Shift_Name],tblShift[Login_Time],"")</f>
        <v>0.58333333333333337</v>
      </c>
      <c r="AF199">
        <f>_xlfn.XLOOKUP(tblMaster[[#This Row],[Shift]],tblShift[Shift_Name],tblShift[Logout_Time]," ")</f>
        <v>0.95833333333333337</v>
      </c>
      <c r="AG199">
        <f>_xlfn.XLOOKUP(tblMaster[[#This Row],[Shift]],tblShift[Shift_Name],tblShift[Standard_Working_Hours],"")</f>
        <v>8</v>
      </c>
      <c r="AH199" t="str">
        <f>_xlfn.XLOOKUP(tblMaster[[#This Row],[Attendance_Date]],tblHoliday[Holiday_Date],tblHoliday[Holiday_Name],"Working Day")</f>
        <v>Working Day</v>
      </c>
      <c r="AI199" t="str">
        <f>_xlfn.XLOOKUP(tblMaster[[#This Row],[Attendance_Date]],tblHoliday[Holiday_Date],tblHoliday[Holiday_Type],"Working Day ")</f>
        <v xml:space="preserve">Working Day </v>
      </c>
    </row>
    <row r="200" spans="1:35" x14ac:dyDescent="0.3">
      <c r="A200" t="s">
        <v>384</v>
      </c>
      <c r="B200" s="3">
        <v>45683</v>
      </c>
      <c r="C200" t="s">
        <v>49</v>
      </c>
      <c r="D200" t="s">
        <v>50</v>
      </c>
      <c r="E200" t="s">
        <v>103</v>
      </c>
      <c r="F200" t="s">
        <v>228</v>
      </c>
      <c r="G200" t="s">
        <v>229</v>
      </c>
      <c r="H200" t="s">
        <v>79</v>
      </c>
      <c r="I200" t="s">
        <v>80</v>
      </c>
      <c r="J200" t="s">
        <v>43</v>
      </c>
      <c r="K200" t="s">
        <v>81</v>
      </c>
      <c r="P200" t="s">
        <v>135</v>
      </c>
      <c r="S200" t="s">
        <v>67</v>
      </c>
      <c r="T200" t="s">
        <v>84</v>
      </c>
      <c r="U200" t="str">
        <f>_xlfn.XLOOKUP(tblMaster[[#This Row],[Employee_ID]],tblEmployee[Employee_ID],tblEmployee[Work_Mode]," ")</f>
        <v>Hybrid</v>
      </c>
      <c r="V200" t="s">
        <v>60</v>
      </c>
      <c r="W200">
        <f>_xlfn.XLOOKUP(F200,tblEmployee[Employee_ID],tblEmployee[Age],"Not Found")</f>
        <v>29</v>
      </c>
      <c r="X200" t="str">
        <f>_xlfn.XLOOKUP(F200,tblEmployee[Employee_ID],tblEmployee[Gender],"Not Found")</f>
        <v>Female</v>
      </c>
      <c r="Y200">
        <f>_xlfn.XLOOKUP(F200,tblEmployee[Employee_ID],tblEmployee[Joining_Date],"")</f>
        <v>44607</v>
      </c>
      <c r="Z200">
        <f>_xlfn.XLOOKUP(H200,tblDepartment[Department],tblDepartment[Annual_Budget_INR],"")</f>
        <v>26000000</v>
      </c>
      <c r="AA200" t="str">
        <f>_xlfn.XLOOKUP(H200,tblDepartment[Department],tblDepartment[Monthly_Target],"")</f>
        <v>100% Payroll Accuracy</v>
      </c>
      <c r="AB200">
        <f>_xlfn.XLOOKUP(H200,tblDepartment[Department],tblDepartment[Average_Salary_INR],"")</f>
        <v>640000</v>
      </c>
      <c r="AC200" t="str">
        <f>_xlfn.XLOOKUP(H200,tblDepartment[Department],tblDepartment[Priority_Level],"")</f>
        <v>High</v>
      </c>
      <c r="AD200" t="str">
        <f>_xlfn.XLOOKUP(H200,tblDepartment[Department],tblDepartment[Key_KPI],"")</f>
        <v>Financial Compliance</v>
      </c>
      <c r="AE200">
        <f>_xlfn.XLOOKUP(tblMaster[[#This Row],[Shift]],tblShift[Shift_Name],tblShift[Login_Time],"")</f>
        <v>0.91666666666666663</v>
      </c>
      <c r="AF200">
        <f>_xlfn.XLOOKUP(tblMaster[[#This Row],[Shift]],tblShift[Shift_Name],tblShift[Logout_Time]," ")</f>
        <v>0.29166666666666669</v>
      </c>
      <c r="AG200">
        <f>_xlfn.XLOOKUP(tblMaster[[#This Row],[Shift]],tblShift[Shift_Name],tblShift[Standard_Working_Hours],"")</f>
        <v>8</v>
      </c>
      <c r="AH200" t="str">
        <f>_xlfn.XLOOKUP(tblMaster[[#This Row],[Attendance_Date]],tblHoliday[Holiday_Date],tblHoliday[Holiday_Name],"Working Day")</f>
        <v>Republic Day</v>
      </c>
      <c r="AI200" t="str">
        <f>_xlfn.XLOOKUP(tblMaster[[#This Row],[Attendance_Date]],tblHoliday[Holiday_Date],tblHoliday[Holiday_Type],"Working Day ")</f>
        <v>National</v>
      </c>
    </row>
    <row r="201" spans="1:35" hidden="1" x14ac:dyDescent="0.3">
      <c r="A201" t="s">
        <v>385</v>
      </c>
      <c r="B201" s="3">
        <v>45737</v>
      </c>
      <c r="C201" t="s">
        <v>71</v>
      </c>
      <c r="D201" t="s">
        <v>50</v>
      </c>
      <c r="E201" t="s">
        <v>119</v>
      </c>
      <c r="F201" t="s">
        <v>204</v>
      </c>
      <c r="G201" t="s">
        <v>205</v>
      </c>
      <c r="H201" t="s">
        <v>90</v>
      </c>
      <c r="I201" t="s">
        <v>91</v>
      </c>
      <c r="J201" t="s">
        <v>74</v>
      </c>
      <c r="K201" t="s">
        <v>54</v>
      </c>
      <c r="L201" s="2">
        <v>0.375</v>
      </c>
      <c r="M201" s="2">
        <v>0.75</v>
      </c>
      <c r="N201">
        <v>8</v>
      </c>
      <c r="O201">
        <v>0</v>
      </c>
      <c r="P201" t="s">
        <v>32</v>
      </c>
      <c r="S201" t="s">
        <v>45</v>
      </c>
      <c r="T201" t="s">
        <v>93</v>
      </c>
      <c r="U201" t="s">
        <v>85</v>
      </c>
      <c r="W201">
        <f>_xlfn.XLOOKUP(F201,tblEmployee[Employee_ID],tblEmployee[Age],"Not Found")</f>
        <v>24</v>
      </c>
      <c r="X201" t="str">
        <f>_xlfn.XLOOKUP(F201,tblEmployee[Employee_ID],tblEmployee[Gender],"Not Found")</f>
        <v>Female</v>
      </c>
      <c r="Y201">
        <f>_xlfn.XLOOKUP(F201,tblEmployee[Employee_ID],tblEmployee[Joining_Date],"")</f>
        <v>43905</v>
      </c>
      <c r="Z201">
        <f>_xlfn.XLOOKUP(H201,tblDepartment[Department],tblDepartment[Annual_Budget_INR],"")</f>
        <v>18000000</v>
      </c>
      <c r="AA201" t="str">
        <f>_xlfn.XLOOKUP(H201,tblDepartment[Department],tblDepartment[Monthly_Target],"")</f>
        <v>&lt;30 Days Hiring Cycle</v>
      </c>
      <c r="AB201">
        <f>_xlfn.XLOOKUP(H201,tblDepartment[Department],tblDepartment[Average_Salary_INR],"")</f>
        <v>560000</v>
      </c>
      <c r="AC201" t="str">
        <f>_xlfn.XLOOKUP(H201,tblDepartment[Department],tblDepartment[Priority_Level],"")</f>
        <v>Medium</v>
      </c>
      <c r="AD201" t="str">
        <f>_xlfn.XLOOKUP(H201,tblDepartment[Department],tblDepartment[Key_KPI],"")</f>
        <v>Hiring &amp; Retention</v>
      </c>
      <c r="AE201">
        <f>_xlfn.XLOOKUP(tblMaster[[#This Row],[Shift]],tblShift[Shift_Name],tblShift[Login_Time],"")</f>
        <v>0.58333333333333337</v>
      </c>
      <c r="AF201">
        <f>_xlfn.XLOOKUP(tblMaster[[#This Row],[Shift]],tblShift[Shift_Name],tblShift[Logout_Time]," ")</f>
        <v>0.95833333333333337</v>
      </c>
      <c r="AG201">
        <f>_xlfn.XLOOKUP(tblMaster[[#This Row],[Shift]],tblShift[Shift_Name],tblShift[Standard_Working_Hours],"")</f>
        <v>8</v>
      </c>
      <c r="AH201" t="str">
        <f>_xlfn.XLOOKUP(tblMaster[[#This Row],[Attendance_Date]],tblHoliday[Holiday_Date],tblHoliday[Holiday_Name],"Working Day")</f>
        <v>Working Day</v>
      </c>
      <c r="AI201" t="str">
        <f>_xlfn.XLOOKUP(tblMaster[[#This Row],[Attendance_Date]],tblHoliday[Holiday_Date],tblHoliday[Holiday_Type],"Working Day ")</f>
        <v xml:space="preserve">Working Day </v>
      </c>
    </row>
    <row r="202" spans="1:35" x14ac:dyDescent="0.3">
      <c r="A202" t="s">
        <v>386</v>
      </c>
      <c r="B202" s="1">
        <v>45744</v>
      </c>
      <c r="C202" t="s">
        <v>71</v>
      </c>
      <c r="D202" t="s">
        <v>50</v>
      </c>
      <c r="E202" t="s">
        <v>119</v>
      </c>
      <c r="F202" t="s">
        <v>258</v>
      </c>
      <c r="G202" t="s">
        <v>259</v>
      </c>
      <c r="H202" t="s">
        <v>112</v>
      </c>
      <c r="I202" t="s">
        <v>113</v>
      </c>
      <c r="J202" t="s">
        <v>74</v>
      </c>
      <c r="K202" t="s">
        <v>75</v>
      </c>
      <c r="L202" s="2">
        <v>0.38194444444444442</v>
      </c>
      <c r="M202" s="2">
        <v>0.75</v>
      </c>
      <c r="N202">
        <v>8</v>
      </c>
      <c r="O202">
        <v>0</v>
      </c>
      <c r="P202" t="s">
        <v>32</v>
      </c>
      <c r="S202" t="s">
        <v>45</v>
      </c>
      <c r="T202" t="s">
        <v>114</v>
      </c>
      <c r="U202" t="str">
        <f>_xlfn.XLOOKUP(tblMaster[[#This Row],[Employee_ID]],tblEmployee[Employee_ID],tblEmployee[Work_Mode]," ")</f>
        <v>Remote</v>
      </c>
      <c r="W202">
        <f>_xlfn.XLOOKUP(F202,tblEmployee[Employee_ID],tblEmployee[Age],"Not Found")</f>
        <v>39</v>
      </c>
      <c r="X202" t="str">
        <f>_xlfn.XLOOKUP(F202,tblEmployee[Employee_ID],tblEmployee[Gender],"Not Found")</f>
        <v>Male</v>
      </c>
      <c r="Y202">
        <f>_xlfn.XLOOKUP(F202,tblEmployee[Employee_ID],tblEmployee[Joining_Date],"")</f>
        <v>44362</v>
      </c>
      <c r="Z202">
        <f>_xlfn.XLOOKUP(H202,tblDepartment[Department],tblDepartment[Annual_Budget_INR],"")</f>
        <v>42000000</v>
      </c>
      <c r="AA202" t="str">
        <f>_xlfn.XLOOKUP(H202,tblDepartment[Department],tblDepartment[Monthly_Target],"")</f>
        <v>₹2.5 Cr Monthly Sales</v>
      </c>
      <c r="AB202">
        <f>_xlfn.XLOOKUP(H202,tblDepartment[Department],tblDepartment[Average_Salary_INR],"")</f>
        <v>680000</v>
      </c>
      <c r="AC202" t="str">
        <f>_xlfn.XLOOKUP(H202,tblDepartment[Department],tblDepartment[Priority_Level],"")</f>
        <v>High</v>
      </c>
      <c r="AD202" t="str">
        <f>_xlfn.XLOOKUP(H202,tblDepartment[Department],tblDepartment[Key_KPI],"")</f>
        <v>Revenue Achievement</v>
      </c>
      <c r="AE202">
        <f>_xlfn.XLOOKUP(tblMaster[[#This Row],[Shift]],tblShift[Shift_Name],tblShift[Login_Time],"")</f>
        <v>0.375</v>
      </c>
      <c r="AF202">
        <f>_xlfn.XLOOKUP(tblMaster[[#This Row],[Shift]],tblShift[Shift_Name],tblShift[Logout_Time]," ")</f>
        <v>0.75</v>
      </c>
      <c r="AG202">
        <f>_xlfn.XLOOKUP(tblMaster[[#This Row],[Shift]],tblShift[Shift_Name],tblShift[Standard_Working_Hours],"")</f>
        <v>8</v>
      </c>
      <c r="AH202" t="str">
        <f>_xlfn.XLOOKUP(tblMaster[[#This Row],[Attendance_Date]],tblHoliday[Holiday_Date],tblHoliday[Holiday_Name],"Working Day")</f>
        <v>Working Day</v>
      </c>
      <c r="AI202" t="str">
        <f>_xlfn.XLOOKUP(tblMaster[[#This Row],[Attendance_Date]],tblHoliday[Holiday_Date],tblHoliday[Holiday_Type],"Working Day ")</f>
        <v xml:space="preserve">Working Day </v>
      </c>
    </row>
    <row r="203" spans="1:35" hidden="1" x14ac:dyDescent="0.3">
      <c r="A203" t="s">
        <v>387</v>
      </c>
      <c r="B203" s="1">
        <v>45790</v>
      </c>
      <c r="C203" t="s">
        <v>57</v>
      </c>
      <c r="D203" t="s">
        <v>24</v>
      </c>
      <c r="E203" t="s">
        <v>87</v>
      </c>
      <c r="F203" t="s">
        <v>52</v>
      </c>
      <c r="G203" t="s">
        <v>53</v>
      </c>
      <c r="H203" t="s">
        <v>41</v>
      </c>
      <c r="I203" t="s">
        <v>42</v>
      </c>
      <c r="J203" t="s">
        <v>43</v>
      </c>
      <c r="K203" t="s">
        <v>54</v>
      </c>
      <c r="L203" s="2">
        <v>0.375</v>
      </c>
      <c r="M203" s="2">
        <v>0.75</v>
      </c>
      <c r="N203">
        <v>8</v>
      </c>
      <c r="O203">
        <v>0</v>
      </c>
      <c r="P203" t="s">
        <v>32</v>
      </c>
      <c r="S203" t="s">
        <v>33</v>
      </c>
      <c r="T203" t="s">
        <v>46</v>
      </c>
      <c r="U203" t="s">
        <v>85</v>
      </c>
      <c r="W203">
        <f>_xlfn.XLOOKUP(F203,tblEmployee[Employee_ID],tblEmployee[Age],"Not Found")</f>
        <v>27</v>
      </c>
      <c r="X203" t="str">
        <f>_xlfn.XLOOKUP(F203,tblEmployee[Employee_ID],tblEmployee[Gender],"Not Found")</f>
        <v>Male</v>
      </c>
      <c r="Y203">
        <f>_xlfn.XLOOKUP(F203,tblEmployee[Employee_ID],tblEmployee[Joining_Date],"")</f>
        <v>45092</v>
      </c>
      <c r="Z203">
        <f>_xlfn.XLOOKUP(H203,tblDepartment[Department],tblDepartment[Annual_Budget_INR],"")</f>
        <v>34000000</v>
      </c>
      <c r="AA203" t="str">
        <f>_xlfn.XLOOKUP(H203,tblDepartment[Department],tblDepartment[Monthly_Target],"")</f>
        <v>95% Process Efficiency</v>
      </c>
      <c r="AB203">
        <f>_xlfn.XLOOKUP(H203,tblDepartment[Department],tblDepartment[Average_Salary_INR],"")</f>
        <v>610000</v>
      </c>
      <c r="AC203" t="str">
        <f>_xlfn.XLOOKUP(H203,tblDepartment[Department],tblDepartment[Priority_Level],"")</f>
        <v>High</v>
      </c>
      <c r="AD203" t="str">
        <f>_xlfn.XLOOKUP(H203,tblDepartment[Department],tblDepartment[Key_KPI],"")</f>
        <v>Operational Efficiency</v>
      </c>
      <c r="AE203">
        <f>_xlfn.XLOOKUP(tblMaster[[#This Row],[Shift]],tblShift[Shift_Name],tblShift[Login_Time],"")</f>
        <v>0.58333333333333337</v>
      </c>
      <c r="AF203">
        <f>_xlfn.XLOOKUP(tblMaster[[#This Row],[Shift]],tblShift[Shift_Name],tblShift[Logout_Time]," ")</f>
        <v>0.95833333333333337</v>
      </c>
      <c r="AG203">
        <f>_xlfn.XLOOKUP(tblMaster[[#This Row],[Shift]],tblShift[Shift_Name],tblShift[Standard_Working_Hours],"")</f>
        <v>8</v>
      </c>
      <c r="AH203" t="str">
        <f>_xlfn.XLOOKUP(tblMaster[[#This Row],[Attendance_Date]],tblHoliday[Holiday_Date],tblHoliday[Holiday_Name],"Working Day")</f>
        <v>Working Day</v>
      </c>
      <c r="AI203" t="str">
        <f>_xlfn.XLOOKUP(tblMaster[[#This Row],[Attendance_Date]],tblHoliday[Holiday_Date],tblHoliday[Holiday_Type],"Working Day ")</f>
        <v xml:space="preserve">Working Day </v>
      </c>
    </row>
    <row r="204" spans="1:35" hidden="1" x14ac:dyDescent="0.3">
      <c r="A204" t="s">
        <v>388</v>
      </c>
      <c r="B204" s="1">
        <v>45749</v>
      </c>
      <c r="C204" t="s">
        <v>37</v>
      </c>
      <c r="D204" t="s">
        <v>24</v>
      </c>
      <c r="E204" t="s">
        <v>51</v>
      </c>
      <c r="F204" t="s">
        <v>231</v>
      </c>
      <c r="G204" t="s">
        <v>232</v>
      </c>
      <c r="H204" t="s">
        <v>98</v>
      </c>
      <c r="I204" t="s">
        <v>99</v>
      </c>
      <c r="J204" t="s">
        <v>74</v>
      </c>
      <c r="K204" t="s">
        <v>75</v>
      </c>
      <c r="L204" s="2">
        <v>0.375</v>
      </c>
      <c r="M204" s="2">
        <v>0.75</v>
      </c>
      <c r="N204">
        <v>8</v>
      </c>
      <c r="O204">
        <v>0</v>
      </c>
      <c r="P204" t="s">
        <v>32</v>
      </c>
      <c r="R204">
        <v>3</v>
      </c>
      <c r="S204" t="s">
        <v>92</v>
      </c>
      <c r="T204" t="s">
        <v>101</v>
      </c>
      <c r="U204" t="s">
        <v>55</v>
      </c>
      <c r="W204">
        <f>_xlfn.XLOOKUP(F204,tblEmployee[Employee_ID],tblEmployee[Age],"Not Found")</f>
        <v>31</v>
      </c>
      <c r="X204" t="str">
        <f>_xlfn.XLOOKUP(F204,tblEmployee[Employee_ID],tblEmployee[Gender],"Not Found")</f>
        <v>Male</v>
      </c>
      <c r="Y204">
        <f>_xlfn.XLOOKUP(F204,tblEmployee[Employee_ID],tblEmployee[Joining_Date],"")</f>
        <v>45397</v>
      </c>
      <c r="Z204">
        <f>_xlfn.XLOOKUP(H204,tblDepartment[Department],tblDepartment[Annual_Budget_INR],"")</f>
        <v>22000000</v>
      </c>
      <c r="AA204" t="str">
        <f>_xlfn.XLOOKUP(H204,tblDepartment[Department],tblDepartment[Monthly_Target],"")</f>
        <v>2500 Qualified Leads</v>
      </c>
      <c r="AB204">
        <f>_xlfn.XLOOKUP(H204,tblDepartment[Department],tblDepartment[Average_Salary_INR],"")</f>
        <v>590000</v>
      </c>
      <c r="AC204" t="str">
        <f>_xlfn.XLOOKUP(H204,tblDepartment[Department],tblDepartment[Priority_Level],"")</f>
        <v>Medium</v>
      </c>
      <c r="AD204" t="str">
        <f>_xlfn.XLOOKUP(H204,tblDepartment[Department],tblDepartment[Key_KPI],"")</f>
        <v>Lead Generation</v>
      </c>
      <c r="AE204">
        <f>_xlfn.XLOOKUP(tblMaster[[#This Row],[Shift]],tblShift[Shift_Name],tblShift[Login_Time],"")</f>
        <v>0.375</v>
      </c>
      <c r="AF204">
        <f>_xlfn.XLOOKUP(tblMaster[[#This Row],[Shift]],tblShift[Shift_Name],tblShift[Logout_Time]," ")</f>
        <v>0.75</v>
      </c>
      <c r="AG204">
        <f>_xlfn.XLOOKUP(tblMaster[[#This Row],[Shift]],tblShift[Shift_Name],tblShift[Standard_Working_Hours],"")</f>
        <v>8</v>
      </c>
      <c r="AH204" t="str">
        <f>_xlfn.XLOOKUP(tblMaster[[#This Row],[Attendance_Date]],tblHoliday[Holiday_Date],tblHoliday[Holiday_Name],"Working Day")</f>
        <v>Working Day</v>
      </c>
      <c r="AI204" t="str">
        <f>_xlfn.XLOOKUP(tblMaster[[#This Row],[Attendance_Date]],tblHoliday[Holiday_Date],tblHoliday[Holiday_Type],"Working Day ")</f>
        <v xml:space="preserve">Working Day </v>
      </c>
    </row>
    <row r="205" spans="1:35" hidden="1" x14ac:dyDescent="0.3">
      <c r="A205" t="s">
        <v>389</v>
      </c>
      <c r="B205" s="1">
        <v>45799</v>
      </c>
      <c r="C205" t="s">
        <v>57</v>
      </c>
      <c r="D205" t="s">
        <v>24</v>
      </c>
      <c r="E205" t="s">
        <v>25</v>
      </c>
      <c r="F205" t="s">
        <v>116</v>
      </c>
      <c r="G205" t="s">
        <v>117</v>
      </c>
      <c r="H205" t="s">
        <v>112</v>
      </c>
      <c r="I205" t="s">
        <v>113</v>
      </c>
      <c r="J205" t="s">
        <v>100</v>
      </c>
      <c r="K205" t="s">
        <v>31</v>
      </c>
      <c r="L205" s="2">
        <v>0.38194444444444442</v>
      </c>
      <c r="M205" s="2">
        <v>0.75</v>
      </c>
      <c r="N205">
        <v>8</v>
      </c>
      <c r="O205">
        <v>0</v>
      </c>
      <c r="P205" t="s">
        <v>32</v>
      </c>
      <c r="R205">
        <v>4</v>
      </c>
      <c r="S205" t="s">
        <v>92</v>
      </c>
      <c r="T205" t="s">
        <v>114</v>
      </c>
      <c r="U205" t="s">
        <v>55</v>
      </c>
      <c r="W205">
        <f>_xlfn.XLOOKUP(F205,tblEmployee[Employee_ID],tblEmployee[Age],"Not Found")</f>
        <v>24</v>
      </c>
      <c r="X205" t="str">
        <f>_xlfn.XLOOKUP(F205,tblEmployee[Employee_ID],tblEmployee[Gender],"Not Found")</f>
        <v>Male</v>
      </c>
      <c r="Y205">
        <f>_xlfn.XLOOKUP(F205,tblEmployee[Employee_ID],tblEmployee[Joining_Date],"")</f>
        <v>44270</v>
      </c>
      <c r="Z205">
        <f>_xlfn.XLOOKUP(H205,tblDepartment[Department],tblDepartment[Annual_Budget_INR],"")</f>
        <v>42000000</v>
      </c>
      <c r="AA205" t="str">
        <f>_xlfn.XLOOKUP(H205,tblDepartment[Department],tblDepartment[Monthly_Target],"")</f>
        <v>₹2.5 Cr Monthly Sales</v>
      </c>
      <c r="AB205">
        <f>_xlfn.XLOOKUP(H205,tblDepartment[Department],tblDepartment[Average_Salary_INR],"")</f>
        <v>680000</v>
      </c>
      <c r="AC205" t="str">
        <f>_xlfn.XLOOKUP(H205,tblDepartment[Department],tblDepartment[Priority_Level],"")</f>
        <v>High</v>
      </c>
      <c r="AD205" t="str">
        <f>_xlfn.XLOOKUP(H205,tblDepartment[Department],tblDepartment[Key_KPI],"")</f>
        <v>Revenue Achievement</v>
      </c>
      <c r="AE205">
        <f>_xlfn.XLOOKUP(tblMaster[[#This Row],[Shift]],tblShift[Shift_Name],tblShift[Login_Time],"")</f>
        <v>0.25</v>
      </c>
      <c r="AF205">
        <f>_xlfn.XLOOKUP(tblMaster[[#This Row],[Shift]],tblShift[Shift_Name],tblShift[Logout_Time]," ")</f>
        <v>0.625</v>
      </c>
      <c r="AG205">
        <f>_xlfn.XLOOKUP(tblMaster[[#This Row],[Shift]],tblShift[Shift_Name],tblShift[Standard_Working_Hours],"")</f>
        <v>8</v>
      </c>
      <c r="AH205" t="str">
        <f>_xlfn.XLOOKUP(tblMaster[[#This Row],[Attendance_Date]],tblHoliday[Holiday_Date],tblHoliday[Holiday_Name],"Working Day")</f>
        <v>Working Day</v>
      </c>
      <c r="AI205" t="str">
        <f>_xlfn.XLOOKUP(tblMaster[[#This Row],[Attendance_Date]],tblHoliday[Holiday_Date],tblHoliday[Holiday_Type],"Working Day ")</f>
        <v xml:space="preserve">Working Day </v>
      </c>
    </row>
    <row r="206" spans="1:35" hidden="1" x14ac:dyDescent="0.3">
      <c r="A206" t="s">
        <v>390</v>
      </c>
      <c r="B206" s="3">
        <v>45796</v>
      </c>
      <c r="C206" t="s">
        <v>57</v>
      </c>
      <c r="D206" t="s">
        <v>24</v>
      </c>
      <c r="E206" t="s">
        <v>109</v>
      </c>
      <c r="F206" t="s">
        <v>195</v>
      </c>
      <c r="G206" t="s">
        <v>196</v>
      </c>
      <c r="H206" t="s">
        <v>98</v>
      </c>
      <c r="I206" t="s">
        <v>99</v>
      </c>
      <c r="J206" t="s">
        <v>43</v>
      </c>
      <c r="K206" t="s">
        <v>54</v>
      </c>
      <c r="L206" s="2">
        <v>0.375</v>
      </c>
      <c r="M206" s="2">
        <v>0.75</v>
      </c>
      <c r="N206">
        <v>8</v>
      </c>
      <c r="O206">
        <v>0</v>
      </c>
      <c r="P206" t="s">
        <v>32</v>
      </c>
      <c r="R206">
        <v>4</v>
      </c>
      <c r="S206" t="s">
        <v>92</v>
      </c>
      <c r="T206" t="s">
        <v>101</v>
      </c>
      <c r="U206" t="s">
        <v>47</v>
      </c>
      <c r="V206" t="s">
        <v>60</v>
      </c>
      <c r="W206">
        <f>_xlfn.XLOOKUP(F206,tblEmployee[Employee_ID],tblEmployee[Age],"Not Found")</f>
        <v>24</v>
      </c>
      <c r="X206" t="str">
        <f>_xlfn.XLOOKUP(F206,tblEmployee[Employee_ID],tblEmployee[Gender],"Not Found")</f>
        <v>Male</v>
      </c>
      <c r="Y206">
        <f>_xlfn.XLOOKUP(F206,tblEmployee[Employee_ID],tblEmployee[Joining_Date],"")</f>
        <v>45550</v>
      </c>
      <c r="Z206">
        <f>_xlfn.XLOOKUP(H206,tblDepartment[Department],tblDepartment[Annual_Budget_INR],"")</f>
        <v>22000000</v>
      </c>
      <c r="AA206" t="str">
        <f>_xlfn.XLOOKUP(H206,tblDepartment[Department],tblDepartment[Monthly_Target],"")</f>
        <v>2500 Qualified Leads</v>
      </c>
      <c r="AB206">
        <f>_xlfn.XLOOKUP(H206,tblDepartment[Department],tblDepartment[Average_Salary_INR],"")</f>
        <v>590000</v>
      </c>
      <c r="AC206" t="str">
        <f>_xlfn.XLOOKUP(H206,tblDepartment[Department],tblDepartment[Priority_Level],"")</f>
        <v>Medium</v>
      </c>
      <c r="AD206" t="str">
        <f>_xlfn.XLOOKUP(H206,tblDepartment[Department],tblDepartment[Key_KPI],"")</f>
        <v>Lead Generation</v>
      </c>
      <c r="AE206">
        <f>_xlfn.XLOOKUP(tblMaster[[#This Row],[Shift]],tblShift[Shift_Name],tblShift[Login_Time],"")</f>
        <v>0.58333333333333337</v>
      </c>
      <c r="AF206">
        <f>_xlfn.XLOOKUP(tblMaster[[#This Row],[Shift]],tblShift[Shift_Name],tblShift[Logout_Time]," ")</f>
        <v>0.95833333333333337</v>
      </c>
      <c r="AG206">
        <f>_xlfn.XLOOKUP(tblMaster[[#This Row],[Shift]],tblShift[Shift_Name],tblShift[Standard_Working_Hours],"")</f>
        <v>8</v>
      </c>
      <c r="AH206" t="str">
        <f>_xlfn.XLOOKUP(tblMaster[[#This Row],[Attendance_Date]],tblHoliday[Holiday_Date],tblHoliday[Holiday_Name],"Working Day")</f>
        <v>Working Day</v>
      </c>
      <c r="AI206" t="str">
        <f>_xlfn.XLOOKUP(tblMaster[[#This Row],[Attendance_Date]],tblHoliday[Holiday_Date],tblHoliday[Holiday_Type],"Working Day ")</f>
        <v xml:space="preserve">Working Day </v>
      </c>
    </row>
    <row r="207" spans="1:35" hidden="1" x14ac:dyDescent="0.3">
      <c r="A207" t="s">
        <v>391</v>
      </c>
      <c r="B207" s="3">
        <v>45758</v>
      </c>
      <c r="C207" t="s">
        <v>37</v>
      </c>
      <c r="D207" t="s">
        <v>24</v>
      </c>
      <c r="E207" t="s">
        <v>119</v>
      </c>
      <c r="F207" t="s">
        <v>182</v>
      </c>
      <c r="G207" t="s">
        <v>183</v>
      </c>
      <c r="H207" t="s">
        <v>112</v>
      </c>
      <c r="I207" t="s">
        <v>113</v>
      </c>
      <c r="J207" t="s">
        <v>30</v>
      </c>
      <c r="K207" t="s">
        <v>31</v>
      </c>
      <c r="L207" s="2">
        <v>0.3888888888888889</v>
      </c>
      <c r="M207" s="2">
        <v>0.75</v>
      </c>
      <c r="N207">
        <v>8</v>
      </c>
      <c r="O207">
        <v>0</v>
      </c>
      <c r="P207" t="s">
        <v>32</v>
      </c>
      <c r="R207">
        <v>5</v>
      </c>
      <c r="S207" t="s">
        <v>92</v>
      </c>
      <c r="T207" t="s">
        <v>114</v>
      </c>
      <c r="U207" t="s">
        <v>85</v>
      </c>
      <c r="W207">
        <f>_xlfn.XLOOKUP(F207,tblEmployee[Employee_ID],tblEmployee[Age],"Not Found")</f>
        <v>28</v>
      </c>
      <c r="X207" t="str">
        <f>_xlfn.XLOOKUP(F207,tblEmployee[Employee_ID],tblEmployee[Gender],"Not Found")</f>
        <v>Male</v>
      </c>
      <c r="Y207">
        <f>_xlfn.XLOOKUP(F207,tblEmployee[Employee_ID],tblEmployee[Joining_Date],"")</f>
        <v>44211</v>
      </c>
      <c r="Z207">
        <f>_xlfn.XLOOKUP(H207,tblDepartment[Department],tblDepartment[Annual_Budget_INR],"")</f>
        <v>42000000</v>
      </c>
      <c r="AA207" t="str">
        <f>_xlfn.XLOOKUP(H207,tblDepartment[Department],tblDepartment[Monthly_Target],"")</f>
        <v>₹2.5 Cr Monthly Sales</v>
      </c>
      <c r="AB207">
        <f>_xlfn.XLOOKUP(H207,tblDepartment[Department],tblDepartment[Average_Salary_INR],"")</f>
        <v>680000</v>
      </c>
      <c r="AC207" t="str">
        <f>_xlfn.XLOOKUP(H207,tblDepartment[Department],tblDepartment[Priority_Level],"")</f>
        <v>High</v>
      </c>
      <c r="AD207" t="str">
        <f>_xlfn.XLOOKUP(H207,tblDepartment[Department],tblDepartment[Key_KPI],"")</f>
        <v>Revenue Achievement</v>
      </c>
      <c r="AE207">
        <f>_xlfn.XLOOKUP(tblMaster[[#This Row],[Shift]],tblShift[Shift_Name],tblShift[Login_Time],"")</f>
        <v>0.25</v>
      </c>
      <c r="AF207">
        <f>_xlfn.XLOOKUP(tblMaster[[#This Row],[Shift]],tblShift[Shift_Name],tblShift[Logout_Time]," ")</f>
        <v>0.625</v>
      </c>
      <c r="AG207">
        <f>_xlfn.XLOOKUP(tblMaster[[#This Row],[Shift]],tblShift[Shift_Name],tblShift[Standard_Working_Hours],"")</f>
        <v>8</v>
      </c>
      <c r="AH207" t="str">
        <f>_xlfn.XLOOKUP(tblMaster[[#This Row],[Attendance_Date]],tblHoliday[Holiday_Date],tblHoliday[Holiday_Name],"Working Day")</f>
        <v>Working Day</v>
      </c>
      <c r="AI207" t="str">
        <f>_xlfn.XLOOKUP(tblMaster[[#This Row],[Attendance_Date]],tblHoliday[Holiday_Date],tblHoliday[Holiday_Type],"Working Day ")</f>
        <v xml:space="preserve">Working Day </v>
      </c>
    </row>
    <row r="208" spans="1:35" x14ac:dyDescent="0.3">
      <c r="A208" t="s">
        <v>392</v>
      </c>
      <c r="B208" s="3">
        <v>45726</v>
      </c>
      <c r="C208" t="s">
        <v>71</v>
      </c>
      <c r="D208" t="s">
        <v>50</v>
      </c>
      <c r="E208" t="s">
        <v>109</v>
      </c>
      <c r="F208" t="s">
        <v>247</v>
      </c>
      <c r="G208" t="s">
        <v>248</v>
      </c>
      <c r="H208" t="s">
        <v>64</v>
      </c>
      <c r="I208" t="s">
        <v>65</v>
      </c>
      <c r="J208" t="s">
        <v>66</v>
      </c>
      <c r="K208" t="s">
        <v>44</v>
      </c>
      <c r="L208" s="2">
        <v>0.375</v>
      </c>
      <c r="M208" s="2">
        <v>0.75</v>
      </c>
      <c r="N208">
        <v>8.5</v>
      </c>
      <c r="O208">
        <v>0.5</v>
      </c>
      <c r="P208" t="s">
        <v>32</v>
      </c>
      <c r="R208">
        <v>3</v>
      </c>
      <c r="S208" t="s">
        <v>45</v>
      </c>
      <c r="T208" t="s">
        <v>68</v>
      </c>
      <c r="U208" t="str">
        <f>_xlfn.XLOOKUP(tblMaster[[#This Row],[Employee_ID]],tblEmployee[Employee_ID],tblEmployee[Work_Mode]," ")</f>
        <v>Office</v>
      </c>
      <c r="V208" t="s">
        <v>60</v>
      </c>
      <c r="W208">
        <f>_xlfn.XLOOKUP(F208,tblEmployee[Employee_ID],tblEmployee[Age],"Not Found")</f>
        <v>22</v>
      </c>
      <c r="X208" t="str">
        <f>_xlfn.XLOOKUP(F208,tblEmployee[Employee_ID],tblEmployee[Gender],"Not Found")</f>
        <v>Male</v>
      </c>
      <c r="Y208">
        <f>_xlfn.XLOOKUP(F208,tblEmployee[Employee_ID],tblEmployee[Joining_Date],"")</f>
        <v>43480</v>
      </c>
      <c r="Z208">
        <f>_xlfn.XLOOKUP(H208,tblDepartment[Department],tblDepartment[Annual_Budget_INR],"")</f>
        <v>85000000</v>
      </c>
      <c r="AA208" t="str">
        <f>_xlfn.XLOOKUP(H208,tblDepartment[Department],tblDepartment[Monthly_Target],"")</f>
        <v>99.5% System Uptime</v>
      </c>
      <c r="AB208">
        <f>_xlfn.XLOOKUP(H208,tblDepartment[Department],tblDepartment[Average_Salary_INR],"")</f>
        <v>720000</v>
      </c>
      <c r="AC208" t="str">
        <f>_xlfn.XLOOKUP(H208,tblDepartment[Department],tblDepartment[Priority_Level],"")</f>
        <v>High</v>
      </c>
      <c r="AD208" t="str">
        <f>_xlfn.XLOOKUP(H208,tblDepartment[Department],tblDepartment[Key_KPI],"")</f>
        <v>Project Delivery</v>
      </c>
      <c r="AE208">
        <f>_xlfn.XLOOKUP(tblMaster[[#This Row],[Shift]],tblShift[Shift_Name],tblShift[Login_Time],"")</f>
        <v>0.41666666666666669</v>
      </c>
      <c r="AF208">
        <f>_xlfn.XLOOKUP(tblMaster[[#This Row],[Shift]],tblShift[Shift_Name],tblShift[Logout_Time]," ")</f>
        <v>0.79166666666666663</v>
      </c>
      <c r="AG208">
        <f>_xlfn.XLOOKUP(tblMaster[[#This Row],[Shift]],tblShift[Shift_Name],tblShift[Standard_Working_Hours],"")</f>
        <v>8</v>
      </c>
      <c r="AH208" t="str">
        <f>_xlfn.XLOOKUP(tblMaster[[#This Row],[Attendance_Date]],tblHoliday[Holiday_Date],tblHoliday[Holiday_Name],"Working Day")</f>
        <v>Working Day</v>
      </c>
      <c r="AI208" t="str">
        <f>_xlfn.XLOOKUP(tblMaster[[#This Row],[Attendance_Date]],tblHoliday[Holiday_Date],tblHoliday[Holiday_Type],"Working Day ")</f>
        <v xml:space="preserve">Working Day </v>
      </c>
    </row>
    <row r="209" spans="1:35" hidden="1" x14ac:dyDescent="0.3">
      <c r="A209" t="s">
        <v>393</v>
      </c>
      <c r="B209" s="3">
        <v>45795</v>
      </c>
      <c r="C209" t="s">
        <v>57</v>
      </c>
      <c r="D209" t="s">
        <v>24</v>
      </c>
      <c r="E209" t="s">
        <v>103</v>
      </c>
      <c r="F209" t="s">
        <v>124</v>
      </c>
      <c r="G209" t="s">
        <v>125</v>
      </c>
      <c r="H209" t="s">
        <v>28</v>
      </c>
      <c r="I209" t="s">
        <v>29</v>
      </c>
      <c r="J209" t="s">
        <v>66</v>
      </c>
      <c r="K209" t="s">
        <v>81</v>
      </c>
      <c r="L209" s="2">
        <v>0.91666666666666663</v>
      </c>
      <c r="M209" s="2">
        <v>0.29166666666666669</v>
      </c>
      <c r="N209">
        <v>8.5</v>
      </c>
      <c r="O209">
        <v>0.5</v>
      </c>
      <c r="P209" t="s">
        <v>32</v>
      </c>
      <c r="R209">
        <v>4</v>
      </c>
      <c r="S209" t="s">
        <v>45</v>
      </c>
      <c r="T209" t="s">
        <v>34</v>
      </c>
      <c r="U209" t="s">
        <v>55</v>
      </c>
      <c r="V209" t="s">
        <v>35</v>
      </c>
      <c r="W209">
        <f>_xlfn.XLOOKUP(F209,tblEmployee[Employee_ID],tblEmployee[Age],"Not Found")</f>
        <v>25</v>
      </c>
      <c r="X209" t="str">
        <f>_xlfn.XLOOKUP(F209,tblEmployee[Employee_ID],tblEmployee[Gender],"Not Found")</f>
        <v>Male</v>
      </c>
      <c r="Y209">
        <f>_xlfn.XLOOKUP(F209,tblEmployee[Employee_ID],tblEmployee[Joining_Date],"")</f>
        <v>43388</v>
      </c>
      <c r="Z209">
        <f>_xlfn.XLOOKUP(H209,tblDepartment[Department],tblDepartment[Annual_Budget_INR],"")</f>
        <v>24000000</v>
      </c>
      <c r="AA209" t="str">
        <f>_xlfn.XLOOKUP(H209,tblDepartment[Department],tblDepartment[Monthly_Target],"")</f>
        <v>90% Customer Satisfaction</v>
      </c>
      <c r="AB209">
        <f>_xlfn.XLOOKUP(H209,tblDepartment[Department],tblDepartment[Average_Salary_INR],"")</f>
        <v>520000</v>
      </c>
      <c r="AC209" t="str">
        <f>_xlfn.XLOOKUP(H209,tblDepartment[Department],tblDepartment[Priority_Level],"")</f>
        <v>High</v>
      </c>
      <c r="AD209" t="str">
        <f>_xlfn.XLOOKUP(H209,tblDepartment[Department],tblDepartment[Key_KPI],"")</f>
        <v>Customer Satisfaction</v>
      </c>
      <c r="AE209">
        <f>_xlfn.XLOOKUP(tblMaster[[#This Row],[Shift]],tblShift[Shift_Name],tblShift[Login_Time],"")</f>
        <v>0.91666666666666663</v>
      </c>
      <c r="AF209">
        <f>_xlfn.XLOOKUP(tblMaster[[#This Row],[Shift]],tblShift[Shift_Name],tblShift[Logout_Time]," ")</f>
        <v>0.29166666666666669</v>
      </c>
      <c r="AG209">
        <f>_xlfn.XLOOKUP(tblMaster[[#This Row],[Shift]],tblShift[Shift_Name],tblShift[Standard_Working_Hours],"")</f>
        <v>8</v>
      </c>
      <c r="AH209" t="str">
        <f>_xlfn.XLOOKUP(tblMaster[[#This Row],[Attendance_Date]],tblHoliday[Holiday_Date],tblHoliday[Holiday_Name],"Working Day")</f>
        <v>Working Day</v>
      </c>
      <c r="AI209" t="str">
        <f>_xlfn.XLOOKUP(tblMaster[[#This Row],[Attendance_Date]],tblHoliday[Holiday_Date],tblHoliday[Holiday_Type],"Working Day ")</f>
        <v xml:space="preserve">Working Day </v>
      </c>
    </row>
    <row r="210" spans="1:35" hidden="1" x14ac:dyDescent="0.3">
      <c r="A210" t="s">
        <v>394</v>
      </c>
      <c r="B210" s="3">
        <v>45658</v>
      </c>
      <c r="C210" t="s">
        <v>49</v>
      </c>
      <c r="D210" t="s">
        <v>50</v>
      </c>
      <c r="E210" t="s">
        <v>51</v>
      </c>
      <c r="F210" t="s">
        <v>62</v>
      </c>
      <c r="G210" t="s">
        <v>63</v>
      </c>
      <c r="H210" t="s">
        <v>64</v>
      </c>
      <c r="I210" t="s">
        <v>65</v>
      </c>
      <c r="J210" t="s">
        <v>66</v>
      </c>
      <c r="K210" t="s">
        <v>44</v>
      </c>
      <c r="L210" s="2">
        <v>0.375</v>
      </c>
      <c r="M210" s="2">
        <v>0.75</v>
      </c>
      <c r="N210">
        <v>8.5</v>
      </c>
      <c r="O210">
        <v>0.5</v>
      </c>
      <c r="P210" t="s">
        <v>32</v>
      </c>
      <c r="S210" t="s">
        <v>92</v>
      </c>
      <c r="T210" t="s">
        <v>68</v>
      </c>
      <c r="U210" t="s">
        <v>85</v>
      </c>
      <c r="V210" t="s">
        <v>60</v>
      </c>
      <c r="W210">
        <f>_xlfn.XLOOKUP(F210,tblEmployee[Employee_ID],tblEmployee[Age],"Not Found")</f>
        <v>23</v>
      </c>
      <c r="X210" t="str">
        <f>_xlfn.XLOOKUP(F210,tblEmployee[Employee_ID],tblEmployee[Gender],"Not Found")</f>
        <v>Male</v>
      </c>
      <c r="Y210">
        <f>_xlfn.XLOOKUP(F210,tblEmployee[Employee_ID],tblEmployee[Joining_Date],"")</f>
        <v>43511</v>
      </c>
      <c r="Z210">
        <f>_xlfn.XLOOKUP(H210,tblDepartment[Department],tblDepartment[Annual_Budget_INR],"")</f>
        <v>85000000</v>
      </c>
      <c r="AA210" t="str">
        <f>_xlfn.XLOOKUP(H210,tblDepartment[Department],tblDepartment[Monthly_Target],"")</f>
        <v>99.5% System Uptime</v>
      </c>
      <c r="AB210">
        <f>_xlfn.XLOOKUP(H210,tblDepartment[Department],tblDepartment[Average_Salary_INR],"")</f>
        <v>720000</v>
      </c>
      <c r="AC210" t="str">
        <f>_xlfn.XLOOKUP(H210,tblDepartment[Department],tblDepartment[Priority_Level],"")</f>
        <v>High</v>
      </c>
      <c r="AD210" t="str">
        <f>_xlfn.XLOOKUP(H210,tblDepartment[Department],tblDepartment[Key_KPI],"")</f>
        <v>Project Delivery</v>
      </c>
      <c r="AE210">
        <f>_xlfn.XLOOKUP(tblMaster[[#This Row],[Shift]],tblShift[Shift_Name],tblShift[Login_Time],"")</f>
        <v>0.41666666666666669</v>
      </c>
      <c r="AF210">
        <f>_xlfn.XLOOKUP(tblMaster[[#This Row],[Shift]],tblShift[Shift_Name],tblShift[Logout_Time]," ")</f>
        <v>0.79166666666666663</v>
      </c>
      <c r="AG210">
        <f>_xlfn.XLOOKUP(tblMaster[[#This Row],[Shift]],tblShift[Shift_Name],tblShift[Standard_Working_Hours],"")</f>
        <v>8</v>
      </c>
      <c r="AH210" t="str">
        <f>_xlfn.XLOOKUP(tblMaster[[#This Row],[Attendance_Date]],tblHoliday[Holiday_Date],tblHoliday[Holiday_Name],"Working Day")</f>
        <v>New Year's Day</v>
      </c>
      <c r="AI210" t="str">
        <f>_xlfn.XLOOKUP(tblMaster[[#This Row],[Attendance_Date]],tblHoliday[Holiday_Date],tblHoliday[Holiday_Type],"Working Day ")</f>
        <v>National</v>
      </c>
    </row>
    <row r="211" spans="1:35" x14ac:dyDescent="0.3">
      <c r="A211" t="s">
        <v>395</v>
      </c>
      <c r="B211" s="1">
        <v>45735</v>
      </c>
      <c r="C211" t="s">
        <v>71</v>
      </c>
      <c r="D211" t="s">
        <v>50</v>
      </c>
      <c r="E211" t="s">
        <v>51</v>
      </c>
      <c r="F211" t="s">
        <v>215</v>
      </c>
      <c r="G211" t="s">
        <v>216</v>
      </c>
      <c r="H211" t="s">
        <v>79</v>
      </c>
      <c r="I211" t="s">
        <v>80</v>
      </c>
      <c r="J211" t="s">
        <v>30</v>
      </c>
      <c r="K211" t="s">
        <v>44</v>
      </c>
      <c r="L211" s="2">
        <v>0.375</v>
      </c>
      <c r="M211" s="2">
        <v>0.75</v>
      </c>
      <c r="N211">
        <v>8</v>
      </c>
      <c r="O211">
        <v>0</v>
      </c>
      <c r="P211" t="s">
        <v>32</v>
      </c>
      <c r="R211">
        <v>5</v>
      </c>
      <c r="S211" t="s">
        <v>92</v>
      </c>
      <c r="T211" t="s">
        <v>84</v>
      </c>
      <c r="U211" t="str">
        <f>_xlfn.XLOOKUP(tblMaster[[#This Row],[Employee_ID]],tblEmployee[Employee_ID],tblEmployee[Work_Mode]," ")</f>
        <v>Office</v>
      </c>
      <c r="V211" t="s">
        <v>35</v>
      </c>
      <c r="W211">
        <f>_xlfn.XLOOKUP(F211,tblEmployee[Employee_ID],tblEmployee[Age],"Not Found")</f>
        <v>25</v>
      </c>
      <c r="X211" t="str">
        <f>_xlfn.XLOOKUP(F211,tblEmployee[Employee_ID],tblEmployee[Gender],"Not Found")</f>
        <v>Female</v>
      </c>
      <c r="Y211">
        <f>_xlfn.XLOOKUP(F211,tblEmployee[Employee_ID],tblEmployee[Joining_Date],"")</f>
        <v>44666</v>
      </c>
      <c r="Z211">
        <f>_xlfn.XLOOKUP(H211,tblDepartment[Department],tblDepartment[Annual_Budget_INR],"")</f>
        <v>26000000</v>
      </c>
      <c r="AA211" t="str">
        <f>_xlfn.XLOOKUP(H211,tblDepartment[Department],tblDepartment[Monthly_Target],"")</f>
        <v>100% Payroll Accuracy</v>
      </c>
      <c r="AB211">
        <f>_xlfn.XLOOKUP(H211,tblDepartment[Department],tblDepartment[Average_Salary_INR],"")</f>
        <v>640000</v>
      </c>
      <c r="AC211" t="str">
        <f>_xlfn.XLOOKUP(H211,tblDepartment[Department],tblDepartment[Priority_Level],"")</f>
        <v>High</v>
      </c>
      <c r="AD211" t="str">
        <f>_xlfn.XLOOKUP(H211,tblDepartment[Department],tblDepartment[Key_KPI],"")</f>
        <v>Financial Compliance</v>
      </c>
      <c r="AE211">
        <f>_xlfn.XLOOKUP(tblMaster[[#This Row],[Shift]],tblShift[Shift_Name],tblShift[Login_Time],"")</f>
        <v>0.41666666666666669</v>
      </c>
      <c r="AF211">
        <f>_xlfn.XLOOKUP(tblMaster[[#This Row],[Shift]],tblShift[Shift_Name],tblShift[Logout_Time]," ")</f>
        <v>0.79166666666666663</v>
      </c>
      <c r="AG211">
        <f>_xlfn.XLOOKUP(tblMaster[[#This Row],[Shift]],tblShift[Shift_Name],tblShift[Standard_Working_Hours],"")</f>
        <v>8</v>
      </c>
      <c r="AH211" t="str">
        <f>_xlfn.XLOOKUP(tblMaster[[#This Row],[Attendance_Date]],tblHoliday[Holiday_Date],tblHoliday[Holiday_Name],"Working Day")</f>
        <v>Working Day</v>
      </c>
      <c r="AI211" t="str">
        <f>_xlfn.XLOOKUP(tblMaster[[#This Row],[Attendance_Date]],tblHoliday[Holiday_Date],tblHoliday[Holiday_Type],"Working Day ")</f>
        <v xml:space="preserve">Working Day </v>
      </c>
    </row>
    <row r="212" spans="1:35" hidden="1" x14ac:dyDescent="0.3">
      <c r="A212" t="s">
        <v>396</v>
      </c>
      <c r="B212" s="1">
        <v>45694</v>
      </c>
      <c r="C212" t="s">
        <v>95</v>
      </c>
      <c r="D212" t="s">
        <v>50</v>
      </c>
      <c r="E212" t="s">
        <v>25</v>
      </c>
      <c r="F212" t="s">
        <v>116</v>
      </c>
      <c r="G212" t="s">
        <v>117</v>
      </c>
      <c r="H212" t="s">
        <v>112</v>
      </c>
      <c r="I212" t="s">
        <v>113</v>
      </c>
      <c r="J212" t="s">
        <v>100</v>
      </c>
      <c r="K212" t="s">
        <v>31</v>
      </c>
      <c r="L212" s="2">
        <v>0.39930555555555558</v>
      </c>
      <c r="M212" s="2">
        <v>0.75</v>
      </c>
      <c r="N212">
        <v>8</v>
      </c>
      <c r="O212">
        <v>0</v>
      </c>
      <c r="P212" t="s">
        <v>32</v>
      </c>
      <c r="R212">
        <v>3</v>
      </c>
      <c r="S212" t="s">
        <v>67</v>
      </c>
      <c r="T212" t="s">
        <v>114</v>
      </c>
      <c r="U212" t="s">
        <v>47</v>
      </c>
      <c r="V212" t="s">
        <v>60</v>
      </c>
      <c r="W212">
        <f>_xlfn.XLOOKUP(F212,tblEmployee[Employee_ID],tblEmployee[Age],"Not Found")</f>
        <v>24</v>
      </c>
      <c r="X212" t="str">
        <f>_xlfn.XLOOKUP(F212,tblEmployee[Employee_ID],tblEmployee[Gender],"Not Found")</f>
        <v>Male</v>
      </c>
      <c r="Y212">
        <f>_xlfn.XLOOKUP(F212,tblEmployee[Employee_ID],tblEmployee[Joining_Date],"")</f>
        <v>44270</v>
      </c>
      <c r="Z212">
        <f>_xlfn.XLOOKUP(H212,tblDepartment[Department],tblDepartment[Annual_Budget_INR],"")</f>
        <v>42000000</v>
      </c>
      <c r="AA212" t="str">
        <f>_xlfn.XLOOKUP(H212,tblDepartment[Department],tblDepartment[Monthly_Target],"")</f>
        <v>₹2.5 Cr Monthly Sales</v>
      </c>
      <c r="AB212">
        <f>_xlfn.XLOOKUP(H212,tblDepartment[Department],tblDepartment[Average_Salary_INR],"")</f>
        <v>680000</v>
      </c>
      <c r="AC212" t="str">
        <f>_xlfn.XLOOKUP(H212,tblDepartment[Department],tblDepartment[Priority_Level],"")</f>
        <v>High</v>
      </c>
      <c r="AD212" t="str">
        <f>_xlfn.XLOOKUP(H212,tblDepartment[Department],tblDepartment[Key_KPI],"")</f>
        <v>Revenue Achievement</v>
      </c>
      <c r="AE212">
        <f>_xlfn.XLOOKUP(tblMaster[[#This Row],[Shift]],tblShift[Shift_Name],tblShift[Login_Time],"")</f>
        <v>0.25</v>
      </c>
      <c r="AF212">
        <f>_xlfn.XLOOKUP(tblMaster[[#This Row],[Shift]],tblShift[Shift_Name],tblShift[Logout_Time]," ")</f>
        <v>0.625</v>
      </c>
      <c r="AG212">
        <f>_xlfn.XLOOKUP(tblMaster[[#This Row],[Shift]],tblShift[Shift_Name],tblShift[Standard_Working_Hours],"")</f>
        <v>8</v>
      </c>
      <c r="AH212" t="str">
        <f>_xlfn.XLOOKUP(tblMaster[[#This Row],[Attendance_Date]],tblHoliday[Holiday_Date],tblHoliday[Holiday_Name],"Working Day")</f>
        <v>Working Day</v>
      </c>
      <c r="AI212" t="str">
        <f>_xlfn.XLOOKUP(tblMaster[[#This Row],[Attendance_Date]],tblHoliday[Holiday_Date],tblHoliday[Holiday_Type],"Working Day ")</f>
        <v xml:space="preserve">Working Day </v>
      </c>
    </row>
    <row r="213" spans="1:35" hidden="1" x14ac:dyDescent="0.3">
      <c r="A213" t="s">
        <v>397</v>
      </c>
      <c r="B213" s="1">
        <v>45808</v>
      </c>
      <c r="C213" t="s">
        <v>57</v>
      </c>
      <c r="D213" t="s">
        <v>24</v>
      </c>
      <c r="E213" t="s">
        <v>38</v>
      </c>
      <c r="F213" t="s">
        <v>159</v>
      </c>
      <c r="G213" t="s">
        <v>160</v>
      </c>
      <c r="H213" t="s">
        <v>64</v>
      </c>
      <c r="I213" t="s">
        <v>65</v>
      </c>
      <c r="J213" t="s">
        <v>100</v>
      </c>
      <c r="K213" t="s">
        <v>81</v>
      </c>
      <c r="L213" s="2">
        <v>0.91666666666666663</v>
      </c>
      <c r="M213" s="2">
        <v>0.29166666666666669</v>
      </c>
      <c r="N213">
        <v>10</v>
      </c>
      <c r="O213">
        <v>2</v>
      </c>
      <c r="P213" t="s">
        <v>32</v>
      </c>
      <c r="S213" t="s">
        <v>33</v>
      </c>
      <c r="T213" t="s">
        <v>68</v>
      </c>
      <c r="U213" t="s">
        <v>85</v>
      </c>
      <c r="V213" t="s">
        <v>69</v>
      </c>
      <c r="W213">
        <f>_xlfn.XLOOKUP(F213,tblEmployee[Employee_ID],tblEmployee[Age],"Not Found")</f>
        <v>30</v>
      </c>
      <c r="X213" t="str">
        <f>_xlfn.XLOOKUP(F213,tblEmployee[Employee_ID],tblEmployee[Gender],"Not Found")</f>
        <v>Female</v>
      </c>
      <c r="Y213">
        <f>_xlfn.XLOOKUP(F213,tblEmployee[Employee_ID],tblEmployee[Joining_Date],"")</f>
        <v>43723</v>
      </c>
      <c r="Z213">
        <f>_xlfn.XLOOKUP(H213,tblDepartment[Department],tblDepartment[Annual_Budget_INR],"")</f>
        <v>85000000</v>
      </c>
      <c r="AA213" t="str">
        <f>_xlfn.XLOOKUP(H213,tblDepartment[Department],tblDepartment[Monthly_Target],"")</f>
        <v>99.5% System Uptime</v>
      </c>
      <c r="AB213">
        <f>_xlfn.XLOOKUP(H213,tblDepartment[Department],tblDepartment[Average_Salary_INR],"")</f>
        <v>720000</v>
      </c>
      <c r="AC213" t="str">
        <f>_xlfn.XLOOKUP(H213,tblDepartment[Department],tblDepartment[Priority_Level],"")</f>
        <v>High</v>
      </c>
      <c r="AD213" t="str">
        <f>_xlfn.XLOOKUP(H213,tblDepartment[Department],tblDepartment[Key_KPI],"")</f>
        <v>Project Delivery</v>
      </c>
      <c r="AE213">
        <f>_xlfn.XLOOKUP(tblMaster[[#This Row],[Shift]],tblShift[Shift_Name],tblShift[Login_Time],"")</f>
        <v>0.91666666666666663</v>
      </c>
      <c r="AF213">
        <f>_xlfn.XLOOKUP(tblMaster[[#This Row],[Shift]],tblShift[Shift_Name],tblShift[Logout_Time]," ")</f>
        <v>0.29166666666666669</v>
      </c>
      <c r="AG213">
        <f>_xlfn.XLOOKUP(tblMaster[[#This Row],[Shift]],tblShift[Shift_Name],tblShift[Standard_Working_Hours],"")</f>
        <v>8</v>
      </c>
      <c r="AH213" t="str">
        <f>_xlfn.XLOOKUP(tblMaster[[#This Row],[Attendance_Date]],tblHoliday[Holiday_Date],tblHoliday[Holiday_Name],"Working Day")</f>
        <v>Working Day</v>
      </c>
      <c r="AI213" t="str">
        <f>_xlfn.XLOOKUP(tblMaster[[#This Row],[Attendance_Date]],tblHoliday[Holiday_Date],tblHoliday[Holiday_Type],"Working Day ")</f>
        <v xml:space="preserve">Working Day </v>
      </c>
    </row>
    <row r="214" spans="1:35" hidden="1" x14ac:dyDescent="0.3">
      <c r="A214" t="s">
        <v>398</v>
      </c>
      <c r="B214" s="3">
        <v>45734</v>
      </c>
      <c r="C214" t="s">
        <v>71</v>
      </c>
      <c r="D214" t="s">
        <v>50</v>
      </c>
      <c r="E214" t="s">
        <v>87</v>
      </c>
      <c r="F214" t="s">
        <v>39</v>
      </c>
      <c r="G214" t="s">
        <v>40</v>
      </c>
      <c r="H214" t="s">
        <v>41</v>
      </c>
      <c r="I214" t="s">
        <v>42</v>
      </c>
      <c r="J214" t="s">
        <v>43</v>
      </c>
      <c r="K214" t="s">
        <v>31</v>
      </c>
      <c r="L214" s="2">
        <v>0.375</v>
      </c>
      <c r="M214" s="2">
        <v>0.75</v>
      </c>
      <c r="N214">
        <v>8</v>
      </c>
      <c r="O214">
        <v>0</v>
      </c>
      <c r="P214" t="s">
        <v>32</v>
      </c>
      <c r="R214">
        <v>5</v>
      </c>
      <c r="S214" t="s">
        <v>33</v>
      </c>
      <c r="T214" t="s">
        <v>46</v>
      </c>
      <c r="U214" t="s">
        <v>47</v>
      </c>
      <c r="V214" t="s">
        <v>35</v>
      </c>
      <c r="W214">
        <f>_xlfn.XLOOKUP(F214,tblEmployee[Employee_ID],tblEmployee[Age],"Not Found")</f>
        <v>26</v>
      </c>
      <c r="X214" t="str">
        <f>_xlfn.XLOOKUP(F214,tblEmployee[Employee_ID],tblEmployee[Gender],"Not Found")</f>
        <v>Male</v>
      </c>
      <c r="Y214">
        <f>_xlfn.XLOOKUP(F214,tblEmployee[Employee_ID],tblEmployee[Joining_Date],"")</f>
        <v>45061</v>
      </c>
      <c r="Z214">
        <f>_xlfn.XLOOKUP(H214,tblDepartment[Department],tblDepartment[Annual_Budget_INR],"")</f>
        <v>34000000</v>
      </c>
      <c r="AA214" t="str">
        <f>_xlfn.XLOOKUP(H214,tblDepartment[Department],tblDepartment[Monthly_Target],"")</f>
        <v>95% Process Efficiency</v>
      </c>
      <c r="AB214">
        <f>_xlfn.XLOOKUP(H214,tblDepartment[Department],tblDepartment[Average_Salary_INR],"")</f>
        <v>610000</v>
      </c>
      <c r="AC214" t="str">
        <f>_xlfn.XLOOKUP(H214,tblDepartment[Department],tblDepartment[Priority_Level],"")</f>
        <v>High</v>
      </c>
      <c r="AD214" t="str">
        <f>_xlfn.XLOOKUP(H214,tblDepartment[Department],tblDepartment[Key_KPI],"")</f>
        <v>Operational Efficiency</v>
      </c>
      <c r="AE214">
        <f>_xlfn.XLOOKUP(tblMaster[[#This Row],[Shift]],tblShift[Shift_Name],tblShift[Login_Time],"")</f>
        <v>0.25</v>
      </c>
      <c r="AF214">
        <f>_xlfn.XLOOKUP(tblMaster[[#This Row],[Shift]],tblShift[Shift_Name],tblShift[Logout_Time]," ")</f>
        <v>0.625</v>
      </c>
      <c r="AG214">
        <f>_xlfn.XLOOKUP(tblMaster[[#This Row],[Shift]],tblShift[Shift_Name],tblShift[Standard_Working_Hours],"")</f>
        <v>8</v>
      </c>
      <c r="AH214" t="str">
        <f>_xlfn.XLOOKUP(tblMaster[[#This Row],[Attendance_Date]],tblHoliday[Holiday_Date],tblHoliday[Holiday_Name],"Working Day")</f>
        <v>Working Day</v>
      </c>
      <c r="AI214" t="str">
        <f>_xlfn.XLOOKUP(tblMaster[[#This Row],[Attendance_Date]],tblHoliday[Holiday_Date],tblHoliday[Holiday_Type],"Working Day ")</f>
        <v xml:space="preserve">Working Day </v>
      </c>
    </row>
    <row r="215" spans="1:35" hidden="1" x14ac:dyDescent="0.3">
      <c r="A215" t="s">
        <v>399</v>
      </c>
      <c r="B215" s="3">
        <v>45687</v>
      </c>
      <c r="C215" t="s">
        <v>49</v>
      </c>
      <c r="D215" t="s">
        <v>50</v>
      </c>
      <c r="E215" t="s">
        <v>25</v>
      </c>
      <c r="F215" t="s">
        <v>127</v>
      </c>
      <c r="G215" t="s">
        <v>128</v>
      </c>
      <c r="H215" t="s">
        <v>90</v>
      </c>
      <c r="I215" t="s">
        <v>91</v>
      </c>
      <c r="J215" t="s">
        <v>66</v>
      </c>
      <c r="K215" t="s">
        <v>81</v>
      </c>
      <c r="L215" s="2">
        <v>0.91666666666666663</v>
      </c>
      <c r="M215" s="2">
        <v>0.29166666666666669</v>
      </c>
      <c r="N215">
        <v>9</v>
      </c>
      <c r="O215">
        <v>1</v>
      </c>
      <c r="P215" t="s">
        <v>32</v>
      </c>
      <c r="R215">
        <v>5</v>
      </c>
      <c r="S215" t="s">
        <v>67</v>
      </c>
      <c r="T215" t="s">
        <v>93</v>
      </c>
      <c r="U215" t="s">
        <v>85</v>
      </c>
      <c r="V215" t="s">
        <v>35</v>
      </c>
      <c r="W215">
        <f>_xlfn.XLOOKUP(F215,tblEmployee[Employee_ID],tblEmployee[Age],"Not Found")</f>
        <v>38</v>
      </c>
      <c r="X215" t="str">
        <f>_xlfn.XLOOKUP(F215,tblEmployee[Employee_ID],tblEmployee[Gender],"Not Found")</f>
        <v>Female</v>
      </c>
      <c r="Y215">
        <f>_xlfn.XLOOKUP(F215,tblEmployee[Employee_ID],tblEmployee[Joining_Date],"")</f>
        <v>43966</v>
      </c>
      <c r="Z215">
        <f>_xlfn.XLOOKUP(H215,tblDepartment[Department],tblDepartment[Annual_Budget_INR],"")</f>
        <v>18000000</v>
      </c>
      <c r="AA215" t="str">
        <f>_xlfn.XLOOKUP(H215,tblDepartment[Department],tblDepartment[Monthly_Target],"")</f>
        <v>&lt;30 Days Hiring Cycle</v>
      </c>
      <c r="AB215">
        <f>_xlfn.XLOOKUP(H215,tblDepartment[Department],tblDepartment[Average_Salary_INR],"")</f>
        <v>560000</v>
      </c>
      <c r="AC215" t="str">
        <f>_xlfn.XLOOKUP(H215,tblDepartment[Department],tblDepartment[Priority_Level],"")</f>
        <v>Medium</v>
      </c>
      <c r="AD215" t="str">
        <f>_xlfn.XLOOKUP(H215,tblDepartment[Department],tblDepartment[Key_KPI],"")</f>
        <v>Hiring &amp; Retention</v>
      </c>
      <c r="AE215">
        <f>_xlfn.XLOOKUP(tblMaster[[#This Row],[Shift]],tblShift[Shift_Name],tblShift[Login_Time],"")</f>
        <v>0.91666666666666663</v>
      </c>
      <c r="AF215">
        <f>_xlfn.XLOOKUP(tblMaster[[#This Row],[Shift]],tblShift[Shift_Name],tblShift[Logout_Time]," ")</f>
        <v>0.29166666666666669</v>
      </c>
      <c r="AG215">
        <f>_xlfn.XLOOKUP(tblMaster[[#This Row],[Shift]],tblShift[Shift_Name],tblShift[Standard_Working_Hours],"")</f>
        <v>8</v>
      </c>
      <c r="AH215" t="str">
        <f>_xlfn.XLOOKUP(tblMaster[[#This Row],[Attendance_Date]],tblHoliday[Holiday_Date],tblHoliday[Holiday_Name],"Working Day")</f>
        <v>Working Day</v>
      </c>
      <c r="AI215" t="str">
        <f>_xlfn.XLOOKUP(tblMaster[[#This Row],[Attendance_Date]],tblHoliday[Holiday_Date],tblHoliday[Holiday_Type],"Working Day ")</f>
        <v xml:space="preserve">Working Day </v>
      </c>
    </row>
    <row r="216" spans="1:35" x14ac:dyDescent="0.3">
      <c r="A216" t="s">
        <v>400</v>
      </c>
      <c r="B216" s="3">
        <v>45677</v>
      </c>
      <c r="C216" t="s">
        <v>49</v>
      </c>
      <c r="D216" t="s">
        <v>50</v>
      </c>
      <c r="E216" t="s">
        <v>109</v>
      </c>
      <c r="F216" t="s">
        <v>166</v>
      </c>
      <c r="G216" t="s">
        <v>167</v>
      </c>
      <c r="H216" t="s">
        <v>41</v>
      </c>
      <c r="I216" t="s">
        <v>42</v>
      </c>
      <c r="J216" t="s">
        <v>100</v>
      </c>
      <c r="K216" t="s">
        <v>31</v>
      </c>
      <c r="L216" s="2">
        <v>0.375</v>
      </c>
      <c r="M216" s="2">
        <v>0.75</v>
      </c>
      <c r="N216">
        <v>8</v>
      </c>
      <c r="O216">
        <v>0</v>
      </c>
      <c r="P216" t="s">
        <v>32</v>
      </c>
      <c r="R216">
        <v>3</v>
      </c>
      <c r="S216" t="s">
        <v>92</v>
      </c>
      <c r="T216" t="s">
        <v>46</v>
      </c>
      <c r="U216" t="str">
        <f>_xlfn.XLOOKUP(tblMaster[[#This Row],[Employee_ID]],tblEmployee[Employee_ID],tblEmployee[Work_Mode]," ")</f>
        <v>Office</v>
      </c>
      <c r="V216" t="s">
        <v>60</v>
      </c>
      <c r="W216">
        <f>_xlfn.XLOOKUP(F216,tblEmployee[Employee_ID],tblEmployee[Age],"Not Found")</f>
        <v>37</v>
      </c>
      <c r="X216" t="str">
        <f>_xlfn.XLOOKUP(F216,tblEmployee[Employee_ID],tblEmployee[Gender],"Not Found")</f>
        <v>Male</v>
      </c>
      <c r="Y216">
        <f>_xlfn.XLOOKUP(F216,tblEmployee[Employee_ID],tblEmployee[Joining_Date],"")</f>
        <v>45214</v>
      </c>
      <c r="Z216">
        <f>_xlfn.XLOOKUP(H216,tblDepartment[Department],tblDepartment[Annual_Budget_INR],"")</f>
        <v>34000000</v>
      </c>
      <c r="AA216" t="str">
        <f>_xlfn.XLOOKUP(H216,tblDepartment[Department],tblDepartment[Monthly_Target],"")</f>
        <v>95% Process Efficiency</v>
      </c>
      <c r="AB216">
        <f>_xlfn.XLOOKUP(H216,tblDepartment[Department],tblDepartment[Average_Salary_INR],"")</f>
        <v>610000</v>
      </c>
      <c r="AC216" t="str">
        <f>_xlfn.XLOOKUP(H216,tblDepartment[Department],tblDepartment[Priority_Level],"")</f>
        <v>High</v>
      </c>
      <c r="AD216" t="str">
        <f>_xlfn.XLOOKUP(H216,tblDepartment[Department],tblDepartment[Key_KPI],"")</f>
        <v>Operational Efficiency</v>
      </c>
      <c r="AE216">
        <f>_xlfn.XLOOKUP(tblMaster[[#This Row],[Shift]],tblShift[Shift_Name],tblShift[Login_Time],"")</f>
        <v>0.25</v>
      </c>
      <c r="AF216">
        <f>_xlfn.XLOOKUP(tblMaster[[#This Row],[Shift]],tblShift[Shift_Name],tblShift[Logout_Time]," ")</f>
        <v>0.625</v>
      </c>
      <c r="AG216">
        <f>_xlfn.XLOOKUP(tblMaster[[#This Row],[Shift]],tblShift[Shift_Name],tblShift[Standard_Working_Hours],"")</f>
        <v>8</v>
      </c>
      <c r="AH216" t="str">
        <f>_xlfn.XLOOKUP(tblMaster[[#This Row],[Attendance_Date]],tblHoliday[Holiday_Date],tblHoliday[Holiday_Name],"Working Day")</f>
        <v>Working Day</v>
      </c>
      <c r="AI216" t="str">
        <f>_xlfn.XLOOKUP(tblMaster[[#This Row],[Attendance_Date]],tblHoliday[Holiday_Date],tblHoliday[Holiday_Type],"Working Day ")</f>
        <v xml:space="preserve">Working Day </v>
      </c>
    </row>
    <row r="217" spans="1:35" hidden="1" x14ac:dyDescent="0.3">
      <c r="A217" t="s">
        <v>401</v>
      </c>
      <c r="B217" s="1">
        <v>45672</v>
      </c>
      <c r="C217" t="s">
        <v>49</v>
      </c>
      <c r="D217" t="s">
        <v>50</v>
      </c>
      <c r="E217" t="s">
        <v>51</v>
      </c>
      <c r="F217" t="s">
        <v>166</v>
      </c>
      <c r="G217" t="s">
        <v>167</v>
      </c>
      <c r="H217" t="s">
        <v>41</v>
      </c>
      <c r="I217" t="s">
        <v>42</v>
      </c>
      <c r="J217" t="s">
        <v>100</v>
      </c>
      <c r="K217" t="s">
        <v>31</v>
      </c>
      <c r="P217" t="s">
        <v>82</v>
      </c>
      <c r="Q217" t="s">
        <v>83</v>
      </c>
      <c r="S217" t="s">
        <v>92</v>
      </c>
      <c r="T217" t="s">
        <v>46</v>
      </c>
      <c r="U217" t="s">
        <v>85</v>
      </c>
      <c r="V217" t="s">
        <v>35</v>
      </c>
      <c r="W217">
        <f>_xlfn.XLOOKUP(F217,tblEmployee[Employee_ID],tblEmployee[Age],"Not Found")</f>
        <v>37</v>
      </c>
      <c r="X217" t="str">
        <f>_xlfn.XLOOKUP(F217,tblEmployee[Employee_ID],tblEmployee[Gender],"Not Found")</f>
        <v>Male</v>
      </c>
      <c r="Y217">
        <f>_xlfn.XLOOKUP(F217,tblEmployee[Employee_ID],tblEmployee[Joining_Date],"")</f>
        <v>45214</v>
      </c>
      <c r="Z217">
        <f>_xlfn.XLOOKUP(H217,tblDepartment[Department],tblDepartment[Annual_Budget_INR],"")</f>
        <v>34000000</v>
      </c>
      <c r="AA217" t="str">
        <f>_xlfn.XLOOKUP(H217,tblDepartment[Department],tblDepartment[Monthly_Target],"")</f>
        <v>95% Process Efficiency</v>
      </c>
      <c r="AB217">
        <f>_xlfn.XLOOKUP(H217,tblDepartment[Department],tblDepartment[Average_Salary_INR],"")</f>
        <v>610000</v>
      </c>
      <c r="AC217" t="str">
        <f>_xlfn.XLOOKUP(H217,tblDepartment[Department],tblDepartment[Priority_Level],"")</f>
        <v>High</v>
      </c>
      <c r="AD217" t="str">
        <f>_xlfn.XLOOKUP(H217,tblDepartment[Department],tblDepartment[Key_KPI],"")</f>
        <v>Operational Efficiency</v>
      </c>
      <c r="AE217">
        <f>_xlfn.XLOOKUP(tblMaster[[#This Row],[Shift]],tblShift[Shift_Name],tblShift[Login_Time],"")</f>
        <v>0.25</v>
      </c>
      <c r="AF217">
        <f>_xlfn.XLOOKUP(tblMaster[[#This Row],[Shift]],tblShift[Shift_Name],tblShift[Logout_Time]," ")</f>
        <v>0.625</v>
      </c>
      <c r="AG217">
        <f>_xlfn.XLOOKUP(tblMaster[[#This Row],[Shift]],tblShift[Shift_Name],tblShift[Standard_Working_Hours],"")</f>
        <v>8</v>
      </c>
      <c r="AH217" t="str">
        <f>_xlfn.XLOOKUP(tblMaster[[#This Row],[Attendance_Date]],tblHoliday[Holiday_Date],tblHoliday[Holiday_Name],"Working Day")</f>
        <v>Working Day</v>
      </c>
      <c r="AI217" t="str">
        <f>_xlfn.XLOOKUP(tblMaster[[#This Row],[Attendance_Date]],tblHoliday[Holiday_Date],tblHoliday[Holiday_Type],"Working Day ")</f>
        <v xml:space="preserve">Working Day </v>
      </c>
    </row>
    <row r="218" spans="1:35" hidden="1" x14ac:dyDescent="0.3">
      <c r="A218" t="s">
        <v>402</v>
      </c>
      <c r="B218" s="3">
        <v>45790</v>
      </c>
      <c r="C218" t="s">
        <v>57</v>
      </c>
      <c r="D218" t="s">
        <v>24</v>
      </c>
      <c r="E218" t="s">
        <v>87</v>
      </c>
      <c r="F218" t="s">
        <v>104</v>
      </c>
      <c r="G218" t="s">
        <v>105</v>
      </c>
      <c r="H218" t="s">
        <v>28</v>
      </c>
      <c r="I218" t="s">
        <v>29</v>
      </c>
      <c r="J218" t="s">
        <v>30</v>
      </c>
      <c r="K218" t="s">
        <v>75</v>
      </c>
      <c r="L218" s="2">
        <v>0.375</v>
      </c>
      <c r="M218" s="2">
        <v>0.75</v>
      </c>
      <c r="N218">
        <v>8</v>
      </c>
      <c r="O218">
        <v>0</v>
      </c>
      <c r="P218" t="s">
        <v>32</v>
      </c>
      <c r="R218">
        <v>5</v>
      </c>
      <c r="S218" t="s">
        <v>92</v>
      </c>
      <c r="T218" t="s">
        <v>34</v>
      </c>
      <c r="U218" t="s">
        <v>55</v>
      </c>
      <c r="W218">
        <f>_xlfn.XLOOKUP(F218,tblEmployee[Employee_ID],tblEmployee[Age],"Not Found")</f>
        <v>35</v>
      </c>
      <c r="X218" t="str">
        <f>_xlfn.XLOOKUP(F218,tblEmployee[Employee_ID],tblEmployee[Gender],"Not Found")</f>
        <v>Male</v>
      </c>
      <c r="Y218">
        <f>_xlfn.XLOOKUP(F218,tblEmployee[Employee_ID],tblEmployee[Joining_Date],"")</f>
        <v>43146</v>
      </c>
      <c r="Z218">
        <f>_xlfn.XLOOKUP(H218,tblDepartment[Department],tblDepartment[Annual_Budget_INR],"")</f>
        <v>24000000</v>
      </c>
      <c r="AA218" t="str">
        <f>_xlfn.XLOOKUP(H218,tblDepartment[Department],tblDepartment[Monthly_Target],"")</f>
        <v>90% Customer Satisfaction</v>
      </c>
      <c r="AB218">
        <f>_xlfn.XLOOKUP(H218,tblDepartment[Department],tblDepartment[Average_Salary_INR],"")</f>
        <v>520000</v>
      </c>
      <c r="AC218" t="str">
        <f>_xlfn.XLOOKUP(H218,tblDepartment[Department],tblDepartment[Priority_Level],"")</f>
        <v>High</v>
      </c>
      <c r="AD218" t="str">
        <f>_xlfn.XLOOKUP(H218,tblDepartment[Department],tblDepartment[Key_KPI],"")</f>
        <v>Customer Satisfaction</v>
      </c>
      <c r="AE218">
        <f>_xlfn.XLOOKUP(tblMaster[[#This Row],[Shift]],tblShift[Shift_Name],tblShift[Login_Time],"")</f>
        <v>0.375</v>
      </c>
      <c r="AF218">
        <f>_xlfn.XLOOKUP(tblMaster[[#This Row],[Shift]],tblShift[Shift_Name],tblShift[Logout_Time]," ")</f>
        <v>0.75</v>
      </c>
      <c r="AG218">
        <f>_xlfn.XLOOKUP(tblMaster[[#This Row],[Shift]],tblShift[Shift_Name],tblShift[Standard_Working_Hours],"")</f>
        <v>8</v>
      </c>
      <c r="AH218" t="str">
        <f>_xlfn.XLOOKUP(tblMaster[[#This Row],[Attendance_Date]],tblHoliday[Holiday_Date],tblHoliday[Holiday_Name],"Working Day")</f>
        <v>Working Day</v>
      </c>
      <c r="AI218" t="str">
        <f>_xlfn.XLOOKUP(tblMaster[[#This Row],[Attendance_Date]],tblHoliday[Holiday_Date],tblHoliday[Holiday_Type],"Working Day ")</f>
        <v xml:space="preserve">Working Day </v>
      </c>
    </row>
    <row r="219" spans="1:35" hidden="1" x14ac:dyDescent="0.3">
      <c r="A219" t="s">
        <v>403</v>
      </c>
      <c r="B219" s="3">
        <v>45733</v>
      </c>
      <c r="C219" t="s">
        <v>71</v>
      </c>
      <c r="D219" t="s">
        <v>50</v>
      </c>
      <c r="E219" t="s">
        <v>109</v>
      </c>
      <c r="F219" t="s">
        <v>127</v>
      </c>
      <c r="G219" t="s">
        <v>128</v>
      </c>
      <c r="H219" t="s">
        <v>137</v>
      </c>
      <c r="I219" t="s">
        <v>91</v>
      </c>
      <c r="J219" t="s">
        <v>66</v>
      </c>
      <c r="K219" t="s">
        <v>31</v>
      </c>
      <c r="L219" s="2">
        <v>0.375</v>
      </c>
      <c r="M219" s="2">
        <v>0.75</v>
      </c>
      <c r="N219">
        <v>8</v>
      </c>
      <c r="O219">
        <v>0</v>
      </c>
      <c r="P219" t="s">
        <v>32</v>
      </c>
      <c r="S219" t="s">
        <v>33</v>
      </c>
      <c r="T219" t="s">
        <v>93</v>
      </c>
      <c r="U219" t="s">
        <v>47</v>
      </c>
      <c r="V219" t="s">
        <v>69</v>
      </c>
      <c r="W219">
        <f>_xlfn.XLOOKUP(F219,tblEmployee[Employee_ID],tblEmployee[Age],"Not Found")</f>
        <v>38</v>
      </c>
      <c r="X219" t="str">
        <f>_xlfn.XLOOKUP(F219,tblEmployee[Employee_ID],tblEmployee[Gender],"Not Found")</f>
        <v>Female</v>
      </c>
      <c r="Y219">
        <f>_xlfn.XLOOKUP(F219,tblEmployee[Employee_ID],tblEmployee[Joining_Date],"")</f>
        <v>43966</v>
      </c>
      <c r="Z219">
        <f>_xlfn.XLOOKUP(H219,tblDepartment[Department],tblDepartment[Annual_Budget_INR],"")</f>
        <v>18000000</v>
      </c>
      <c r="AA219" t="str">
        <f>_xlfn.XLOOKUP(H219,tblDepartment[Department],tblDepartment[Monthly_Target],"")</f>
        <v>&lt;30 Days Hiring Cycle</v>
      </c>
      <c r="AB219">
        <f>_xlfn.XLOOKUP(H219,tblDepartment[Department],tblDepartment[Average_Salary_INR],"")</f>
        <v>560000</v>
      </c>
      <c r="AC219" t="str">
        <f>_xlfn.XLOOKUP(H219,tblDepartment[Department],tblDepartment[Priority_Level],"")</f>
        <v>Medium</v>
      </c>
      <c r="AD219" t="str">
        <f>_xlfn.XLOOKUP(H219,tblDepartment[Department],tblDepartment[Key_KPI],"")</f>
        <v>Hiring &amp; Retention</v>
      </c>
      <c r="AE219">
        <f>_xlfn.XLOOKUP(tblMaster[[#This Row],[Shift]],tblShift[Shift_Name],tblShift[Login_Time],"")</f>
        <v>0.25</v>
      </c>
      <c r="AF219">
        <f>_xlfn.XLOOKUP(tblMaster[[#This Row],[Shift]],tblShift[Shift_Name],tblShift[Logout_Time]," ")</f>
        <v>0.625</v>
      </c>
      <c r="AG219">
        <f>_xlfn.XLOOKUP(tblMaster[[#This Row],[Shift]],tblShift[Shift_Name],tblShift[Standard_Working_Hours],"")</f>
        <v>8</v>
      </c>
      <c r="AH219" t="str">
        <f>_xlfn.XLOOKUP(tblMaster[[#This Row],[Attendance_Date]],tblHoliday[Holiday_Date],tblHoliday[Holiday_Name],"Working Day")</f>
        <v>Working Day</v>
      </c>
      <c r="AI219" t="str">
        <f>_xlfn.XLOOKUP(tblMaster[[#This Row],[Attendance_Date]],tblHoliday[Holiday_Date],tblHoliday[Holiday_Type],"Working Day ")</f>
        <v xml:space="preserve">Working Day </v>
      </c>
    </row>
    <row r="220" spans="1:35" hidden="1" x14ac:dyDescent="0.3">
      <c r="A220" t="s">
        <v>404</v>
      </c>
      <c r="B220" s="3">
        <v>45777</v>
      </c>
      <c r="C220" t="s">
        <v>37</v>
      </c>
      <c r="D220" t="s">
        <v>24</v>
      </c>
      <c r="E220" t="s">
        <v>51</v>
      </c>
      <c r="F220" t="s">
        <v>240</v>
      </c>
      <c r="G220" t="s">
        <v>241</v>
      </c>
      <c r="H220" t="s">
        <v>180</v>
      </c>
      <c r="I220" t="s">
        <v>42</v>
      </c>
      <c r="J220" t="s">
        <v>66</v>
      </c>
      <c r="K220" t="s">
        <v>54</v>
      </c>
      <c r="L220" s="2">
        <v>0.375</v>
      </c>
      <c r="M220" s="2">
        <v>0.75</v>
      </c>
      <c r="N220">
        <v>8</v>
      </c>
      <c r="O220">
        <v>0</v>
      </c>
      <c r="P220" t="s">
        <v>32</v>
      </c>
      <c r="R220">
        <v>4</v>
      </c>
      <c r="S220" t="s">
        <v>67</v>
      </c>
      <c r="T220" t="s">
        <v>46</v>
      </c>
      <c r="U220" t="s">
        <v>55</v>
      </c>
      <c r="W220">
        <f>_xlfn.XLOOKUP(F220,tblEmployee[Employee_ID],tblEmployee[Age],"Not Found")</f>
        <v>30</v>
      </c>
      <c r="X220" t="str">
        <f>_xlfn.XLOOKUP(F220,tblEmployee[Employee_ID],tblEmployee[Gender],"Not Found")</f>
        <v>Female</v>
      </c>
      <c r="Y220">
        <f>_xlfn.XLOOKUP(F220,tblEmployee[Employee_ID],tblEmployee[Joining_Date],"")</f>
        <v>45000</v>
      </c>
      <c r="Z220">
        <f>_xlfn.XLOOKUP(H220,tblDepartment[Department],tblDepartment[Annual_Budget_INR],"")</f>
        <v>34000000</v>
      </c>
      <c r="AA220" t="str">
        <f>_xlfn.XLOOKUP(H220,tblDepartment[Department],tblDepartment[Monthly_Target],"")</f>
        <v>95% Process Efficiency</v>
      </c>
      <c r="AB220">
        <f>_xlfn.XLOOKUP(H220,tblDepartment[Department],tblDepartment[Average_Salary_INR],"")</f>
        <v>610000</v>
      </c>
      <c r="AC220" t="str">
        <f>_xlfn.XLOOKUP(H220,tblDepartment[Department],tblDepartment[Priority_Level],"")</f>
        <v>High</v>
      </c>
      <c r="AD220" t="str">
        <f>_xlfn.XLOOKUP(H220,tblDepartment[Department],tblDepartment[Key_KPI],"")</f>
        <v>Operational Efficiency</v>
      </c>
      <c r="AE220">
        <f>_xlfn.XLOOKUP(tblMaster[[#This Row],[Shift]],tblShift[Shift_Name],tblShift[Login_Time],"")</f>
        <v>0.58333333333333337</v>
      </c>
      <c r="AF220">
        <f>_xlfn.XLOOKUP(tblMaster[[#This Row],[Shift]],tblShift[Shift_Name],tblShift[Logout_Time]," ")</f>
        <v>0.95833333333333337</v>
      </c>
      <c r="AG220">
        <f>_xlfn.XLOOKUP(tblMaster[[#This Row],[Shift]],tblShift[Shift_Name],tblShift[Standard_Working_Hours],"")</f>
        <v>8</v>
      </c>
      <c r="AH220" t="str">
        <f>_xlfn.XLOOKUP(tblMaster[[#This Row],[Attendance_Date]],tblHoliday[Holiday_Date],tblHoliday[Holiday_Name],"Working Day")</f>
        <v>Working Day</v>
      </c>
      <c r="AI220" t="str">
        <f>_xlfn.XLOOKUP(tblMaster[[#This Row],[Attendance_Date]],tblHoliday[Holiday_Date],tblHoliday[Holiday_Type],"Working Day ")</f>
        <v xml:space="preserve">Working Day </v>
      </c>
    </row>
    <row r="221" spans="1:35" hidden="1" x14ac:dyDescent="0.3">
      <c r="A221" t="s">
        <v>405</v>
      </c>
      <c r="B221" s="3">
        <v>45781</v>
      </c>
      <c r="C221" t="s">
        <v>57</v>
      </c>
      <c r="D221" t="s">
        <v>24</v>
      </c>
      <c r="E221" t="s">
        <v>103</v>
      </c>
      <c r="F221" t="s">
        <v>170</v>
      </c>
      <c r="G221" t="s">
        <v>171</v>
      </c>
      <c r="H221" t="s">
        <v>64</v>
      </c>
      <c r="I221" t="s">
        <v>65</v>
      </c>
      <c r="J221" t="s">
        <v>43</v>
      </c>
      <c r="K221" t="s">
        <v>81</v>
      </c>
      <c r="L221" s="2">
        <v>0.91666666666666663</v>
      </c>
      <c r="M221" s="2">
        <v>0.29166666666666669</v>
      </c>
      <c r="N221">
        <v>8.5</v>
      </c>
      <c r="O221">
        <v>0.5</v>
      </c>
      <c r="P221" t="s">
        <v>32</v>
      </c>
      <c r="R221">
        <v>3</v>
      </c>
      <c r="S221" t="s">
        <v>67</v>
      </c>
      <c r="T221" t="s">
        <v>68</v>
      </c>
      <c r="U221" t="s">
        <v>55</v>
      </c>
      <c r="V221" t="s">
        <v>35</v>
      </c>
      <c r="W221">
        <f>_xlfn.XLOOKUP(F221,tblEmployee[Employee_ID],tblEmployee[Age],"Not Found")</f>
        <v>36</v>
      </c>
      <c r="X221" t="str">
        <f>_xlfn.XLOOKUP(F221,tblEmployee[Employee_ID],tblEmployee[Gender],"Not Found")</f>
        <v>Female</v>
      </c>
      <c r="Y221">
        <f>_xlfn.XLOOKUP(F221,tblEmployee[Employee_ID],tblEmployee[Joining_Date],"")</f>
        <v>43539</v>
      </c>
      <c r="Z221">
        <f>_xlfn.XLOOKUP(H221,tblDepartment[Department],tblDepartment[Annual_Budget_INR],"")</f>
        <v>85000000</v>
      </c>
      <c r="AA221" t="str">
        <f>_xlfn.XLOOKUP(H221,tblDepartment[Department],tblDepartment[Monthly_Target],"")</f>
        <v>99.5% System Uptime</v>
      </c>
      <c r="AB221">
        <f>_xlfn.XLOOKUP(H221,tblDepartment[Department],tblDepartment[Average_Salary_INR],"")</f>
        <v>720000</v>
      </c>
      <c r="AC221" t="str">
        <f>_xlfn.XLOOKUP(H221,tblDepartment[Department],tblDepartment[Priority_Level],"")</f>
        <v>High</v>
      </c>
      <c r="AD221" t="str">
        <f>_xlfn.XLOOKUP(H221,tblDepartment[Department],tblDepartment[Key_KPI],"")</f>
        <v>Project Delivery</v>
      </c>
      <c r="AE221">
        <f>_xlfn.XLOOKUP(tblMaster[[#This Row],[Shift]],tblShift[Shift_Name],tblShift[Login_Time],"")</f>
        <v>0.91666666666666663</v>
      </c>
      <c r="AF221">
        <f>_xlfn.XLOOKUP(tblMaster[[#This Row],[Shift]],tblShift[Shift_Name],tblShift[Logout_Time]," ")</f>
        <v>0.29166666666666669</v>
      </c>
      <c r="AG221">
        <f>_xlfn.XLOOKUP(tblMaster[[#This Row],[Shift]],tblShift[Shift_Name],tblShift[Standard_Working_Hours],"")</f>
        <v>8</v>
      </c>
      <c r="AH221" t="str">
        <f>_xlfn.XLOOKUP(tblMaster[[#This Row],[Attendance_Date]],tblHoliday[Holiday_Date],tblHoliday[Holiday_Name],"Working Day")</f>
        <v>Working Day</v>
      </c>
      <c r="AI221" t="str">
        <f>_xlfn.XLOOKUP(tblMaster[[#This Row],[Attendance_Date]],tblHoliday[Holiday_Date],tblHoliday[Holiday_Type],"Working Day ")</f>
        <v xml:space="preserve">Working Day </v>
      </c>
    </row>
    <row r="222" spans="1:35" hidden="1" x14ac:dyDescent="0.3">
      <c r="A222" t="s">
        <v>406</v>
      </c>
      <c r="B222" s="1">
        <v>45786</v>
      </c>
      <c r="C222" t="s">
        <v>57</v>
      </c>
      <c r="D222" t="s">
        <v>24</v>
      </c>
      <c r="E222" t="s">
        <v>119</v>
      </c>
      <c r="F222" t="s">
        <v>96</v>
      </c>
      <c r="G222" t="s">
        <v>97</v>
      </c>
      <c r="H222" t="s">
        <v>98</v>
      </c>
      <c r="I222" t="s">
        <v>99</v>
      </c>
      <c r="J222" t="s">
        <v>100</v>
      </c>
      <c r="K222" t="s">
        <v>75</v>
      </c>
      <c r="L222" s="2">
        <v>0.375</v>
      </c>
      <c r="M222" s="2">
        <v>0.75</v>
      </c>
      <c r="N222">
        <v>8</v>
      </c>
      <c r="O222">
        <v>0</v>
      </c>
      <c r="P222" t="s">
        <v>32</v>
      </c>
      <c r="S222" t="s">
        <v>33</v>
      </c>
      <c r="T222" t="s">
        <v>101</v>
      </c>
      <c r="U222" t="s">
        <v>55</v>
      </c>
      <c r="V222" t="s">
        <v>35</v>
      </c>
      <c r="W222">
        <f>_xlfn.XLOOKUP(F222,tblEmployee[Employee_ID],tblEmployee[Age],"Not Found")</f>
        <v>34</v>
      </c>
      <c r="X222" t="str">
        <f>_xlfn.XLOOKUP(F222,tblEmployee[Employee_ID],tblEmployee[Gender],"Not Found")</f>
        <v>Female</v>
      </c>
      <c r="Y222">
        <f>_xlfn.XLOOKUP(F222,tblEmployee[Employee_ID],tblEmployee[Joining_Date],"")</f>
        <v>45306</v>
      </c>
      <c r="Z222">
        <f>_xlfn.XLOOKUP(H222,tblDepartment[Department],tblDepartment[Annual_Budget_INR],"")</f>
        <v>22000000</v>
      </c>
      <c r="AA222" t="str">
        <f>_xlfn.XLOOKUP(H222,tblDepartment[Department],tblDepartment[Monthly_Target],"")</f>
        <v>2500 Qualified Leads</v>
      </c>
      <c r="AB222">
        <f>_xlfn.XLOOKUP(H222,tblDepartment[Department],tblDepartment[Average_Salary_INR],"")</f>
        <v>590000</v>
      </c>
      <c r="AC222" t="str">
        <f>_xlfn.XLOOKUP(H222,tblDepartment[Department],tblDepartment[Priority_Level],"")</f>
        <v>Medium</v>
      </c>
      <c r="AD222" t="str">
        <f>_xlfn.XLOOKUP(H222,tblDepartment[Department],tblDepartment[Key_KPI],"")</f>
        <v>Lead Generation</v>
      </c>
      <c r="AE222">
        <f>_xlfn.XLOOKUP(tblMaster[[#This Row],[Shift]],tblShift[Shift_Name],tblShift[Login_Time],"")</f>
        <v>0.375</v>
      </c>
      <c r="AF222">
        <f>_xlfn.XLOOKUP(tblMaster[[#This Row],[Shift]],tblShift[Shift_Name],tblShift[Logout_Time]," ")</f>
        <v>0.75</v>
      </c>
      <c r="AG222">
        <f>_xlfn.XLOOKUP(tblMaster[[#This Row],[Shift]],tblShift[Shift_Name],tblShift[Standard_Working_Hours],"")</f>
        <v>8</v>
      </c>
      <c r="AH222" t="str">
        <f>_xlfn.XLOOKUP(tblMaster[[#This Row],[Attendance_Date]],tblHoliday[Holiday_Date],tblHoliday[Holiday_Name],"Working Day")</f>
        <v>Working Day</v>
      </c>
      <c r="AI222" t="str">
        <f>_xlfn.XLOOKUP(tblMaster[[#This Row],[Attendance_Date]],tblHoliday[Holiday_Date],tblHoliday[Holiday_Type],"Working Day ")</f>
        <v xml:space="preserve">Working Day </v>
      </c>
    </row>
    <row r="223" spans="1:35" hidden="1" x14ac:dyDescent="0.3">
      <c r="A223" t="s">
        <v>407</v>
      </c>
      <c r="B223" s="3">
        <v>45818</v>
      </c>
      <c r="C223" t="s">
        <v>23</v>
      </c>
      <c r="D223" t="s">
        <v>24</v>
      </c>
      <c r="E223" t="s">
        <v>87</v>
      </c>
      <c r="F223" t="s">
        <v>116</v>
      </c>
      <c r="G223" t="s">
        <v>117</v>
      </c>
      <c r="H223" t="s">
        <v>112</v>
      </c>
      <c r="I223" t="s">
        <v>113</v>
      </c>
      <c r="J223" t="s">
        <v>100</v>
      </c>
      <c r="K223" t="s">
        <v>54</v>
      </c>
      <c r="L223" s="2">
        <v>0.375</v>
      </c>
      <c r="M223" s="2">
        <v>0.75</v>
      </c>
      <c r="N223">
        <v>8</v>
      </c>
      <c r="O223">
        <v>0</v>
      </c>
      <c r="P223" t="s">
        <v>32</v>
      </c>
      <c r="R223">
        <v>5</v>
      </c>
      <c r="S223" t="s">
        <v>33</v>
      </c>
      <c r="T223" t="s">
        <v>114</v>
      </c>
      <c r="U223" t="s">
        <v>85</v>
      </c>
      <c r="V223" t="s">
        <v>69</v>
      </c>
      <c r="W223">
        <f>_xlfn.XLOOKUP(F223,tblEmployee[Employee_ID],tblEmployee[Age],"Not Found")</f>
        <v>24</v>
      </c>
      <c r="X223" t="str">
        <f>_xlfn.XLOOKUP(F223,tblEmployee[Employee_ID],tblEmployee[Gender],"Not Found")</f>
        <v>Male</v>
      </c>
      <c r="Y223">
        <f>_xlfn.XLOOKUP(F223,tblEmployee[Employee_ID],tblEmployee[Joining_Date],"")</f>
        <v>44270</v>
      </c>
      <c r="Z223">
        <f>_xlfn.XLOOKUP(H223,tblDepartment[Department],tblDepartment[Annual_Budget_INR],"")</f>
        <v>42000000</v>
      </c>
      <c r="AA223" t="str">
        <f>_xlfn.XLOOKUP(H223,tblDepartment[Department],tblDepartment[Monthly_Target],"")</f>
        <v>₹2.5 Cr Monthly Sales</v>
      </c>
      <c r="AB223">
        <f>_xlfn.XLOOKUP(H223,tblDepartment[Department],tblDepartment[Average_Salary_INR],"")</f>
        <v>680000</v>
      </c>
      <c r="AC223" t="str">
        <f>_xlfn.XLOOKUP(H223,tblDepartment[Department],tblDepartment[Priority_Level],"")</f>
        <v>High</v>
      </c>
      <c r="AD223" t="str">
        <f>_xlfn.XLOOKUP(H223,tblDepartment[Department],tblDepartment[Key_KPI],"")</f>
        <v>Revenue Achievement</v>
      </c>
      <c r="AE223">
        <f>_xlfn.XLOOKUP(tblMaster[[#This Row],[Shift]],tblShift[Shift_Name],tblShift[Login_Time],"")</f>
        <v>0.58333333333333337</v>
      </c>
      <c r="AF223">
        <f>_xlfn.XLOOKUP(tblMaster[[#This Row],[Shift]],tblShift[Shift_Name],tblShift[Logout_Time]," ")</f>
        <v>0.95833333333333337</v>
      </c>
      <c r="AG223">
        <f>_xlfn.XLOOKUP(tblMaster[[#This Row],[Shift]],tblShift[Shift_Name],tblShift[Standard_Working_Hours],"")</f>
        <v>8</v>
      </c>
      <c r="AH223" t="str">
        <f>_xlfn.XLOOKUP(tblMaster[[#This Row],[Attendance_Date]],tblHoliday[Holiday_Date],tblHoliday[Holiday_Name],"Working Day")</f>
        <v>Working Day</v>
      </c>
      <c r="AI223" t="str">
        <f>_xlfn.XLOOKUP(tblMaster[[#This Row],[Attendance_Date]],tblHoliday[Holiday_Date],tblHoliday[Holiday_Type],"Working Day ")</f>
        <v xml:space="preserve">Working Day </v>
      </c>
    </row>
    <row r="224" spans="1:35" hidden="1" x14ac:dyDescent="0.3">
      <c r="A224" t="s">
        <v>408</v>
      </c>
      <c r="B224" s="1">
        <v>45760</v>
      </c>
      <c r="C224" t="s">
        <v>37</v>
      </c>
      <c r="D224" t="s">
        <v>24</v>
      </c>
      <c r="E224" t="s">
        <v>103</v>
      </c>
      <c r="F224" t="s">
        <v>142</v>
      </c>
      <c r="G224" t="s">
        <v>143</v>
      </c>
      <c r="H224" t="s">
        <v>64</v>
      </c>
      <c r="I224" t="s">
        <v>65</v>
      </c>
      <c r="J224" t="s">
        <v>43</v>
      </c>
      <c r="K224" t="s">
        <v>54</v>
      </c>
      <c r="L224" s="2">
        <v>0.375</v>
      </c>
      <c r="M224" s="2">
        <v>0.75</v>
      </c>
      <c r="N224">
        <v>9</v>
      </c>
      <c r="O224">
        <v>1</v>
      </c>
      <c r="P224" t="s">
        <v>32</v>
      </c>
      <c r="S224" t="s">
        <v>67</v>
      </c>
      <c r="T224" t="s">
        <v>68</v>
      </c>
      <c r="U224" t="s">
        <v>85</v>
      </c>
      <c r="V224" t="s">
        <v>60</v>
      </c>
      <c r="W224">
        <f>_xlfn.XLOOKUP(F224,tblEmployee[Employee_ID],tblEmployee[Age],"Not Found")</f>
        <v>37</v>
      </c>
      <c r="X224" t="str">
        <f>_xlfn.XLOOKUP(F224,tblEmployee[Employee_ID],tblEmployee[Gender],"Not Found")</f>
        <v>Male</v>
      </c>
      <c r="Y224">
        <f>_xlfn.XLOOKUP(F224,tblEmployee[Employee_ID],tblEmployee[Joining_Date],"")</f>
        <v>43570</v>
      </c>
      <c r="Z224">
        <f>_xlfn.XLOOKUP(H224,tblDepartment[Department],tblDepartment[Annual_Budget_INR],"")</f>
        <v>85000000</v>
      </c>
      <c r="AA224" t="str">
        <f>_xlfn.XLOOKUP(H224,tblDepartment[Department],tblDepartment[Monthly_Target],"")</f>
        <v>99.5% System Uptime</v>
      </c>
      <c r="AB224">
        <f>_xlfn.XLOOKUP(H224,tblDepartment[Department],tblDepartment[Average_Salary_INR],"")</f>
        <v>720000</v>
      </c>
      <c r="AC224" t="str">
        <f>_xlfn.XLOOKUP(H224,tblDepartment[Department],tblDepartment[Priority_Level],"")</f>
        <v>High</v>
      </c>
      <c r="AD224" t="str">
        <f>_xlfn.XLOOKUP(H224,tblDepartment[Department],tblDepartment[Key_KPI],"")</f>
        <v>Project Delivery</v>
      </c>
      <c r="AE224">
        <f>_xlfn.XLOOKUP(tblMaster[[#This Row],[Shift]],tblShift[Shift_Name],tblShift[Login_Time],"")</f>
        <v>0.58333333333333337</v>
      </c>
      <c r="AF224">
        <f>_xlfn.XLOOKUP(tblMaster[[#This Row],[Shift]],tblShift[Shift_Name],tblShift[Logout_Time]," ")</f>
        <v>0.95833333333333337</v>
      </c>
      <c r="AG224">
        <f>_xlfn.XLOOKUP(tblMaster[[#This Row],[Shift]],tblShift[Shift_Name],tblShift[Standard_Working_Hours],"")</f>
        <v>8</v>
      </c>
      <c r="AH224" t="str">
        <f>_xlfn.XLOOKUP(tblMaster[[#This Row],[Attendance_Date]],tblHoliday[Holiday_Date],tblHoliday[Holiday_Name],"Working Day")</f>
        <v>Working Day</v>
      </c>
      <c r="AI224" t="str">
        <f>_xlfn.XLOOKUP(tblMaster[[#This Row],[Attendance_Date]],tblHoliday[Holiday_Date],tblHoliday[Holiday_Type],"Working Day ")</f>
        <v xml:space="preserve">Working Day </v>
      </c>
    </row>
    <row r="225" spans="1:35" hidden="1" x14ac:dyDescent="0.3">
      <c r="A225" t="s">
        <v>409</v>
      </c>
      <c r="B225" s="3">
        <v>45759</v>
      </c>
      <c r="C225" t="s">
        <v>37</v>
      </c>
      <c r="D225" t="s">
        <v>24</v>
      </c>
      <c r="E225" t="s">
        <v>38</v>
      </c>
      <c r="F225" t="s">
        <v>148</v>
      </c>
      <c r="G225" t="s">
        <v>149</v>
      </c>
      <c r="H225" t="s">
        <v>112</v>
      </c>
      <c r="I225" t="s">
        <v>113</v>
      </c>
      <c r="J225" t="s">
        <v>43</v>
      </c>
      <c r="K225" t="s">
        <v>75</v>
      </c>
      <c r="L225" s="2">
        <v>0.38194444444444442</v>
      </c>
      <c r="M225" s="2">
        <v>0.75</v>
      </c>
      <c r="N225">
        <v>8</v>
      </c>
      <c r="O225">
        <v>0</v>
      </c>
      <c r="P225" t="s">
        <v>32</v>
      </c>
      <c r="R225">
        <v>3</v>
      </c>
      <c r="S225" t="s">
        <v>45</v>
      </c>
      <c r="T225" t="s">
        <v>114</v>
      </c>
      <c r="U225" t="s">
        <v>55</v>
      </c>
      <c r="V225" t="s">
        <v>60</v>
      </c>
      <c r="W225">
        <f>_xlfn.XLOOKUP(F225,tblEmployee[Employee_ID],tblEmployee[Age],"Not Found")</f>
        <v>31</v>
      </c>
      <c r="X225" t="str">
        <f>_xlfn.XLOOKUP(F225,tblEmployee[Employee_ID],tblEmployee[Gender],"Not Found")</f>
        <v>Male</v>
      </c>
      <c r="Y225">
        <f>_xlfn.XLOOKUP(F225,tblEmployee[Employee_ID],tblEmployee[Joining_Date],"")</f>
        <v>44484</v>
      </c>
      <c r="Z225">
        <f>_xlfn.XLOOKUP(H225,tblDepartment[Department],tblDepartment[Annual_Budget_INR],"")</f>
        <v>42000000</v>
      </c>
      <c r="AA225" t="str">
        <f>_xlfn.XLOOKUP(H225,tblDepartment[Department],tblDepartment[Monthly_Target],"")</f>
        <v>₹2.5 Cr Monthly Sales</v>
      </c>
      <c r="AB225">
        <f>_xlfn.XLOOKUP(H225,tblDepartment[Department],tblDepartment[Average_Salary_INR],"")</f>
        <v>680000</v>
      </c>
      <c r="AC225" t="str">
        <f>_xlfn.XLOOKUP(H225,tblDepartment[Department],tblDepartment[Priority_Level],"")</f>
        <v>High</v>
      </c>
      <c r="AD225" t="str">
        <f>_xlfn.XLOOKUP(H225,tblDepartment[Department],tblDepartment[Key_KPI],"")</f>
        <v>Revenue Achievement</v>
      </c>
      <c r="AE225">
        <f>_xlfn.XLOOKUP(tblMaster[[#This Row],[Shift]],tblShift[Shift_Name],tblShift[Login_Time],"")</f>
        <v>0.375</v>
      </c>
      <c r="AF225">
        <f>_xlfn.XLOOKUP(tblMaster[[#This Row],[Shift]],tblShift[Shift_Name],tblShift[Logout_Time]," ")</f>
        <v>0.75</v>
      </c>
      <c r="AG225">
        <f>_xlfn.XLOOKUP(tblMaster[[#This Row],[Shift]],tblShift[Shift_Name],tblShift[Standard_Working_Hours],"")</f>
        <v>8</v>
      </c>
      <c r="AH225" t="str">
        <f>_xlfn.XLOOKUP(tblMaster[[#This Row],[Attendance_Date]],tblHoliday[Holiday_Date],tblHoliday[Holiday_Name],"Working Day")</f>
        <v>Working Day</v>
      </c>
      <c r="AI225" t="str">
        <f>_xlfn.XLOOKUP(tblMaster[[#This Row],[Attendance_Date]],tblHoliday[Holiday_Date],tblHoliday[Holiday_Type],"Working Day ")</f>
        <v xml:space="preserve">Working Day </v>
      </c>
    </row>
    <row r="226" spans="1:35" hidden="1" x14ac:dyDescent="0.3">
      <c r="A226" t="s">
        <v>410</v>
      </c>
      <c r="B226" s="1">
        <v>45692</v>
      </c>
      <c r="C226" t="s">
        <v>95</v>
      </c>
      <c r="D226" t="s">
        <v>50</v>
      </c>
      <c r="E226" t="s">
        <v>87</v>
      </c>
      <c r="F226" t="s">
        <v>166</v>
      </c>
      <c r="G226" t="s">
        <v>167</v>
      </c>
      <c r="H226" t="s">
        <v>41</v>
      </c>
      <c r="I226" t="s">
        <v>42</v>
      </c>
      <c r="J226" t="s">
        <v>100</v>
      </c>
      <c r="K226" t="s">
        <v>75</v>
      </c>
      <c r="L226" s="2">
        <v>0.375</v>
      </c>
      <c r="M226" s="2">
        <v>0.75</v>
      </c>
      <c r="N226">
        <v>8</v>
      </c>
      <c r="O226">
        <v>0</v>
      </c>
      <c r="P226" t="s">
        <v>32</v>
      </c>
      <c r="R226">
        <v>5</v>
      </c>
      <c r="S226" t="s">
        <v>92</v>
      </c>
      <c r="T226" t="s">
        <v>46</v>
      </c>
      <c r="U226" t="s">
        <v>47</v>
      </c>
      <c r="V226" t="s">
        <v>35</v>
      </c>
      <c r="W226">
        <f>_xlfn.XLOOKUP(F226,tblEmployee[Employee_ID],tblEmployee[Age],"Not Found")</f>
        <v>37</v>
      </c>
      <c r="X226" t="str">
        <f>_xlfn.XLOOKUP(F226,tblEmployee[Employee_ID],tblEmployee[Gender],"Not Found")</f>
        <v>Male</v>
      </c>
      <c r="Y226">
        <f>_xlfn.XLOOKUP(F226,tblEmployee[Employee_ID],tblEmployee[Joining_Date],"")</f>
        <v>45214</v>
      </c>
      <c r="Z226">
        <f>_xlfn.XLOOKUP(H226,tblDepartment[Department],tblDepartment[Annual_Budget_INR],"")</f>
        <v>34000000</v>
      </c>
      <c r="AA226" t="str">
        <f>_xlfn.XLOOKUP(H226,tblDepartment[Department],tblDepartment[Monthly_Target],"")</f>
        <v>95% Process Efficiency</v>
      </c>
      <c r="AB226">
        <f>_xlfn.XLOOKUP(H226,tblDepartment[Department],tblDepartment[Average_Salary_INR],"")</f>
        <v>610000</v>
      </c>
      <c r="AC226" t="str">
        <f>_xlfn.XLOOKUP(H226,tblDepartment[Department],tblDepartment[Priority_Level],"")</f>
        <v>High</v>
      </c>
      <c r="AD226" t="str">
        <f>_xlfn.XLOOKUP(H226,tblDepartment[Department],tblDepartment[Key_KPI],"")</f>
        <v>Operational Efficiency</v>
      </c>
      <c r="AE226">
        <f>_xlfn.XLOOKUP(tblMaster[[#This Row],[Shift]],tblShift[Shift_Name],tblShift[Login_Time],"")</f>
        <v>0.375</v>
      </c>
      <c r="AF226">
        <f>_xlfn.XLOOKUP(tblMaster[[#This Row],[Shift]],tblShift[Shift_Name],tblShift[Logout_Time]," ")</f>
        <v>0.75</v>
      </c>
      <c r="AG226">
        <f>_xlfn.XLOOKUP(tblMaster[[#This Row],[Shift]],tblShift[Shift_Name],tblShift[Standard_Working_Hours],"")</f>
        <v>8</v>
      </c>
      <c r="AH226" t="str">
        <f>_xlfn.XLOOKUP(tblMaster[[#This Row],[Attendance_Date]],tblHoliday[Holiday_Date],tblHoliday[Holiday_Name],"Working Day")</f>
        <v>Working Day</v>
      </c>
      <c r="AI226" t="str">
        <f>_xlfn.XLOOKUP(tblMaster[[#This Row],[Attendance_Date]],tblHoliday[Holiday_Date],tblHoliday[Holiday_Type],"Working Day ")</f>
        <v xml:space="preserve">Working Day </v>
      </c>
    </row>
    <row r="227" spans="1:35" x14ac:dyDescent="0.3">
      <c r="A227" t="s">
        <v>411</v>
      </c>
      <c r="B227" s="3">
        <v>45805</v>
      </c>
      <c r="C227" t="s">
        <v>57</v>
      </c>
      <c r="D227" t="s">
        <v>24</v>
      </c>
      <c r="E227" t="s">
        <v>51</v>
      </c>
      <c r="F227" t="s">
        <v>133</v>
      </c>
      <c r="G227" t="s">
        <v>134</v>
      </c>
      <c r="H227" t="s">
        <v>98</v>
      </c>
      <c r="I227" t="s">
        <v>99</v>
      </c>
      <c r="J227" t="s">
        <v>66</v>
      </c>
      <c r="K227" t="s">
        <v>54</v>
      </c>
      <c r="L227" s="2">
        <v>0.375</v>
      </c>
      <c r="M227" s="2">
        <v>0.75</v>
      </c>
      <c r="N227">
        <v>8</v>
      </c>
      <c r="O227">
        <v>0</v>
      </c>
      <c r="P227" t="s">
        <v>32</v>
      </c>
      <c r="R227">
        <v>3</v>
      </c>
      <c r="S227" t="s">
        <v>67</v>
      </c>
      <c r="T227" t="s">
        <v>101</v>
      </c>
      <c r="U227" t="str">
        <f>_xlfn.XLOOKUP(tblMaster[[#This Row],[Employee_ID]],tblEmployee[Employee_ID],tblEmployee[Work_Mode]," ")</f>
        <v>Remote</v>
      </c>
      <c r="V227" t="s">
        <v>69</v>
      </c>
      <c r="W227">
        <f>_xlfn.XLOOKUP(F227,tblEmployee[Employee_ID],tblEmployee[Age],"Not Found")</f>
        <v>27</v>
      </c>
      <c r="X227" t="str">
        <f>_xlfn.XLOOKUP(F227,tblEmployee[Employee_ID],tblEmployee[Gender],"Not Found")</f>
        <v>Male</v>
      </c>
      <c r="Y227">
        <f>_xlfn.XLOOKUP(F227,tblEmployee[Employee_ID],tblEmployee[Joining_Date],"")</f>
        <v>45458</v>
      </c>
      <c r="Z227">
        <f>_xlfn.XLOOKUP(H227,tblDepartment[Department],tblDepartment[Annual_Budget_INR],"")</f>
        <v>22000000</v>
      </c>
      <c r="AA227" t="str">
        <f>_xlfn.XLOOKUP(H227,tblDepartment[Department],tblDepartment[Monthly_Target],"")</f>
        <v>2500 Qualified Leads</v>
      </c>
      <c r="AB227">
        <f>_xlfn.XLOOKUP(H227,tblDepartment[Department],tblDepartment[Average_Salary_INR],"")</f>
        <v>590000</v>
      </c>
      <c r="AC227" t="str">
        <f>_xlfn.XLOOKUP(H227,tblDepartment[Department],tblDepartment[Priority_Level],"")</f>
        <v>Medium</v>
      </c>
      <c r="AD227" t="str">
        <f>_xlfn.XLOOKUP(H227,tblDepartment[Department],tblDepartment[Key_KPI],"")</f>
        <v>Lead Generation</v>
      </c>
      <c r="AE227">
        <f>_xlfn.XLOOKUP(tblMaster[[#This Row],[Shift]],tblShift[Shift_Name],tblShift[Login_Time],"")</f>
        <v>0.58333333333333337</v>
      </c>
      <c r="AF227">
        <f>_xlfn.XLOOKUP(tblMaster[[#This Row],[Shift]],tblShift[Shift_Name],tblShift[Logout_Time]," ")</f>
        <v>0.95833333333333337</v>
      </c>
      <c r="AG227">
        <f>_xlfn.XLOOKUP(tblMaster[[#This Row],[Shift]],tblShift[Shift_Name],tblShift[Standard_Working_Hours],"")</f>
        <v>8</v>
      </c>
      <c r="AH227" t="str">
        <f>_xlfn.XLOOKUP(tblMaster[[#This Row],[Attendance_Date]],tblHoliday[Holiday_Date],tblHoliday[Holiday_Name],"Working Day")</f>
        <v>Working Day</v>
      </c>
      <c r="AI227" t="str">
        <f>_xlfn.XLOOKUP(tblMaster[[#This Row],[Attendance_Date]],tblHoliday[Holiday_Date],tblHoliday[Holiday_Type],"Working Day ")</f>
        <v xml:space="preserve">Working Day </v>
      </c>
    </row>
    <row r="228" spans="1:35" hidden="1" x14ac:dyDescent="0.3">
      <c r="A228" t="s">
        <v>412</v>
      </c>
      <c r="B228" s="3">
        <v>45803</v>
      </c>
      <c r="C228" t="s">
        <v>57</v>
      </c>
      <c r="D228" t="s">
        <v>24</v>
      </c>
      <c r="E228" t="s">
        <v>109</v>
      </c>
      <c r="F228" t="s">
        <v>207</v>
      </c>
      <c r="G228" t="s">
        <v>208</v>
      </c>
      <c r="H228" t="s">
        <v>64</v>
      </c>
      <c r="I228" t="s">
        <v>65</v>
      </c>
      <c r="J228" t="s">
        <v>30</v>
      </c>
      <c r="K228" t="s">
        <v>81</v>
      </c>
      <c r="L228" s="2">
        <v>0.91666666666666663</v>
      </c>
      <c r="M228" s="2">
        <v>0.29166666666666669</v>
      </c>
      <c r="N228">
        <v>10</v>
      </c>
      <c r="O228">
        <v>2</v>
      </c>
      <c r="P228" t="s">
        <v>32</v>
      </c>
      <c r="R228">
        <v>3</v>
      </c>
      <c r="S228" t="s">
        <v>92</v>
      </c>
      <c r="T228" t="s">
        <v>68</v>
      </c>
      <c r="U228" t="s">
        <v>85</v>
      </c>
      <c r="V228" t="s">
        <v>69</v>
      </c>
      <c r="W228">
        <f>_xlfn.XLOOKUP(F228,tblEmployee[Employee_ID],tblEmployee[Age],"Not Found")</f>
        <v>33</v>
      </c>
      <c r="X228" t="str">
        <f>_xlfn.XLOOKUP(F228,tblEmployee[Employee_ID],tblEmployee[Gender],"Not Found")</f>
        <v>Male</v>
      </c>
      <c r="Y228">
        <f>_xlfn.XLOOKUP(F228,tblEmployee[Employee_ID],tblEmployee[Joining_Date],"")</f>
        <v>43631</v>
      </c>
      <c r="Z228">
        <f>_xlfn.XLOOKUP(H228,tblDepartment[Department],tblDepartment[Annual_Budget_INR],"")</f>
        <v>85000000</v>
      </c>
      <c r="AA228" t="str">
        <f>_xlfn.XLOOKUP(H228,tblDepartment[Department],tblDepartment[Monthly_Target],"")</f>
        <v>99.5% System Uptime</v>
      </c>
      <c r="AB228">
        <f>_xlfn.XLOOKUP(H228,tblDepartment[Department],tblDepartment[Average_Salary_INR],"")</f>
        <v>720000</v>
      </c>
      <c r="AC228" t="str">
        <f>_xlfn.XLOOKUP(H228,tblDepartment[Department],tblDepartment[Priority_Level],"")</f>
        <v>High</v>
      </c>
      <c r="AD228" t="str">
        <f>_xlfn.XLOOKUP(H228,tblDepartment[Department],tblDepartment[Key_KPI],"")</f>
        <v>Project Delivery</v>
      </c>
      <c r="AE228">
        <f>_xlfn.XLOOKUP(tblMaster[[#This Row],[Shift]],tblShift[Shift_Name],tblShift[Login_Time],"")</f>
        <v>0.91666666666666663</v>
      </c>
      <c r="AF228">
        <f>_xlfn.XLOOKUP(tblMaster[[#This Row],[Shift]],tblShift[Shift_Name],tblShift[Logout_Time]," ")</f>
        <v>0.29166666666666669</v>
      </c>
      <c r="AG228">
        <f>_xlfn.XLOOKUP(tblMaster[[#This Row],[Shift]],tblShift[Shift_Name],tblShift[Standard_Working_Hours],"")</f>
        <v>8</v>
      </c>
      <c r="AH228" t="str">
        <f>_xlfn.XLOOKUP(tblMaster[[#This Row],[Attendance_Date]],tblHoliday[Holiday_Date],tblHoliday[Holiday_Name],"Working Day")</f>
        <v>Working Day</v>
      </c>
      <c r="AI228" t="str">
        <f>_xlfn.XLOOKUP(tblMaster[[#This Row],[Attendance_Date]],tblHoliday[Holiday_Date],tblHoliday[Holiday_Type],"Working Day ")</f>
        <v xml:space="preserve">Working Day </v>
      </c>
    </row>
    <row r="229" spans="1:35" hidden="1" x14ac:dyDescent="0.3">
      <c r="A229" t="s">
        <v>413</v>
      </c>
      <c r="B229" s="3">
        <v>45738</v>
      </c>
      <c r="C229" t="s">
        <v>71</v>
      </c>
      <c r="D229" t="s">
        <v>50</v>
      </c>
      <c r="E229" t="s">
        <v>38</v>
      </c>
      <c r="F229" t="s">
        <v>185</v>
      </c>
      <c r="G229" t="s">
        <v>186</v>
      </c>
      <c r="H229" t="s">
        <v>79</v>
      </c>
      <c r="I229" t="s">
        <v>80</v>
      </c>
      <c r="J229" t="s">
        <v>66</v>
      </c>
      <c r="K229" t="s">
        <v>31</v>
      </c>
      <c r="L229" s="2">
        <v>0.375</v>
      </c>
      <c r="M229" s="2">
        <v>0.75</v>
      </c>
      <c r="N229">
        <v>8</v>
      </c>
      <c r="O229">
        <v>0</v>
      </c>
      <c r="P229" t="s">
        <v>32</v>
      </c>
      <c r="R229">
        <v>4</v>
      </c>
      <c r="S229" t="s">
        <v>45</v>
      </c>
      <c r="T229" t="s">
        <v>84</v>
      </c>
      <c r="U229" t="s">
        <v>85</v>
      </c>
      <c r="V229" t="s">
        <v>60</v>
      </c>
      <c r="W229">
        <f>_xlfn.XLOOKUP(F229,tblEmployee[Employee_ID],tblEmployee[Age],"Not Found")</f>
        <v>33</v>
      </c>
      <c r="X229" t="str">
        <f>_xlfn.XLOOKUP(F229,tblEmployee[Employee_ID],tblEmployee[Gender],"Not Found")</f>
        <v>Male</v>
      </c>
      <c r="Y229">
        <f>_xlfn.XLOOKUP(F229,tblEmployee[Employee_ID],tblEmployee[Joining_Date],"")</f>
        <v>44910</v>
      </c>
      <c r="Z229">
        <f>_xlfn.XLOOKUP(H229,tblDepartment[Department],tblDepartment[Annual_Budget_INR],"")</f>
        <v>26000000</v>
      </c>
      <c r="AA229" t="str">
        <f>_xlfn.XLOOKUP(H229,tblDepartment[Department],tblDepartment[Monthly_Target],"")</f>
        <v>100% Payroll Accuracy</v>
      </c>
      <c r="AB229">
        <f>_xlfn.XLOOKUP(H229,tblDepartment[Department],tblDepartment[Average_Salary_INR],"")</f>
        <v>640000</v>
      </c>
      <c r="AC229" t="str">
        <f>_xlfn.XLOOKUP(H229,tblDepartment[Department],tblDepartment[Priority_Level],"")</f>
        <v>High</v>
      </c>
      <c r="AD229" t="str">
        <f>_xlfn.XLOOKUP(H229,tblDepartment[Department],tblDepartment[Key_KPI],"")</f>
        <v>Financial Compliance</v>
      </c>
      <c r="AE229">
        <f>_xlfn.XLOOKUP(tblMaster[[#This Row],[Shift]],tblShift[Shift_Name],tblShift[Login_Time],"")</f>
        <v>0.25</v>
      </c>
      <c r="AF229">
        <f>_xlfn.XLOOKUP(tblMaster[[#This Row],[Shift]],tblShift[Shift_Name],tblShift[Logout_Time]," ")</f>
        <v>0.625</v>
      </c>
      <c r="AG229">
        <f>_xlfn.XLOOKUP(tblMaster[[#This Row],[Shift]],tblShift[Shift_Name],tblShift[Standard_Working_Hours],"")</f>
        <v>8</v>
      </c>
      <c r="AH229" t="str">
        <f>_xlfn.XLOOKUP(tblMaster[[#This Row],[Attendance_Date]],tblHoliday[Holiday_Date],tblHoliday[Holiday_Name],"Working Day")</f>
        <v>Working Day</v>
      </c>
      <c r="AI229" t="str">
        <f>_xlfn.XLOOKUP(tblMaster[[#This Row],[Attendance_Date]],tblHoliday[Holiday_Date],tblHoliday[Holiday_Type],"Working Day ")</f>
        <v xml:space="preserve">Working Day </v>
      </c>
    </row>
    <row r="230" spans="1:35" x14ac:dyDescent="0.3">
      <c r="A230" t="s">
        <v>414</v>
      </c>
      <c r="B230" s="1">
        <v>45693</v>
      </c>
      <c r="C230" t="s">
        <v>95</v>
      </c>
      <c r="D230" t="s">
        <v>50</v>
      </c>
      <c r="E230" t="s">
        <v>51</v>
      </c>
      <c r="F230" t="s">
        <v>354</v>
      </c>
      <c r="G230" t="s">
        <v>355</v>
      </c>
      <c r="H230" t="s">
        <v>28</v>
      </c>
      <c r="I230" t="s">
        <v>29</v>
      </c>
      <c r="J230" t="s">
        <v>100</v>
      </c>
      <c r="K230" t="s">
        <v>75</v>
      </c>
      <c r="L230" s="2">
        <v>0.375</v>
      </c>
      <c r="M230" s="2">
        <v>0.75</v>
      </c>
      <c r="N230">
        <v>8</v>
      </c>
      <c r="O230">
        <v>0</v>
      </c>
      <c r="P230" t="s">
        <v>32</v>
      </c>
      <c r="R230">
        <v>3</v>
      </c>
      <c r="S230" t="s">
        <v>45</v>
      </c>
      <c r="T230" t="s">
        <v>34</v>
      </c>
      <c r="U230" t="str">
        <f>_xlfn.XLOOKUP(tblMaster[[#This Row],[Employee_ID]],tblEmployee[Employee_ID],tblEmployee[Work_Mode]," ")</f>
        <v>Hybrid</v>
      </c>
      <c r="V230" t="s">
        <v>60</v>
      </c>
      <c r="W230">
        <f>_xlfn.XLOOKUP(F230,tblEmployee[Employee_ID],tblEmployee[Age],"Not Found")</f>
        <v>32</v>
      </c>
      <c r="X230" t="str">
        <f>_xlfn.XLOOKUP(F230,tblEmployee[Employee_ID],tblEmployee[Gender],"Not Found")</f>
        <v>Female</v>
      </c>
      <c r="Y230">
        <f>_xlfn.XLOOKUP(F230,tblEmployee[Employee_ID],tblEmployee[Joining_Date],"")</f>
        <v>43235</v>
      </c>
      <c r="Z230">
        <f>_xlfn.XLOOKUP(H230,tblDepartment[Department],tblDepartment[Annual_Budget_INR],"")</f>
        <v>24000000</v>
      </c>
      <c r="AA230" t="str">
        <f>_xlfn.XLOOKUP(H230,tblDepartment[Department],tblDepartment[Monthly_Target],"")</f>
        <v>90% Customer Satisfaction</v>
      </c>
      <c r="AB230">
        <f>_xlfn.XLOOKUP(H230,tblDepartment[Department],tblDepartment[Average_Salary_INR],"")</f>
        <v>520000</v>
      </c>
      <c r="AC230" t="str">
        <f>_xlfn.XLOOKUP(H230,tblDepartment[Department],tblDepartment[Priority_Level],"")</f>
        <v>High</v>
      </c>
      <c r="AD230" t="str">
        <f>_xlfn.XLOOKUP(H230,tblDepartment[Department],tblDepartment[Key_KPI],"")</f>
        <v>Customer Satisfaction</v>
      </c>
      <c r="AE230">
        <f>_xlfn.XLOOKUP(tblMaster[[#This Row],[Shift]],tblShift[Shift_Name],tblShift[Login_Time],"")</f>
        <v>0.375</v>
      </c>
      <c r="AF230">
        <f>_xlfn.XLOOKUP(tblMaster[[#This Row],[Shift]],tblShift[Shift_Name],tblShift[Logout_Time]," ")</f>
        <v>0.75</v>
      </c>
      <c r="AG230">
        <f>_xlfn.XLOOKUP(tblMaster[[#This Row],[Shift]],tblShift[Shift_Name],tblShift[Standard_Working_Hours],"")</f>
        <v>8</v>
      </c>
      <c r="AH230" t="str">
        <f>_xlfn.XLOOKUP(tblMaster[[#This Row],[Attendance_Date]],tblHoliday[Holiday_Date],tblHoliday[Holiday_Name],"Working Day")</f>
        <v>Working Day</v>
      </c>
      <c r="AI230" t="str">
        <f>_xlfn.XLOOKUP(tblMaster[[#This Row],[Attendance_Date]],tblHoliday[Holiday_Date],tblHoliday[Holiday_Type],"Working Day ")</f>
        <v xml:space="preserve">Working Day </v>
      </c>
    </row>
    <row r="231" spans="1:35" hidden="1" x14ac:dyDescent="0.3">
      <c r="A231" t="s">
        <v>415</v>
      </c>
      <c r="B231" s="1">
        <v>45681</v>
      </c>
      <c r="C231" t="s">
        <v>49</v>
      </c>
      <c r="D231" t="s">
        <v>50</v>
      </c>
      <c r="E231" t="s">
        <v>119</v>
      </c>
      <c r="F231" t="s">
        <v>127</v>
      </c>
      <c r="G231" t="s">
        <v>128</v>
      </c>
      <c r="H231" t="s">
        <v>137</v>
      </c>
      <c r="I231" t="s">
        <v>91</v>
      </c>
      <c r="J231" t="s">
        <v>66</v>
      </c>
      <c r="K231" t="s">
        <v>54</v>
      </c>
      <c r="L231" s="2">
        <v>0.375</v>
      </c>
      <c r="M231" s="2">
        <v>0.75</v>
      </c>
      <c r="N231">
        <v>8</v>
      </c>
      <c r="O231">
        <v>0</v>
      </c>
      <c r="P231" t="s">
        <v>32</v>
      </c>
      <c r="R231">
        <v>5</v>
      </c>
      <c r="S231" t="s">
        <v>92</v>
      </c>
      <c r="T231" t="s">
        <v>93</v>
      </c>
      <c r="U231" t="s">
        <v>47</v>
      </c>
      <c r="V231" t="s">
        <v>35</v>
      </c>
      <c r="W231">
        <f>_xlfn.XLOOKUP(F231,tblEmployee[Employee_ID],tblEmployee[Age],"Not Found")</f>
        <v>38</v>
      </c>
      <c r="X231" t="str">
        <f>_xlfn.XLOOKUP(F231,tblEmployee[Employee_ID],tblEmployee[Gender],"Not Found")</f>
        <v>Female</v>
      </c>
      <c r="Y231">
        <f>_xlfn.XLOOKUP(F231,tblEmployee[Employee_ID],tblEmployee[Joining_Date],"")</f>
        <v>43966</v>
      </c>
      <c r="Z231">
        <f>_xlfn.XLOOKUP(H231,tblDepartment[Department],tblDepartment[Annual_Budget_INR],"")</f>
        <v>18000000</v>
      </c>
      <c r="AA231" t="str">
        <f>_xlfn.XLOOKUP(H231,tblDepartment[Department],tblDepartment[Monthly_Target],"")</f>
        <v>&lt;30 Days Hiring Cycle</v>
      </c>
      <c r="AB231">
        <f>_xlfn.XLOOKUP(H231,tblDepartment[Department],tblDepartment[Average_Salary_INR],"")</f>
        <v>560000</v>
      </c>
      <c r="AC231" t="str">
        <f>_xlfn.XLOOKUP(H231,tblDepartment[Department],tblDepartment[Priority_Level],"")</f>
        <v>Medium</v>
      </c>
      <c r="AD231" t="str">
        <f>_xlfn.XLOOKUP(H231,tblDepartment[Department],tblDepartment[Key_KPI],"")</f>
        <v>Hiring &amp; Retention</v>
      </c>
      <c r="AE231">
        <f>_xlfn.XLOOKUP(tblMaster[[#This Row],[Shift]],tblShift[Shift_Name],tblShift[Login_Time],"")</f>
        <v>0.58333333333333337</v>
      </c>
      <c r="AF231">
        <f>_xlfn.XLOOKUP(tblMaster[[#This Row],[Shift]],tblShift[Shift_Name],tblShift[Logout_Time]," ")</f>
        <v>0.95833333333333337</v>
      </c>
      <c r="AG231">
        <f>_xlfn.XLOOKUP(tblMaster[[#This Row],[Shift]],tblShift[Shift_Name],tblShift[Standard_Working_Hours],"")</f>
        <v>8</v>
      </c>
      <c r="AH231" t="str">
        <f>_xlfn.XLOOKUP(tblMaster[[#This Row],[Attendance_Date]],tblHoliday[Holiday_Date],tblHoliday[Holiday_Name],"Working Day")</f>
        <v>Working Day</v>
      </c>
      <c r="AI231" t="str">
        <f>_xlfn.XLOOKUP(tblMaster[[#This Row],[Attendance_Date]],tblHoliday[Holiday_Date],tblHoliday[Holiday_Type],"Working Day ")</f>
        <v xml:space="preserve">Working Day </v>
      </c>
    </row>
    <row r="232" spans="1:35" hidden="1" x14ac:dyDescent="0.3">
      <c r="A232" t="s">
        <v>416</v>
      </c>
      <c r="B232" s="1">
        <v>45707</v>
      </c>
      <c r="C232" t="s">
        <v>95</v>
      </c>
      <c r="D232" t="s">
        <v>50</v>
      </c>
      <c r="E232" t="s">
        <v>51</v>
      </c>
      <c r="F232" t="s">
        <v>281</v>
      </c>
      <c r="G232" t="s">
        <v>282</v>
      </c>
      <c r="H232" t="s">
        <v>90</v>
      </c>
      <c r="I232" t="s">
        <v>91</v>
      </c>
      <c r="J232" t="s">
        <v>30</v>
      </c>
      <c r="K232" t="s">
        <v>31</v>
      </c>
      <c r="L232" s="2">
        <v>0.375</v>
      </c>
      <c r="M232" s="2">
        <v>0.75</v>
      </c>
      <c r="N232">
        <v>8</v>
      </c>
      <c r="O232">
        <v>0</v>
      </c>
      <c r="P232" t="s">
        <v>32</v>
      </c>
      <c r="S232" t="s">
        <v>45</v>
      </c>
      <c r="T232" t="s">
        <v>93</v>
      </c>
      <c r="U232" t="s">
        <v>55</v>
      </c>
      <c r="V232" t="s">
        <v>69</v>
      </c>
      <c r="W232">
        <f>_xlfn.XLOOKUP(F232,tblEmployee[Employee_ID],tblEmployee[Age],"Not Found")</f>
        <v>31</v>
      </c>
      <c r="X232" t="str">
        <f>_xlfn.XLOOKUP(F232,tblEmployee[Employee_ID],tblEmployee[Gender],"Not Found")</f>
        <v>Male</v>
      </c>
      <c r="Y232">
        <f>_xlfn.XLOOKUP(F232,tblEmployee[Employee_ID],tblEmployee[Joining_Date],"")</f>
        <v>44119</v>
      </c>
      <c r="Z232">
        <f>_xlfn.XLOOKUP(H232,tblDepartment[Department],tblDepartment[Annual_Budget_INR],"")</f>
        <v>18000000</v>
      </c>
      <c r="AA232" t="str">
        <f>_xlfn.XLOOKUP(H232,tblDepartment[Department],tblDepartment[Monthly_Target],"")</f>
        <v>&lt;30 Days Hiring Cycle</v>
      </c>
      <c r="AB232">
        <f>_xlfn.XLOOKUP(H232,tblDepartment[Department],tblDepartment[Average_Salary_INR],"")</f>
        <v>560000</v>
      </c>
      <c r="AC232" t="str">
        <f>_xlfn.XLOOKUP(H232,tblDepartment[Department],tblDepartment[Priority_Level],"")</f>
        <v>Medium</v>
      </c>
      <c r="AD232" t="str">
        <f>_xlfn.XLOOKUP(H232,tblDepartment[Department],tblDepartment[Key_KPI],"")</f>
        <v>Hiring &amp; Retention</v>
      </c>
      <c r="AE232">
        <f>_xlfn.XLOOKUP(tblMaster[[#This Row],[Shift]],tblShift[Shift_Name],tblShift[Login_Time],"")</f>
        <v>0.25</v>
      </c>
      <c r="AF232">
        <f>_xlfn.XLOOKUP(tblMaster[[#This Row],[Shift]],tblShift[Shift_Name],tblShift[Logout_Time]," ")</f>
        <v>0.625</v>
      </c>
      <c r="AG232">
        <f>_xlfn.XLOOKUP(tblMaster[[#This Row],[Shift]],tblShift[Shift_Name],tblShift[Standard_Working_Hours],"")</f>
        <v>8</v>
      </c>
      <c r="AH232" t="str">
        <f>_xlfn.XLOOKUP(tblMaster[[#This Row],[Attendance_Date]],tblHoliday[Holiday_Date],tblHoliday[Holiday_Name],"Working Day")</f>
        <v>Working Day</v>
      </c>
      <c r="AI232" t="str">
        <f>_xlfn.XLOOKUP(tblMaster[[#This Row],[Attendance_Date]],tblHoliday[Holiday_Date],tblHoliday[Holiday_Type],"Working Day ")</f>
        <v xml:space="preserve">Working Day </v>
      </c>
    </row>
    <row r="233" spans="1:35" hidden="1" x14ac:dyDescent="0.3">
      <c r="A233" t="s">
        <v>417</v>
      </c>
      <c r="B233" s="3">
        <v>45676</v>
      </c>
      <c r="C233" t="s">
        <v>49</v>
      </c>
      <c r="D233" t="s">
        <v>50</v>
      </c>
      <c r="E233" t="s">
        <v>103</v>
      </c>
      <c r="F233" t="s">
        <v>77</v>
      </c>
      <c r="G233" t="s">
        <v>78</v>
      </c>
      <c r="H233" t="s">
        <v>79</v>
      </c>
      <c r="I233" t="s">
        <v>80</v>
      </c>
      <c r="J233" t="s">
        <v>30</v>
      </c>
      <c r="K233" t="s">
        <v>31</v>
      </c>
      <c r="M233" s="2">
        <v>0.75</v>
      </c>
      <c r="N233">
        <v>8</v>
      </c>
      <c r="O233">
        <v>0</v>
      </c>
      <c r="P233" t="s">
        <v>32</v>
      </c>
      <c r="R233">
        <v>4</v>
      </c>
      <c r="S233" t="s">
        <v>33</v>
      </c>
      <c r="T233" t="s">
        <v>84</v>
      </c>
      <c r="U233" t="s">
        <v>55</v>
      </c>
      <c r="V233" t="s">
        <v>35</v>
      </c>
      <c r="W233">
        <f>_xlfn.XLOOKUP(F233,tblEmployee[Employee_ID],tblEmployee[Age],"Not Found")</f>
        <v>26</v>
      </c>
      <c r="X233" t="str">
        <f>_xlfn.XLOOKUP(F233,tblEmployee[Employee_ID],tblEmployee[Gender],"Not Found")</f>
        <v>Female</v>
      </c>
      <c r="Y233">
        <f>_xlfn.XLOOKUP(F233,tblEmployee[Employee_ID],tblEmployee[Joining_Date],"")</f>
        <v>44696</v>
      </c>
      <c r="Z233">
        <f>_xlfn.XLOOKUP(H233,tblDepartment[Department],tblDepartment[Annual_Budget_INR],"")</f>
        <v>26000000</v>
      </c>
      <c r="AA233" t="str">
        <f>_xlfn.XLOOKUP(H233,tblDepartment[Department],tblDepartment[Monthly_Target],"")</f>
        <v>100% Payroll Accuracy</v>
      </c>
      <c r="AB233">
        <f>_xlfn.XLOOKUP(H233,tblDepartment[Department],tblDepartment[Average_Salary_INR],"")</f>
        <v>640000</v>
      </c>
      <c r="AC233" t="str">
        <f>_xlfn.XLOOKUP(H233,tblDepartment[Department],tblDepartment[Priority_Level],"")</f>
        <v>High</v>
      </c>
      <c r="AD233" t="str">
        <f>_xlfn.XLOOKUP(H233,tblDepartment[Department],tblDepartment[Key_KPI],"")</f>
        <v>Financial Compliance</v>
      </c>
      <c r="AE233">
        <f>_xlfn.XLOOKUP(tblMaster[[#This Row],[Shift]],tblShift[Shift_Name],tblShift[Login_Time],"")</f>
        <v>0.25</v>
      </c>
      <c r="AF233">
        <f>_xlfn.XLOOKUP(tblMaster[[#This Row],[Shift]],tblShift[Shift_Name],tblShift[Logout_Time]," ")</f>
        <v>0.625</v>
      </c>
      <c r="AG233">
        <f>_xlfn.XLOOKUP(tblMaster[[#This Row],[Shift]],tblShift[Shift_Name],tblShift[Standard_Working_Hours],"")</f>
        <v>8</v>
      </c>
      <c r="AH233" t="str">
        <f>_xlfn.XLOOKUP(tblMaster[[#This Row],[Attendance_Date]],tblHoliday[Holiday_Date],tblHoliday[Holiday_Name],"Working Day")</f>
        <v>Working Day</v>
      </c>
      <c r="AI233" t="str">
        <f>_xlfn.XLOOKUP(tblMaster[[#This Row],[Attendance_Date]],tblHoliday[Holiday_Date],tblHoliday[Holiday_Type],"Working Day ")</f>
        <v xml:space="preserve">Working Day </v>
      </c>
    </row>
    <row r="234" spans="1:35" hidden="1" x14ac:dyDescent="0.3">
      <c r="A234" t="s">
        <v>418</v>
      </c>
      <c r="B234" s="3">
        <v>45767</v>
      </c>
      <c r="C234" t="s">
        <v>37</v>
      </c>
      <c r="D234" t="s">
        <v>24</v>
      </c>
      <c r="E234" t="s">
        <v>103</v>
      </c>
      <c r="F234" t="s">
        <v>77</v>
      </c>
      <c r="G234" t="s">
        <v>78</v>
      </c>
      <c r="H234" t="s">
        <v>79</v>
      </c>
      <c r="I234" t="s">
        <v>80</v>
      </c>
      <c r="J234" t="s">
        <v>30</v>
      </c>
      <c r="K234" t="s">
        <v>31</v>
      </c>
      <c r="P234" t="s">
        <v>82</v>
      </c>
      <c r="Q234" t="s">
        <v>83</v>
      </c>
      <c r="S234" t="s">
        <v>67</v>
      </c>
      <c r="T234" t="s">
        <v>84</v>
      </c>
      <c r="U234" t="s">
        <v>47</v>
      </c>
      <c r="V234" t="s">
        <v>69</v>
      </c>
      <c r="W234">
        <f>_xlfn.XLOOKUP(F234,tblEmployee[Employee_ID],tblEmployee[Age],"Not Found")</f>
        <v>26</v>
      </c>
      <c r="X234" t="str">
        <f>_xlfn.XLOOKUP(F234,tblEmployee[Employee_ID],tblEmployee[Gender],"Not Found")</f>
        <v>Female</v>
      </c>
      <c r="Y234">
        <f>_xlfn.XLOOKUP(F234,tblEmployee[Employee_ID],tblEmployee[Joining_Date],"")</f>
        <v>44696</v>
      </c>
      <c r="Z234">
        <f>_xlfn.XLOOKUP(H234,tblDepartment[Department],tblDepartment[Annual_Budget_INR],"")</f>
        <v>26000000</v>
      </c>
      <c r="AA234" t="str">
        <f>_xlfn.XLOOKUP(H234,tblDepartment[Department],tblDepartment[Monthly_Target],"")</f>
        <v>100% Payroll Accuracy</v>
      </c>
      <c r="AB234">
        <f>_xlfn.XLOOKUP(H234,tblDepartment[Department],tblDepartment[Average_Salary_INR],"")</f>
        <v>640000</v>
      </c>
      <c r="AC234" t="str">
        <f>_xlfn.XLOOKUP(H234,tblDepartment[Department],tblDepartment[Priority_Level],"")</f>
        <v>High</v>
      </c>
      <c r="AD234" t="str">
        <f>_xlfn.XLOOKUP(H234,tblDepartment[Department],tblDepartment[Key_KPI],"")</f>
        <v>Financial Compliance</v>
      </c>
      <c r="AE234">
        <f>_xlfn.XLOOKUP(tblMaster[[#This Row],[Shift]],tblShift[Shift_Name],tblShift[Login_Time],"")</f>
        <v>0.25</v>
      </c>
      <c r="AF234">
        <f>_xlfn.XLOOKUP(tblMaster[[#This Row],[Shift]],tblShift[Shift_Name],tblShift[Logout_Time]," ")</f>
        <v>0.625</v>
      </c>
      <c r="AG234">
        <f>_xlfn.XLOOKUP(tblMaster[[#This Row],[Shift]],tblShift[Shift_Name],tblShift[Standard_Working_Hours],"")</f>
        <v>8</v>
      </c>
      <c r="AH234" t="str">
        <f>_xlfn.XLOOKUP(tblMaster[[#This Row],[Attendance_Date]],tblHoliday[Holiday_Date],tblHoliday[Holiday_Name],"Working Day")</f>
        <v>Working Day</v>
      </c>
      <c r="AI234" t="str">
        <f>_xlfn.XLOOKUP(tblMaster[[#This Row],[Attendance_Date]],tblHoliday[Holiday_Date],tblHoliday[Holiday_Type],"Working Day ")</f>
        <v xml:space="preserve">Working Day </v>
      </c>
    </row>
    <row r="235" spans="1:35" hidden="1" x14ac:dyDescent="0.3">
      <c r="A235" t="s">
        <v>419</v>
      </c>
      <c r="B235" s="1">
        <v>45801</v>
      </c>
      <c r="C235" t="s">
        <v>57</v>
      </c>
      <c r="D235" t="s">
        <v>24</v>
      </c>
      <c r="E235" t="s">
        <v>38</v>
      </c>
      <c r="F235" t="s">
        <v>159</v>
      </c>
      <c r="G235" t="s">
        <v>160</v>
      </c>
      <c r="H235" t="s">
        <v>64</v>
      </c>
      <c r="I235" t="s">
        <v>65</v>
      </c>
      <c r="J235" t="s">
        <v>100</v>
      </c>
      <c r="K235" t="s">
        <v>31</v>
      </c>
      <c r="P235" t="s">
        <v>135</v>
      </c>
      <c r="S235" t="s">
        <v>92</v>
      </c>
      <c r="T235" t="s">
        <v>68</v>
      </c>
      <c r="U235" t="s">
        <v>85</v>
      </c>
      <c r="V235" t="s">
        <v>60</v>
      </c>
      <c r="W235">
        <f>_xlfn.XLOOKUP(F235,tblEmployee[Employee_ID],tblEmployee[Age],"Not Found")</f>
        <v>30</v>
      </c>
      <c r="X235" t="str">
        <f>_xlfn.XLOOKUP(F235,tblEmployee[Employee_ID],tblEmployee[Gender],"Not Found")</f>
        <v>Female</v>
      </c>
      <c r="Y235">
        <f>_xlfn.XLOOKUP(F235,tblEmployee[Employee_ID],tblEmployee[Joining_Date],"")</f>
        <v>43723</v>
      </c>
      <c r="Z235">
        <f>_xlfn.XLOOKUP(H235,tblDepartment[Department],tblDepartment[Annual_Budget_INR],"")</f>
        <v>85000000</v>
      </c>
      <c r="AA235" t="str">
        <f>_xlfn.XLOOKUP(H235,tblDepartment[Department],tblDepartment[Monthly_Target],"")</f>
        <v>99.5% System Uptime</v>
      </c>
      <c r="AB235">
        <f>_xlfn.XLOOKUP(H235,tblDepartment[Department],tblDepartment[Average_Salary_INR],"")</f>
        <v>720000</v>
      </c>
      <c r="AC235" t="str">
        <f>_xlfn.XLOOKUP(H235,tblDepartment[Department],tblDepartment[Priority_Level],"")</f>
        <v>High</v>
      </c>
      <c r="AD235" t="str">
        <f>_xlfn.XLOOKUP(H235,tblDepartment[Department],tblDepartment[Key_KPI],"")</f>
        <v>Project Delivery</v>
      </c>
      <c r="AE235">
        <f>_xlfn.XLOOKUP(tblMaster[[#This Row],[Shift]],tblShift[Shift_Name],tblShift[Login_Time],"")</f>
        <v>0.25</v>
      </c>
      <c r="AF235">
        <f>_xlfn.XLOOKUP(tblMaster[[#This Row],[Shift]],tblShift[Shift_Name],tblShift[Logout_Time]," ")</f>
        <v>0.625</v>
      </c>
      <c r="AG235">
        <f>_xlfn.XLOOKUP(tblMaster[[#This Row],[Shift]],tblShift[Shift_Name],tblShift[Standard_Working_Hours],"")</f>
        <v>8</v>
      </c>
      <c r="AH235" t="str">
        <f>_xlfn.XLOOKUP(tblMaster[[#This Row],[Attendance_Date]],tblHoliday[Holiday_Date],tblHoliday[Holiday_Name],"Working Day")</f>
        <v>Working Day</v>
      </c>
      <c r="AI235" t="str">
        <f>_xlfn.XLOOKUP(tblMaster[[#This Row],[Attendance_Date]],tblHoliday[Holiday_Date],tblHoliday[Holiday_Type],"Working Day ")</f>
        <v xml:space="preserve">Working Day </v>
      </c>
    </row>
    <row r="236" spans="1:35" hidden="1" x14ac:dyDescent="0.3">
      <c r="A236" t="s">
        <v>420</v>
      </c>
      <c r="B236" s="3">
        <v>45742</v>
      </c>
      <c r="C236" t="s">
        <v>71</v>
      </c>
      <c r="D236" t="s">
        <v>50</v>
      </c>
      <c r="E236" t="s">
        <v>51</v>
      </c>
      <c r="F236" t="s">
        <v>275</v>
      </c>
      <c r="G236" t="s">
        <v>276</v>
      </c>
      <c r="H236" t="s">
        <v>421</v>
      </c>
      <c r="I236" t="s">
        <v>65</v>
      </c>
      <c r="J236" t="s">
        <v>100</v>
      </c>
      <c r="K236" t="s">
        <v>44</v>
      </c>
      <c r="L236" s="2">
        <v>0.375</v>
      </c>
      <c r="M236" s="2">
        <v>0.75</v>
      </c>
      <c r="N236">
        <v>8.5</v>
      </c>
      <c r="O236">
        <v>0.5</v>
      </c>
      <c r="P236" t="s">
        <v>32</v>
      </c>
      <c r="R236">
        <v>3</v>
      </c>
      <c r="S236" t="s">
        <v>33</v>
      </c>
      <c r="T236" t="s">
        <v>68</v>
      </c>
      <c r="U236" t="s">
        <v>55</v>
      </c>
      <c r="W236">
        <f>_xlfn.XLOOKUP(F236,tblEmployee[Employee_ID],tblEmployee[Age],"Not Found")</f>
        <v>29</v>
      </c>
      <c r="X236" t="str">
        <f>_xlfn.XLOOKUP(F236,tblEmployee[Employee_ID],tblEmployee[Gender],"Not Found")</f>
        <v>Male</v>
      </c>
      <c r="Y236">
        <f>_xlfn.XLOOKUP(F236,tblEmployee[Employee_ID],tblEmployee[Joining_Date],"")</f>
        <v>43692</v>
      </c>
      <c r="Z236">
        <f>_xlfn.XLOOKUP(H236,tblDepartment[Department],tblDepartment[Annual_Budget_INR],"")</f>
        <v>85000000</v>
      </c>
      <c r="AA236" t="str">
        <f>_xlfn.XLOOKUP(H236,tblDepartment[Department],tblDepartment[Monthly_Target],"")</f>
        <v>99.5% System Uptime</v>
      </c>
      <c r="AB236">
        <f>_xlfn.XLOOKUP(H236,tblDepartment[Department],tblDepartment[Average_Salary_INR],"")</f>
        <v>720000</v>
      </c>
      <c r="AC236" t="str">
        <f>_xlfn.XLOOKUP(H236,tblDepartment[Department],tblDepartment[Priority_Level],"")</f>
        <v>High</v>
      </c>
      <c r="AD236" t="str">
        <f>_xlfn.XLOOKUP(H236,tblDepartment[Department],tblDepartment[Key_KPI],"")</f>
        <v>Project Delivery</v>
      </c>
      <c r="AE236">
        <f>_xlfn.XLOOKUP(tblMaster[[#This Row],[Shift]],tblShift[Shift_Name],tblShift[Login_Time],"")</f>
        <v>0.41666666666666669</v>
      </c>
      <c r="AF236">
        <f>_xlfn.XLOOKUP(tblMaster[[#This Row],[Shift]],tblShift[Shift_Name],tblShift[Logout_Time]," ")</f>
        <v>0.79166666666666663</v>
      </c>
      <c r="AG236">
        <f>_xlfn.XLOOKUP(tblMaster[[#This Row],[Shift]],tblShift[Shift_Name],tblShift[Standard_Working_Hours],"")</f>
        <v>8</v>
      </c>
      <c r="AH236" t="str">
        <f>_xlfn.XLOOKUP(tblMaster[[#This Row],[Attendance_Date]],tblHoliday[Holiday_Date],tblHoliday[Holiday_Name],"Working Day")</f>
        <v>Working Day</v>
      </c>
      <c r="AI236" t="str">
        <f>_xlfn.XLOOKUP(tblMaster[[#This Row],[Attendance_Date]],tblHoliday[Holiday_Date],tblHoliday[Holiday_Type],"Working Day ")</f>
        <v xml:space="preserve">Working Day </v>
      </c>
    </row>
    <row r="237" spans="1:35" x14ac:dyDescent="0.3">
      <c r="A237" t="s">
        <v>422</v>
      </c>
      <c r="B237" s="1">
        <v>45666</v>
      </c>
      <c r="C237" t="s">
        <v>49</v>
      </c>
      <c r="D237" t="s">
        <v>50</v>
      </c>
      <c r="E237" t="s">
        <v>25</v>
      </c>
      <c r="F237" t="s">
        <v>127</v>
      </c>
      <c r="G237" t="s">
        <v>128</v>
      </c>
      <c r="H237" t="s">
        <v>90</v>
      </c>
      <c r="I237" t="s">
        <v>91</v>
      </c>
      <c r="J237" t="s">
        <v>66</v>
      </c>
      <c r="K237" t="s">
        <v>44</v>
      </c>
      <c r="L237" s="2">
        <v>0.375</v>
      </c>
      <c r="M237" s="2">
        <v>0.75</v>
      </c>
      <c r="N237">
        <v>8</v>
      </c>
      <c r="O237">
        <v>0</v>
      </c>
      <c r="P237" t="s">
        <v>32</v>
      </c>
      <c r="S237" t="s">
        <v>67</v>
      </c>
      <c r="T237" t="s">
        <v>93</v>
      </c>
      <c r="U237" t="str">
        <f>_xlfn.XLOOKUP(tblMaster[[#This Row],[Employee_ID]],tblEmployee[Employee_ID],tblEmployee[Work_Mode]," ")</f>
        <v>Hybrid</v>
      </c>
      <c r="W237">
        <f>_xlfn.XLOOKUP(F237,tblEmployee[Employee_ID],tblEmployee[Age],"Not Found")</f>
        <v>38</v>
      </c>
      <c r="X237" t="str">
        <f>_xlfn.XLOOKUP(F237,tblEmployee[Employee_ID],tblEmployee[Gender],"Not Found")</f>
        <v>Female</v>
      </c>
      <c r="Y237">
        <f>_xlfn.XLOOKUP(F237,tblEmployee[Employee_ID],tblEmployee[Joining_Date],"")</f>
        <v>43966</v>
      </c>
      <c r="Z237">
        <f>_xlfn.XLOOKUP(H237,tblDepartment[Department],tblDepartment[Annual_Budget_INR],"")</f>
        <v>18000000</v>
      </c>
      <c r="AA237" t="str">
        <f>_xlfn.XLOOKUP(H237,tblDepartment[Department],tblDepartment[Monthly_Target],"")</f>
        <v>&lt;30 Days Hiring Cycle</v>
      </c>
      <c r="AB237">
        <f>_xlfn.XLOOKUP(H237,tblDepartment[Department],tblDepartment[Average_Salary_INR],"")</f>
        <v>560000</v>
      </c>
      <c r="AC237" t="str">
        <f>_xlfn.XLOOKUP(H237,tblDepartment[Department],tblDepartment[Priority_Level],"")</f>
        <v>Medium</v>
      </c>
      <c r="AD237" t="str">
        <f>_xlfn.XLOOKUP(H237,tblDepartment[Department],tblDepartment[Key_KPI],"")</f>
        <v>Hiring &amp; Retention</v>
      </c>
      <c r="AE237">
        <f>_xlfn.XLOOKUP(tblMaster[[#This Row],[Shift]],tblShift[Shift_Name],tblShift[Login_Time],"")</f>
        <v>0.41666666666666669</v>
      </c>
      <c r="AF237">
        <f>_xlfn.XLOOKUP(tblMaster[[#This Row],[Shift]],tblShift[Shift_Name],tblShift[Logout_Time]," ")</f>
        <v>0.79166666666666663</v>
      </c>
      <c r="AG237">
        <f>_xlfn.XLOOKUP(tblMaster[[#This Row],[Shift]],tblShift[Shift_Name],tblShift[Standard_Working_Hours],"")</f>
        <v>8</v>
      </c>
      <c r="AH237" t="str">
        <f>_xlfn.XLOOKUP(tblMaster[[#This Row],[Attendance_Date]],tblHoliday[Holiday_Date],tblHoliday[Holiday_Name],"Working Day")</f>
        <v>Working Day</v>
      </c>
      <c r="AI237" t="str">
        <f>_xlfn.XLOOKUP(tblMaster[[#This Row],[Attendance_Date]],tblHoliday[Holiday_Date],tblHoliday[Holiday_Type],"Working Day ")</f>
        <v xml:space="preserve">Working Day </v>
      </c>
    </row>
    <row r="238" spans="1:35" x14ac:dyDescent="0.3">
      <c r="A238" t="s">
        <v>423</v>
      </c>
      <c r="B238" s="1">
        <v>45658</v>
      </c>
      <c r="C238" t="s">
        <v>49</v>
      </c>
      <c r="D238" t="s">
        <v>50</v>
      </c>
      <c r="E238" t="s">
        <v>51</v>
      </c>
      <c r="F238" t="s">
        <v>166</v>
      </c>
      <c r="G238" t="s">
        <v>167</v>
      </c>
      <c r="H238" t="s">
        <v>41</v>
      </c>
      <c r="I238" t="s">
        <v>42</v>
      </c>
      <c r="J238" t="s">
        <v>100</v>
      </c>
      <c r="K238" t="s">
        <v>81</v>
      </c>
      <c r="L238" s="2">
        <v>0.91666666666666663</v>
      </c>
      <c r="M238" s="2">
        <v>0.29166666666666669</v>
      </c>
      <c r="N238">
        <v>9</v>
      </c>
      <c r="O238">
        <v>1</v>
      </c>
      <c r="P238" t="s">
        <v>32</v>
      </c>
      <c r="R238">
        <v>4</v>
      </c>
      <c r="S238" t="s">
        <v>45</v>
      </c>
      <c r="T238" t="s">
        <v>46</v>
      </c>
      <c r="U238" t="str">
        <f>_xlfn.XLOOKUP(tblMaster[[#This Row],[Employee_ID]],tblEmployee[Employee_ID],tblEmployee[Work_Mode]," ")</f>
        <v>Office</v>
      </c>
      <c r="W238">
        <f>_xlfn.XLOOKUP(F238,tblEmployee[Employee_ID],tblEmployee[Age],"Not Found")</f>
        <v>37</v>
      </c>
      <c r="X238" t="str">
        <f>_xlfn.XLOOKUP(F238,tblEmployee[Employee_ID],tblEmployee[Gender],"Not Found")</f>
        <v>Male</v>
      </c>
      <c r="Y238">
        <f>_xlfn.XLOOKUP(F238,tblEmployee[Employee_ID],tblEmployee[Joining_Date],"")</f>
        <v>45214</v>
      </c>
      <c r="Z238">
        <f>_xlfn.XLOOKUP(H238,tblDepartment[Department],tblDepartment[Annual_Budget_INR],"")</f>
        <v>34000000</v>
      </c>
      <c r="AA238" t="str">
        <f>_xlfn.XLOOKUP(H238,tblDepartment[Department],tblDepartment[Monthly_Target],"")</f>
        <v>95% Process Efficiency</v>
      </c>
      <c r="AB238">
        <f>_xlfn.XLOOKUP(H238,tblDepartment[Department],tblDepartment[Average_Salary_INR],"")</f>
        <v>610000</v>
      </c>
      <c r="AC238" t="str">
        <f>_xlfn.XLOOKUP(H238,tblDepartment[Department],tblDepartment[Priority_Level],"")</f>
        <v>High</v>
      </c>
      <c r="AD238" t="str">
        <f>_xlfn.XLOOKUP(H238,tblDepartment[Department],tblDepartment[Key_KPI],"")</f>
        <v>Operational Efficiency</v>
      </c>
      <c r="AE238">
        <f>_xlfn.XLOOKUP(tblMaster[[#This Row],[Shift]],tblShift[Shift_Name],tblShift[Login_Time],"")</f>
        <v>0.91666666666666663</v>
      </c>
      <c r="AF238">
        <f>_xlfn.XLOOKUP(tblMaster[[#This Row],[Shift]],tblShift[Shift_Name],tblShift[Logout_Time]," ")</f>
        <v>0.29166666666666669</v>
      </c>
      <c r="AG238">
        <f>_xlfn.XLOOKUP(tblMaster[[#This Row],[Shift]],tblShift[Shift_Name],tblShift[Standard_Working_Hours],"")</f>
        <v>8</v>
      </c>
      <c r="AH238" t="str">
        <f>_xlfn.XLOOKUP(tblMaster[[#This Row],[Attendance_Date]],tblHoliday[Holiday_Date],tblHoliday[Holiday_Name],"Working Day")</f>
        <v>New Year's Day</v>
      </c>
      <c r="AI238" t="str">
        <f>_xlfn.XLOOKUP(tblMaster[[#This Row],[Attendance_Date]],tblHoliday[Holiday_Date],tblHoliday[Holiday_Type],"Working Day ")</f>
        <v>National</v>
      </c>
    </row>
    <row r="239" spans="1:35" hidden="1" x14ac:dyDescent="0.3">
      <c r="A239" t="s">
        <v>424</v>
      </c>
      <c r="B239" s="3">
        <v>45733</v>
      </c>
      <c r="C239" t="s">
        <v>71</v>
      </c>
      <c r="D239" t="s">
        <v>50</v>
      </c>
      <c r="E239" t="s">
        <v>109</v>
      </c>
      <c r="F239" t="s">
        <v>354</v>
      </c>
      <c r="G239" t="s">
        <v>355</v>
      </c>
      <c r="H239" t="s">
        <v>28</v>
      </c>
      <c r="I239" t="s">
        <v>29</v>
      </c>
      <c r="J239" t="s">
        <v>100</v>
      </c>
      <c r="K239" t="s">
        <v>31</v>
      </c>
      <c r="L239" s="2">
        <v>0.375</v>
      </c>
      <c r="M239" s="2">
        <v>0.75</v>
      </c>
      <c r="N239">
        <v>8</v>
      </c>
      <c r="O239">
        <v>0</v>
      </c>
      <c r="P239" t="s">
        <v>32</v>
      </c>
      <c r="R239">
        <v>3</v>
      </c>
      <c r="S239" t="s">
        <v>33</v>
      </c>
      <c r="T239" t="s">
        <v>34</v>
      </c>
      <c r="U239" t="s">
        <v>55</v>
      </c>
      <c r="V239" t="s">
        <v>69</v>
      </c>
      <c r="W239">
        <f>_xlfn.XLOOKUP(F239,tblEmployee[Employee_ID],tblEmployee[Age],"Not Found")</f>
        <v>32</v>
      </c>
      <c r="X239" t="str">
        <f>_xlfn.XLOOKUP(F239,tblEmployee[Employee_ID],tblEmployee[Gender],"Not Found")</f>
        <v>Female</v>
      </c>
      <c r="Y239">
        <f>_xlfn.XLOOKUP(F239,tblEmployee[Employee_ID],tblEmployee[Joining_Date],"")</f>
        <v>43235</v>
      </c>
      <c r="Z239">
        <f>_xlfn.XLOOKUP(H239,tblDepartment[Department],tblDepartment[Annual_Budget_INR],"")</f>
        <v>24000000</v>
      </c>
      <c r="AA239" t="str">
        <f>_xlfn.XLOOKUP(H239,tblDepartment[Department],tblDepartment[Monthly_Target],"")</f>
        <v>90% Customer Satisfaction</v>
      </c>
      <c r="AB239">
        <f>_xlfn.XLOOKUP(H239,tblDepartment[Department],tblDepartment[Average_Salary_INR],"")</f>
        <v>520000</v>
      </c>
      <c r="AC239" t="str">
        <f>_xlfn.XLOOKUP(H239,tblDepartment[Department],tblDepartment[Priority_Level],"")</f>
        <v>High</v>
      </c>
      <c r="AD239" t="str">
        <f>_xlfn.XLOOKUP(H239,tblDepartment[Department],tblDepartment[Key_KPI],"")</f>
        <v>Customer Satisfaction</v>
      </c>
      <c r="AE239">
        <f>_xlfn.XLOOKUP(tblMaster[[#This Row],[Shift]],tblShift[Shift_Name],tblShift[Login_Time],"")</f>
        <v>0.25</v>
      </c>
      <c r="AF239">
        <f>_xlfn.XLOOKUP(tblMaster[[#This Row],[Shift]],tblShift[Shift_Name],tblShift[Logout_Time]," ")</f>
        <v>0.625</v>
      </c>
      <c r="AG239">
        <f>_xlfn.XLOOKUP(tblMaster[[#This Row],[Shift]],tblShift[Shift_Name],tblShift[Standard_Working_Hours],"")</f>
        <v>8</v>
      </c>
      <c r="AH239" t="str">
        <f>_xlfn.XLOOKUP(tblMaster[[#This Row],[Attendance_Date]],tblHoliday[Holiday_Date],tblHoliday[Holiday_Name],"Working Day")</f>
        <v>Working Day</v>
      </c>
      <c r="AI239" t="str">
        <f>_xlfn.XLOOKUP(tblMaster[[#This Row],[Attendance_Date]],tblHoliday[Holiday_Date],tblHoliday[Holiday_Type],"Working Day ")</f>
        <v xml:space="preserve">Working Day </v>
      </c>
    </row>
    <row r="240" spans="1:35" hidden="1" x14ac:dyDescent="0.3">
      <c r="A240" t="s">
        <v>425</v>
      </c>
      <c r="B240" s="3">
        <v>45658</v>
      </c>
      <c r="C240" t="s">
        <v>49</v>
      </c>
      <c r="D240" t="s">
        <v>50</v>
      </c>
      <c r="E240" t="s">
        <v>51</v>
      </c>
      <c r="F240" t="s">
        <v>148</v>
      </c>
      <c r="G240" t="s">
        <v>149</v>
      </c>
      <c r="H240" t="s">
        <v>112</v>
      </c>
      <c r="I240" t="s">
        <v>113</v>
      </c>
      <c r="J240" t="s">
        <v>43</v>
      </c>
      <c r="K240" t="s">
        <v>31</v>
      </c>
      <c r="P240" t="s">
        <v>135</v>
      </c>
      <c r="S240" t="s">
        <v>45</v>
      </c>
      <c r="T240" t="s">
        <v>114</v>
      </c>
      <c r="U240" t="s">
        <v>85</v>
      </c>
      <c r="V240" t="s">
        <v>69</v>
      </c>
      <c r="W240">
        <f>_xlfn.XLOOKUP(F240,tblEmployee[Employee_ID],tblEmployee[Age],"Not Found")</f>
        <v>31</v>
      </c>
      <c r="X240" t="str">
        <f>_xlfn.XLOOKUP(F240,tblEmployee[Employee_ID],tblEmployee[Gender],"Not Found")</f>
        <v>Male</v>
      </c>
      <c r="Y240">
        <f>_xlfn.XLOOKUP(F240,tblEmployee[Employee_ID],tblEmployee[Joining_Date],"")</f>
        <v>44484</v>
      </c>
      <c r="Z240">
        <f>_xlfn.XLOOKUP(H240,tblDepartment[Department],tblDepartment[Annual_Budget_INR],"")</f>
        <v>42000000</v>
      </c>
      <c r="AA240" t="str">
        <f>_xlfn.XLOOKUP(H240,tblDepartment[Department],tblDepartment[Monthly_Target],"")</f>
        <v>₹2.5 Cr Monthly Sales</v>
      </c>
      <c r="AB240">
        <f>_xlfn.XLOOKUP(H240,tblDepartment[Department],tblDepartment[Average_Salary_INR],"")</f>
        <v>680000</v>
      </c>
      <c r="AC240" t="str">
        <f>_xlfn.XLOOKUP(H240,tblDepartment[Department],tblDepartment[Priority_Level],"")</f>
        <v>High</v>
      </c>
      <c r="AD240" t="str">
        <f>_xlfn.XLOOKUP(H240,tblDepartment[Department],tblDepartment[Key_KPI],"")</f>
        <v>Revenue Achievement</v>
      </c>
      <c r="AE240">
        <f>_xlfn.XLOOKUP(tblMaster[[#This Row],[Shift]],tblShift[Shift_Name],tblShift[Login_Time],"")</f>
        <v>0.25</v>
      </c>
      <c r="AF240">
        <f>_xlfn.XLOOKUP(tblMaster[[#This Row],[Shift]],tblShift[Shift_Name],tblShift[Logout_Time]," ")</f>
        <v>0.625</v>
      </c>
      <c r="AG240">
        <f>_xlfn.XLOOKUP(tblMaster[[#This Row],[Shift]],tblShift[Shift_Name],tblShift[Standard_Working_Hours],"")</f>
        <v>8</v>
      </c>
      <c r="AH240" t="str">
        <f>_xlfn.XLOOKUP(tblMaster[[#This Row],[Attendance_Date]],tblHoliday[Holiday_Date],tblHoliday[Holiday_Name],"Working Day")</f>
        <v>New Year's Day</v>
      </c>
      <c r="AI240" t="str">
        <f>_xlfn.XLOOKUP(tblMaster[[#This Row],[Attendance_Date]],tblHoliday[Holiday_Date],tblHoliday[Holiday_Type],"Working Day ")</f>
        <v>National</v>
      </c>
    </row>
    <row r="241" spans="1:35" hidden="1" x14ac:dyDescent="0.3">
      <c r="A241" t="s">
        <v>426</v>
      </c>
      <c r="B241" s="3">
        <v>45703</v>
      </c>
      <c r="C241" t="s">
        <v>95</v>
      </c>
      <c r="D241" t="s">
        <v>50</v>
      </c>
      <c r="E241" t="s">
        <v>38</v>
      </c>
      <c r="F241" t="s">
        <v>228</v>
      </c>
      <c r="G241" t="s">
        <v>229</v>
      </c>
      <c r="H241" t="s">
        <v>79</v>
      </c>
      <c r="I241" t="s">
        <v>80</v>
      </c>
      <c r="J241" t="s">
        <v>43</v>
      </c>
      <c r="K241" t="s">
        <v>81</v>
      </c>
      <c r="L241" s="2">
        <v>0.91666666666666663</v>
      </c>
      <c r="M241" s="2">
        <v>0.29166666666666669</v>
      </c>
      <c r="N241">
        <v>9.5</v>
      </c>
      <c r="O241">
        <v>1.5</v>
      </c>
      <c r="P241" t="s">
        <v>32</v>
      </c>
      <c r="R241">
        <v>4</v>
      </c>
      <c r="S241" t="s">
        <v>45</v>
      </c>
      <c r="T241" t="s">
        <v>84</v>
      </c>
      <c r="U241" t="s">
        <v>55</v>
      </c>
      <c r="W241">
        <f>_xlfn.XLOOKUP(F241,tblEmployee[Employee_ID],tblEmployee[Age],"Not Found")</f>
        <v>29</v>
      </c>
      <c r="X241" t="str">
        <f>_xlfn.XLOOKUP(F241,tblEmployee[Employee_ID],tblEmployee[Gender],"Not Found")</f>
        <v>Female</v>
      </c>
      <c r="Y241">
        <f>_xlfn.XLOOKUP(F241,tblEmployee[Employee_ID],tblEmployee[Joining_Date],"")</f>
        <v>44607</v>
      </c>
      <c r="Z241">
        <f>_xlfn.XLOOKUP(H241,tblDepartment[Department],tblDepartment[Annual_Budget_INR],"")</f>
        <v>26000000</v>
      </c>
      <c r="AA241" t="str">
        <f>_xlfn.XLOOKUP(H241,tblDepartment[Department],tblDepartment[Monthly_Target],"")</f>
        <v>100% Payroll Accuracy</v>
      </c>
      <c r="AB241">
        <f>_xlfn.XLOOKUP(H241,tblDepartment[Department],tblDepartment[Average_Salary_INR],"")</f>
        <v>640000</v>
      </c>
      <c r="AC241" t="str">
        <f>_xlfn.XLOOKUP(H241,tblDepartment[Department],tblDepartment[Priority_Level],"")</f>
        <v>High</v>
      </c>
      <c r="AD241" t="str">
        <f>_xlfn.XLOOKUP(H241,tblDepartment[Department],tblDepartment[Key_KPI],"")</f>
        <v>Financial Compliance</v>
      </c>
      <c r="AE241">
        <f>_xlfn.XLOOKUP(tblMaster[[#This Row],[Shift]],tblShift[Shift_Name],tblShift[Login_Time],"")</f>
        <v>0.91666666666666663</v>
      </c>
      <c r="AF241">
        <f>_xlfn.XLOOKUP(tblMaster[[#This Row],[Shift]],tblShift[Shift_Name],tblShift[Logout_Time]," ")</f>
        <v>0.29166666666666669</v>
      </c>
      <c r="AG241">
        <f>_xlfn.XLOOKUP(tblMaster[[#This Row],[Shift]],tblShift[Shift_Name],tblShift[Standard_Working_Hours],"")</f>
        <v>8</v>
      </c>
      <c r="AH241" t="str">
        <f>_xlfn.XLOOKUP(tblMaster[[#This Row],[Attendance_Date]],tblHoliday[Holiday_Date],tblHoliday[Holiday_Name],"Working Day")</f>
        <v>Working Day</v>
      </c>
      <c r="AI241" t="str">
        <f>_xlfn.XLOOKUP(tblMaster[[#This Row],[Attendance_Date]],tblHoliday[Holiday_Date],tblHoliday[Holiday_Type],"Working Day ")</f>
        <v xml:space="preserve">Working Day </v>
      </c>
    </row>
    <row r="242" spans="1:35" hidden="1" x14ac:dyDescent="0.3">
      <c r="A242" t="s">
        <v>427</v>
      </c>
      <c r="B242" s="1">
        <v>45690</v>
      </c>
      <c r="C242" t="s">
        <v>95</v>
      </c>
      <c r="D242" t="s">
        <v>50</v>
      </c>
      <c r="E242" t="s">
        <v>103</v>
      </c>
      <c r="F242" t="s">
        <v>166</v>
      </c>
      <c r="G242" t="s">
        <v>167</v>
      </c>
      <c r="H242" t="s">
        <v>41</v>
      </c>
      <c r="I242" t="s">
        <v>42</v>
      </c>
      <c r="J242" t="s">
        <v>100</v>
      </c>
      <c r="K242" t="s">
        <v>54</v>
      </c>
      <c r="L242" s="2">
        <v>0.375</v>
      </c>
      <c r="M242" s="2">
        <v>0.75</v>
      </c>
      <c r="N242">
        <v>8</v>
      </c>
      <c r="O242">
        <v>0</v>
      </c>
      <c r="P242" t="s">
        <v>32</v>
      </c>
      <c r="R242">
        <v>4</v>
      </c>
      <c r="S242" t="s">
        <v>45</v>
      </c>
      <c r="T242" t="s">
        <v>46</v>
      </c>
      <c r="U242" t="s">
        <v>47</v>
      </c>
      <c r="V242" t="s">
        <v>69</v>
      </c>
      <c r="W242">
        <f>_xlfn.XLOOKUP(F242,tblEmployee[Employee_ID],tblEmployee[Age],"Not Found")</f>
        <v>37</v>
      </c>
      <c r="X242" t="str">
        <f>_xlfn.XLOOKUP(F242,tblEmployee[Employee_ID],tblEmployee[Gender],"Not Found")</f>
        <v>Male</v>
      </c>
      <c r="Y242">
        <f>_xlfn.XLOOKUP(F242,tblEmployee[Employee_ID],tblEmployee[Joining_Date],"")</f>
        <v>45214</v>
      </c>
      <c r="Z242">
        <f>_xlfn.XLOOKUP(H242,tblDepartment[Department],tblDepartment[Annual_Budget_INR],"")</f>
        <v>34000000</v>
      </c>
      <c r="AA242" t="str">
        <f>_xlfn.XLOOKUP(H242,tblDepartment[Department],tblDepartment[Monthly_Target],"")</f>
        <v>95% Process Efficiency</v>
      </c>
      <c r="AB242">
        <f>_xlfn.XLOOKUP(H242,tblDepartment[Department],tblDepartment[Average_Salary_INR],"")</f>
        <v>610000</v>
      </c>
      <c r="AC242" t="str">
        <f>_xlfn.XLOOKUP(H242,tblDepartment[Department],tblDepartment[Priority_Level],"")</f>
        <v>High</v>
      </c>
      <c r="AD242" t="str">
        <f>_xlfn.XLOOKUP(H242,tblDepartment[Department],tblDepartment[Key_KPI],"")</f>
        <v>Operational Efficiency</v>
      </c>
      <c r="AE242">
        <f>_xlfn.XLOOKUP(tblMaster[[#This Row],[Shift]],tblShift[Shift_Name],tblShift[Login_Time],"")</f>
        <v>0.58333333333333337</v>
      </c>
      <c r="AF242">
        <f>_xlfn.XLOOKUP(tblMaster[[#This Row],[Shift]],tblShift[Shift_Name],tblShift[Logout_Time]," ")</f>
        <v>0.95833333333333337</v>
      </c>
      <c r="AG242">
        <f>_xlfn.XLOOKUP(tblMaster[[#This Row],[Shift]],tblShift[Shift_Name],tblShift[Standard_Working_Hours],"")</f>
        <v>8</v>
      </c>
      <c r="AH242" t="str">
        <f>_xlfn.XLOOKUP(tblMaster[[#This Row],[Attendance_Date]],tblHoliday[Holiday_Date],tblHoliday[Holiday_Name],"Working Day")</f>
        <v>Working Day</v>
      </c>
      <c r="AI242" t="str">
        <f>_xlfn.XLOOKUP(tblMaster[[#This Row],[Attendance_Date]],tblHoliday[Holiday_Date],tblHoliday[Holiday_Type],"Working Day ")</f>
        <v xml:space="preserve">Working Day </v>
      </c>
    </row>
    <row r="243" spans="1:35" x14ac:dyDescent="0.3">
      <c r="A243" t="s">
        <v>428</v>
      </c>
      <c r="B243" s="1">
        <v>45687</v>
      </c>
      <c r="C243" t="s">
        <v>49</v>
      </c>
      <c r="D243" t="s">
        <v>50</v>
      </c>
      <c r="E243" t="s">
        <v>25</v>
      </c>
      <c r="F243" t="s">
        <v>185</v>
      </c>
      <c r="G243" t="s">
        <v>186</v>
      </c>
      <c r="H243" t="s">
        <v>79</v>
      </c>
      <c r="I243" t="s">
        <v>80</v>
      </c>
      <c r="J243" t="s">
        <v>66</v>
      </c>
      <c r="K243" t="s">
        <v>75</v>
      </c>
      <c r="P243" t="s">
        <v>135</v>
      </c>
      <c r="S243" t="s">
        <v>67</v>
      </c>
      <c r="T243" t="s">
        <v>84</v>
      </c>
      <c r="U243" t="str">
        <f>_xlfn.XLOOKUP(tblMaster[[#This Row],[Employee_ID]],tblEmployee[Employee_ID],tblEmployee[Work_Mode]," ")</f>
        <v>Remote</v>
      </c>
      <c r="V243" t="s">
        <v>35</v>
      </c>
      <c r="W243">
        <f>_xlfn.XLOOKUP(F243,tblEmployee[Employee_ID],tblEmployee[Age],"Not Found")</f>
        <v>33</v>
      </c>
      <c r="X243" t="str">
        <f>_xlfn.XLOOKUP(F243,tblEmployee[Employee_ID],tblEmployee[Gender],"Not Found")</f>
        <v>Male</v>
      </c>
      <c r="Y243">
        <f>_xlfn.XLOOKUP(F243,tblEmployee[Employee_ID],tblEmployee[Joining_Date],"")</f>
        <v>44910</v>
      </c>
      <c r="Z243">
        <f>_xlfn.XLOOKUP(H243,tblDepartment[Department],tblDepartment[Annual_Budget_INR],"")</f>
        <v>26000000</v>
      </c>
      <c r="AA243" t="str">
        <f>_xlfn.XLOOKUP(H243,tblDepartment[Department],tblDepartment[Monthly_Target],"")</f>
        <v>100% Payroll Accuracy</v>
      </c>
      <c r="AB243">
        <f>_xlfn.XLOOKUP(H243,tblDepartment[Department],tblDepartment[Average_Salary_INR],"")</f>
        <v>640000</v>
      </c>
      <c r="AC243" t="str">
        <f>_xlfn.XLOOKUP(H243,tblDepartment[Department],tblDepartment[Priority_Level],"")</f>
        <v>High</v>
      </c>
      <c r="AD243" t="str">
        <f>_xlfn.XLOOKUP(H243,tblDepartment[Department],tblDepartment[Key_KPI],"")</f>
        <v>Financial Compliance</v>
      </c>
      <c r="AE243">
        <f>_xlfn.XLOOKUP(tblMaster[[#This Row],[Shift]],tblShift[Shift_Name],tblShift[Login_Time],"")</f>
        <v>0.375</v>
      </c>
      <c r="AF243">
        <f>_xlfn.XLOOKUP(tblMaster[[#This Row],[Shift]],tblShift[Shift_Name],tblShift[Logout_Time]," ")</f>
        <v>0.75</v>
      </c>
      <c r="AG243">
        <f>_xlfn.XLOOKUP(tblMaster[[#This Row],[Shift]],tblShift[Shift_Name],tblShift[Standard_Working_Hours],"")</f>
        <v>8</v>
      </c>
      <c r="AH243" t="str">
        <f>_xlfn.XLOOKUP(tblMaster[[#This Row],[Attendance_Date]],tblHoliday[Holiday_Date],tblHoliday[Holiday_Name],"Working Day")</f>
        <v>Working Day</v>
      </c>
      <c r="AI243" t="str">
        <f>_xlfn.XLOOKUP(tblMaster[[#This Row],[Attendance_Date]],tblHoliday[Holiday_Date],tblHoliday[Holiday_Type],"Working Day ")</f>
        <v xml:space="preserve">Working Day </v>
      </c>
    </row>
    <row r="244" spans="1:35" x14ac:dyDescent="0.3">
      <c r="A244" t="s">
        <v>429</v>
      </c>
      <c r="B244" s="1">
        <v>45810</v>
      </c>
      <c r="C244" t="s">
        <v>23</v>
      </c>
      <c r="D244" t="s">
        <v>24</v>
      </c>
      <c r="E244" t="s">
        <v>109</v>
      </c>
      <c r="F244" t="s">
        <v>266</v>
      </c>
      <c r="G244" t="s">
        <v>267</v>
      </c>
      <c r="H244" t="s">
        <v>98</v>
      </c>
      <c r="I244" t="s">
        <v>99</v>
      </c>
      <c r="J244" t="s">
        <v>66</v>
      </c>
      <c r="K244" t="s">
        <v>75</v>
      </c>
      <c r="L244" s="2">
        <v>0.375</v>
      </c>
      <c r="M244" s="2">
        <v>0.75</v>
      </c>
      <c r="N244">
        <v>8</v>
      </c>
      <c r="O244">
        <v>0</v>
      </c>
      <c r="P244" t="s">
        <v>32</v>
      </c>
      <c r="R244">
        <v>5</v>
      </c>
      <c r="S244" t="s">
        <v>92</v>
      </c>
      <c r="T244" t="s">
        <v>101</v>
      </c>
      <c r="U244" t="str">
        <f>_xlfn.XLOOKUP(tblMaster[[#This Row],[Employee_ID]],tblEmployee[Employee_ID],tblEmployee[Work_Mode]," ")</f>
        <v>Office</v>
      </c>
      <c r="V244" t="s">
        <v>69</v>
      </c>
      <c r="W244">
        <f>_xlfn.XLOOKUP(F244,tblEmployee[Employee_ID],tblEmployee[Age],"Not Found")</f>
        <v>28</v>
      </c>
      <c r="X244" t="str">
        <f>_xlfn.XLOOKUP(F244,tblEmployee[Employee_ID],tblEmployee[Gender],"Not Found")</f>
        <v>Female</v>
      </c>
      <c r="Y244">
        <f>_xlfn.XLOOKUP(F244,tblEmployee[Employee_ID],tblEmployee[Joining_Date],"")</f>
        <v>45488</v>
      </c>
      <c r="Z244">
        <f>_xlfn.XLOOKUP(H244,tblDepartment[Department],tblDepartment[Annual_Budget_INR],"")</f>
        <v>22000000</v>
      </c>
      <c r="AA244" t="str">
        <f>_xlfn.XLOOKUP(H244,tblDepartment[Department],tblDepartment[Monthly_Target],"")</f>
        <v>2500 Qualified Leads</v>
      </c>
      <c r="AB244">
        <f>_xlfn.XLOOKUP(H244,tblDepartment[Department],tblDepartment[Average_Salary_INR],"")</f>
        <v>590000</v>
      </c>
      <c r="AC244" t="str">
        <f>_xlfn.XLOOKUP(H244,tblDepartment[Department],tblDepartment[Priority_Level],"")</f>
        <v>Medium</v>
      </c>
      <c r="AD244" t="str">
        <f>_xlfn.XLOOKUP(H244,tblDepartment[Department],tblDepartment[Key_KPI],"")</f>
        <v>Lead Generation</v>
      </c>
      <c r="AE244">
        <f>_xlfn.XLOOKUP(tblMaster[[#This Row],[Shift]],tblShift[Shift_Name],tblShift[Login_Time],"")</f>
        <v>0.375</v>
      </c>
      <c r="AF244">
        <f>_xlfn.XLOOKUP(tblMaster[[#This Row],[Shift]],tblShift[Shift_Name],tblShift[Logout_Time]," ")</f>
        <v>0.75</v>
      </c>
      <c r="AG244">
        <f>_xlfn.XLOOKUP(tblMaster[[#This Row],[Shift]],tblShift[Shift_Name],tblShift[Standard_Working_Hours],"")</f>
        <v>8</v>
      </c>
      <c r="AH244" t="str">
        <f>_xlfn.XLOOKUP(tblMaster[[#This Row],[Attendance_Date]],tblHoliday[Holiday_Date],tblHoliday[Holiday_Name],"Working Day")</f>
        <v>Working Day</v>
      </c>
      <c r="AI244" t="str">
        <f>_xlfn.XLOOKUP(tblMaster[[#This Row],[Attendance_Date]],tblHoliday[Holiday_Date],tblHoliday[Holiday_Type],"Working Day ")</f>
        <v xml:space="preserve">Working Day </v>
      </c>
    </row>
    <row r="245" spans="1:35" hidden="1" x14ac:dyDescent="0.3">
      <c r="A245" t="s">
        <v>430</v>
      </c>
      <c r="B245" s="1">
        <v>45826</v>
      </c>
      <c r="C245" t="s">
        <v>23</v>
      </c>
      <c r="D245" t="s">
        <v>24</v>
      </c>
      <c r="E245" t="s">
        <v>51</v>
      </c>
      <c r="F245" t="s">
        <v>39</v>
      </c>
      <c r="G245" t="s">
        <v>40</v>
      </c>
      <c r="H245" t="s">
        <v>41</v>
      </c>
      <c r="I245" t="s">
        <v>42</v>
      </c>
      <c r="J245" t="s">
        <v>43</v>
      </c>
      <c r="K245" t="s">
        <v>54</v>
      </c>
      <c r="L245" s="2">
        <v>0.375</v>
      </c>
      <c r="M245" s="2">
        <v>0.75</v>
      </c>
      <c r="N245">
        <v>8</v>
      </c>
      <c r="O245">
        <v>0</v>
      </c>
      <c r="P245" t="s">
        <v>32</v>
      </c>
      <c r="S245" t="s">
        <v>92</v>
      </c>
      <c r="T245" t="s">
        <v>46</v>
      </c>
      <c r="U245" t="s">
        <v>47</v>
      </c>
      <c r="V245" t="s">
        <v>35</v>
      </c>
      <c r="W245">
        <f>_xlfn.XLOOKUP(F245,tblEmployee[Employee_ID],tblEmployee[Age],"Not Found")</f>
        <v>26</v>
      </c>
      <c r="X245" t="str">
        <f>_xlfn.XLOOKUP(F245,tblEmployee[Employee_ID],tblEmployee[Gender],"Not Found")</f>
        <v>Male</v>
      </c>
      <c r="Y245">
        <f>_xlfn.XLOOKUP(F245,tblEmployee[Employee_ID],tblEmployee[Joining_Date],"")</f>
        <v>45061</v>
      </c>
      <c r="Z245">
        <f>_xlfn.XLOOKUP(H245,tblDepartment[Department],tblDepartment[Annual_Budget_INR],"")</f>
        <v>34000000</v>
      </c>
      <c r="AA245" t="str">
        <f>_xlfn.XLOOKUP(H245,tblDepartment[Department],tblDepartment[Monthly_Target],"")</f>
        <v>95% Process Efficiency</v>
      </c>
      <c r="AB245">
        <f>_xlfn.XLOOKUP(H245,tblDepartment[Department],tblDepartment[Average_Salary_INR],"")</f>
        <v>610000</v>
      </c>
      <c r="AC245" t="str">
        <f>_xlfn.XLOOKUP(H245,tblDepartment[Department],tblDepartment[Priority_Level],"")</f>
        <v>High</v>
      </c>
      <c r="AD245" t="str">
        <f>_xlfn.XLOOKUP(H245,tblDepartment[Department],tblDepartment[Key_KPI],"")</f>
        <v>Operational Efficiency</v>
      </c>
      <c r="AE245">
        <f>_xlfn.XLOOKUP(tblMaster[[#This Row],[Shift]],tblShift[Shift_Name],tblShift[Login_Time],"")</f>
        <v>0.58333333333333337</v>
      </c>
      <c r="AF245">
        <f>_xlfn.XLOOKUP(tblMaster[[#This Row],[Shift]],tblShift[Shift_Name],tblShift[Logout_Time]," ")</f>
        <v>0.95833333333333337</v>
      </c>
      <c r="AG245">
        <f>_xlfn.XLOOKUP(tblMaster[[#This Row],[Shift]],tblShift[Shift_Name],tblShift[Standard_Working_Hours],"")</f>
        <v>8</v>
      </c>
      <c r="AH245" t="str">
        <f>_xlfn.XLOOKUP(tblMaster[[#This Row],[Attendance_Date]],tblHoliday[Holiday_Date],tblHoliday[Holiday_Name],"Working Day")</f>
        <v>Working Day</v>
      </c>
      <c r="AI245" t="str">
        <f>_xlfn.XLOOKUP(tblMaster[[#This Row],[Attendance_Date]],tblHoliday[Holiday_Date],tblHoliday[Holiday_Type],"Working Day ")</f>
        <v xml:space="preserve">Working Day </v>
      </c>
    </row>
    <row r="246" spans="1:35" x14ac:dyDescent="0.3">
      <c r="A246" t="s">
        <v>431</v>
      </c>
      <c r="B246" s="3">
        <v>45791</v>
      </c>
      <c r="C246" t="s">
        <v>57</v>
      </c>
      <c r="D246" t="s">
        <v>24</v>
      </c>
      <c r="E246" t="s">
        <v>51</v>
      </c>
      <c r="F246" t="s">
        <v>120</v>
      </c>
      <c r="G246" t="s">
        <v>121</v>
      </c>
      <c r="H246" t="s">
        <v>41</v>
      </c>
      <c r="I246" t="s">
        <v>42</v>
      </c>
      <c r="J246" t="s">
        <v>74</v>
      </c>
      <c r="K246" t="s">
        <v>81</v>
      </c>
      <c r="L246" s="2">
        <v>0.91666666666666663</v>
      </c>
      <c r="N246">
        <v>10</v>
      </c>
      <c r="O246">
        <v>2</v>
      </c>
      <c r="P246" t="s">
        <v>32</v>
      </c>
      <c r="S246" t="s">
        <v>92</v>
      </c>
      <c r="T246" t="s">
        <v>46</v>
      </c>
      <c r="U246" t="str">
        <f>_xlfn.XLOOKUP(tblMaster[[#This Row],[Employee_ID]],tblEmployee[Employee_ID],tblEmployee[Work_Mode]," ")</f>
        <v>Office</v>
      </c>
      <c r="V246" t="s">
        <v>35</v>
      </c>
      <c r="W246">
        <f>_xlfn.XLOOKUP(F246,tblEmployee[Employee_ID],tblEmployee[Age],"Not Found")</f>
        <v>34</v>
      </c>
      <c r="X246" t="str">
        <f>_xlfn.XLOOKUP(F246,tblEmployee[Employee_ID],tblEmployee[Gender],"Not Found")</f>
        <v>Female</v>
      </c>
      <c r="Y246">
        <f>_xlfn.XLOOKUP(F246,tblEmployee[Employee_ID],tblEmployee[Joining_Date],"")</f>
        <v>44941</v>
      </c>
      <c r="Z246">
        <f>_xlfn.XLOOKUP(H246,tblDepartment[Department],tblDepartment[Annual_Budget_INR],"")</f>
        <v>34000000</v>
      </c>
      <c r="AA246" t="str">
        <f>_xlfn.XLOOKUP(H246,tblDepartment[Department],tblDepartment[Monthly_Target],"")</f>
        <v>95% Process Efficiency</v>
      </c>
      <c r="AB246">
        <f>_xlfn.XLOOKUP(H246,tblDepartment[Department],tblDepartment[Average_Salary_INR],"")</f>
        <v>610000</v>
      </c>
      <c r="AC246" t="str">
        <f>_xlfn.XLOOKUP(H246,tblDepartment[Department],tblDepartment[Priority_Level],"")</f>
        <v>High</v>
      </c>
      <c r="AD246" t="str">
        <f>_xlfn.XLOOKUP(H246,tblDepartment[Department],tblDepartment[Key_KPI],"")</f>
        <v>Operational Efficiency</v>
      </c>
      <c r="AE246">
        <f>_xlfn.XLOOKUP(tblMaster[[#This Row],[Shift]],tblShift[Shift_Name],tblShift[Login_Time],"")</f>
        <v>0.91666666666666663</v>
      </c>
      <c r="AF246">
        <f>_xlfn.XLOOKUP(tblMaster[[#This Row],[Shift]],tblShift[Shift_Name],tblShift[Logout_Time]," ")</f>
        <v>0.29166666666666669</v>
      </c>
      <c r="AG246">
        <f>_xlfn.XLOOKUP(tblMaster[[#This Row],[Shift]],tblShift[Shift_Name],tblShift[Standard_Working_Hours],"")</f>
        <v>8</v>
      </c>
      <c r="AH246" t="str">
        <f>_xlfn.XLOOKUP(tblMaster[[#This Row],[Attendance_Date]],tblHoliday[Holiday_Date],tblHoliday[Holiday_Name],"Working Day")</f>
        <v>Working Day</v>
      </c>
      <c r="AI246" t="str">
        <f>_xlfn.XLOOKUP(tblMaster[[#This Row],[Attendance_Date]],tblHoliday[Holiday_Date],tblHoliday[Holiday_Type],"Working Day ")</f>
        <v xml:space="preserve">Working Day </v>
      </c>
    </row>
    <row r="247" spans="1:35" hidden="1" x14ac:dyDescent="0.3">
      <c r="A247" t="s">
        <v>432</v>
      </c>
      <c r="B247" s="1">
        <v>45812</v>
      </c>
      <c r="C247" t="s">
        <v>23</v>
      </c>
      <c r="D247" t="s">
        <v>24</v>
      </c>
      <c r="E247" t="s">
        <v>51</v>
      </c>
      <c r="F247" t="s">
        <v>159</v>
      </c>
      <c r="G247" t="s">
        <v>160</v>
      </c>
      <c r="H247" t="s">
        <v>64</v>
      </c>
      <c r="I247" t="s">
        <v>65</v>
      </c>
      <c r="J247" t="s">
        <v>100</v>
      </c>
      <c r="K247" t="s">
        <v>81</v>
      </c>
      <c r="L247" s="2">
        <v>0.91666666666666663</v>
      </c>
      <c r="M247" s="2">
        <v>0.29166666666666669</v>
      </c>
      <c r="N247">
        <v>9.5</v>
      </c>
      <c r="O247">
        <v>1.5</v>
      </c>
      <c r="P247" t="s">
        <v>32</v>
      </c>
      <c r="R247">
        <v>3</v>
      </c>
      <c r="S247" t="s">
        <v>45</v>
      </c>
      <c r="T247" t="s">
        <v>68</v>
      </c>
      <c r="U247" t="s">
        <v>55</v>
      </c>
      <c r="V247" t="s">
        <v>60</v>
      </c>
      <c r="W247">
        <f>_xlfn.XLOOKUP(F247,tblEmployee[Employee_ID],tblEmployee[Age],"Not Found")</f>
        <v>30</v>
      </c>
      <c r="X247" t="str">
        <f>_xlfn.XLOOKUP(F247,tblEmployee[Employee_ID],tblEmployee[Gender],"Not Found")</f>
        <v>Female</v>
      </c>
      <c r="Y247">
        <f>_xlfn.XLOOKUP(F247,tblEmployee[Employee_ID],tblEmployee[Joining_Date],"")</f>
        <v>43723</v>
      </c>
      <c r="Z247">
        <f>_xlfn.XLOOKUP(H247,tblDepartment[Department],tblDepartment[Annual_Budget_INR],"")</f>
        <v>85000000</v>
      </c>
      <c r="AA247" t="str">
        <f>_xlfn.XLOOKUP(H247,tblDepartment[Department],tblDepartment[Monthly_Target],"")</f>
        <v>99.5% System Uptime</v>
      </c>
      <c r="AB247">
        <f>_xlfn.XLOOKUP(H247,tblDepartment[Department],tblDepartment[Average_Salary_INR],"")</f>
        <v>720000</v>
      </c>
      <c r="AC247" t="str">
        <f>_xlfn.XLOOKUP(H247,tblDepartment[Department],tblDepartment[Priority_Level],"")</f>
        <v>High</v>
      </c>
      <c r="AD247" t="str">
        <f>_xlfn.XLOOKUP(H247,tblDepartment[Department],tblDepartment[Key_KPI],"")</f>
        <v>Project Delivery</v>
      </c>
      <c r="AE247">
        <f>_xlfn.XLOOKUP(tblMaster[[#This Row],[Shift]],tblShift[Shift_Name],tblShift[Login_Time],"")</f>
        <v>0.91666666666666663</v>
      </c>
      <c r="AF247">
        <f>_xlfn.XLOOKUP(tblMaster[[#This Row],[Shift]],tblShift[Shift_Name],tblShift[Logout_Time]," ")</f>
        <v>0.29166666666666669</v>
      </c>
      <c r="AG247">
        <f>_xlfn.XLOOKUP(tblMaster[[#This Row],[Shift]],tblShift[Shift_Name],tblShift[Standard_Working_Hours],"")</f>
        <v>8</v>
      </c>
      <c r="AH247" t="str">
        <f>_xlfn.XLOOKUP(tblMaster[[#This Row],[Attendance_Date]],tblHoliday[Holiday_Date],tblHoliday[Holiday_Name],"Working Day")</f>
        <v>Working Day</v>
      </c>
      <c r="AI247" t="str">
        <f>_xlfn.XLOOKUP(tblMaster[[#This Row],[Attendance_Date]],tblHoliday[Holiday_Date],tblHoliday[Holiday_Type],"Working Day ")</f>
        <v xml:space="preserve">Working Day </v>
      </c>
    </row>
    <row r="248" spans="1:35" x14ac:dyDescent="0.3">
      <c r="A248" t="s">
        <v>433</v>
      </c>
      <c r="B248" s="3">
        <v>45800</v>
      </c>
      <c r="C248" t="s">
        <v>57</v>
      </c>
      <c r="D248" t="s">
        <v>24</v>
      </c>
      <c r="E248" t="s">
        <v>119</v>
      </c>
      <c r="F248" t="s">
        <v>170</v>
      </c>
      <c r="G248" t="s">
        <v>171</v>
      </c>
      <c r="H248" t="s">
        <v>64</v>
      </c>
      <c r="I248" t="s">
        <v>65</v>
      </c>
      <c r="J248" t="s">
        <v>43</v>
      </c>
      <c r="K248" t="s">
        <v>31</v>
      </c>
      <c r="L248" s="2">
        <v>0.375</v>
      </c>
      <c r="M248" s="2">
        <v>0.75</v>
      </c>
      <c r="N248">
        <v>8.5</v>
      </c>
      <c r="O248">
        <v>0.5</v>
      </c>
      <c r="P248" t="s">
        <v>32</v>
      </c>
      <c r="R248">
        <v>5</v>
      </c>
      <c r="S248" t="s">
        <v>45</v>
      </c>
      <c r="T248" t="s">
        <v>68</v>
      </c>
      <c r="U248" t="str">
        <f>_xlfn.XLOOKUP(tblMaster[[#This Row],[Employee_ID]],tblEmployee[Employee_ID],tblEmployee[Work_Mode]," ")</f>
        <v>Remote</v>
      </c>
      <c r="V248" t="s">
        <v>69</v>
      </c>
      <c r="W248">
        <f>_xlfn.XLOOKUP(F248,tblEmployee[Employee_ID],tblEmployee[Age],"Not Found")</f>
        <v>36</v>
      </c>
      <c r="X248" t="str">
        <f>_xlfn.XLOOKUP(F248,tblEmployee[Employee_ID],tblEmployee[Gender],"Not Found")</f>
        <v>Female</v>
      </c>
      <c r="Y248">
        <f>_xlfn.XLOOKUP(F248,tblEmployee[Employee_ID],tblEmployee[Joining_Date],"")</f>
        <v>43539</v>
      </c>
      <c r="Z248">
        <f>_xlfn.XLOOKUP(H248,tblDepartment[Department],tblDepartment[Annual_Budget_INR],"")</f>
        <v>85000000</v>
      </c>
      <c r="AA248" t="str">
        <f>_xlfn.XLOOKUP(H248,tblDepartment[Department],tblDepartment[Monthly_Target],"")</f>
        <v>99.5% System Uptime</v>
      </c>
      <c r="AB248">
        <f>_xlfn.XLOOKUP(H248,tblDepartment[Department],tblDepartment[Average_Salary_INR],"")</f>
        <v>720000</v>
      </c>
      <c r="AC248" t="str">
        <f>_xlfn.XLOOKUP(H248,tblDepartment[Department],tblDepartment[Priority_Level],"")</f>
        <v>High</v>
      </c>
      <c r="AD248" t="str">
        <f>_xlfn.XLOOKUP(H248,tblDepartment[Department],tblDepartment[Key_KPI],"")</f>
        <v>Project Delivery</v>
      </c>
      <c r="AE248">
        <f>_xlfn.XLOOKUP(tblMaster[[#This Row],[Shift]],tblShift[Shift_Name],tblShift[Login_Time],"")</f>
        <v>0.25</v>
      </c>
      <c r="AF248">
        <f>_xlfn.XLOOKUP(tblMaster[[#This Row],[Shift]],tblShift[Shift_Name],tblShift[Logout_Time]," ")</f>
        <v>0.625</v>
      </c>
      <c r="AG248">
        <f>_xlfn.XLOOKUP(tblMaster[[#This Row],[Shift]],tblShift[Shift_Name],tblShift[Standard_Working_Hours],"")</f>
        <v>8</v>
      </c>
      <c r="AH248" t="str">
        <f>_xlfn.XLOOKUP(tblMaster[[#This Row],[Attendance_Date]],tblHoliday[Holiday_Date],tblHoliday[Holiday_Name],"Working Day")</f>
        <v>Working Day</v>
      </c>
      <c r="AI248" t="str">
        <f>_xlfn.XLOOKUP(tblMaster[[#This Row],[Attendance_Date]],tblHoliday[Holiday_Date],tblHoliday[Holiday_Type],"Working Day ")</f>
        <v xml:space="preserve">Working Day </v>
      </c>
    </row>
    <row r="249" spans="1:35" x14ac:dyDescent="0.3">
      <c r="A249" t="s">
        <v>434</v>
      </c>
      <c r="B249" s="3">
        <v>45701</v>
      </c>
      <c r="C249" t="s">
        <v>95</v>
      </c>
      <c r="D249" t="s">
        <v>50</v>
      </c>
      <c r="E249" t="s">
        <v>25</v>
      </c>
      <c r="F249" t="s">
        <v>195</v>
      </c>
      <c r="G249" t="s">
        <v>196</v>
      </c>
      <c r="H249" t="s">
        <v>98</v>
      </c>
      <c r="I249" t="s">
        <v>99</v>
      </c>
      <c r="J249" t="s">
        <v>43</v>
      </c>
      <c r="K249" t="s">
        <v>44</v>
      </c>
      <c r="L249" s="2">
        <v>0.375</v>
      </c>
      <c r="M249" s="2">
        <v>0.75</v>
      </c>
      <c r="N249">
        <v>8</v>
      </c>
      <c r="O249">
        <v>0</v>
      </c>
      <c r="P249" t="s">
        <v>32</v>
      </c>
      <c r="R249">
        <v>4</v>
      </c>
      <c r="S249" t="s">
        <v>92</v>
      </c>
      <c r="T249" t="s">
        <v>101</v>
      </c>
      <c r="U249" t="str">
        <f>_xlfn.XLOOKUP(tblMaster[[#This Row],[Employee_ID]],tblEmployee[Employee_ID],tblEmployee[Work_Mode]," ")</f>
        <v>Remote</v>
      </c>
      <c r="V249" t="s">
        <v>69</v>
      </c>
      <c r="W249">
        <f>_xlfn.XLOOKUP(F249,tblEmployee[Employee_ID],tblEmployee[Age],"Not Found")</f>
        <v>24</v>
      </c>
      <c r="X249" t="str">
        <f>_xlfn.XLOOKUP(F249,tblEmployee[Employee_ID],tblEmployee[Gender],"Not Found")</f>
        <v>Male</v>
      </c>
      <c r="Y249">
        <f>_xlfn.XLOOKUP(F249,tblEmployee[Employee_ID],tblEmployee[Joining_Date],"")</f>
        <v>45550</v>
      </c>
      <c r="Z249">
        <f>_xlfn.XLOOKUP(H249,tblDepartment[Department],tblDepartment[Annual_Budget_INR],"")</f>
        <v>22000000</v>
      </c>
      <c r="AA249" t="str">
        <f>_xlfn.XLOOKUP(H249,tblDepartment[Department],tblDepartment[Monthly_Target],"")</f>
        <v>2500 Qualified Leads</v>
      </c>
      <c r="AB249">
        <f>_xlfn.XLOOKUP(H249,tblDepartment[Department],tblDepartment[Average_Salary_INR],"")</f>
        <v>590000</v>
      </c>
      <c r="AC249" t="str">
        <f>_xlfn.XLOOKUP(H249,tblDepartment[Department],tblDepartment[Priority_Level],"")</f>
        <v>Medium</v>
      </c>
      <c r="AD249" t="str">
        <f>_xlfn.XLOOKUP(H249,tblDepartment[Department],tblDepartment[Key_KPI],"")</f>
        <v>Lead Generation</v>
      </c>
      <c r="AE249">
        <f>_xlfn.XLOOKUP(tblMaster[[#This Row],[Shift]],tblShift[Shift_Name],tblShift[Login_Time],"")</f>
        <v>0.41666666666666669</v>
      </c>
      <c r="AF249">
        <f>_xlfn.XLOOKUP(tblMaster[[#This Row],[Shift]],tblShift[Shift_Name],tblShift[Logout_Time]," ")</f>
        <v>0.79166666666666663</v>
      </c>
      <c r="AG249">
        <f>_xlfn.XLOOKUP(tblMaster[[#This Row],[Shift]],tblShift[Shift_Name],tblShift[Standard_Working_Hours],"")</f>
        <v>8</v>
      </c>
      <c r="AH249" t="str">
        <f>_xlfn.XLOOKUP(tblMaster[[#This Row],[Attendance_Date]],tblHoliday[Holiday_Date],tblHoliday[Holiday_Name],"Working Day")</f>
        <v>Working Day</v>
      </c>
      <c r="AI249" t="str">
        <f>_xlfn.XLOOKUP(tblMaster[[#This Row],[Attendance_Date]],tblHoliday[Holiday_Date],tblHoliday[Holiday_Type],"Working Day ")</f>
        <v xml:space="preserve">Working Day </v>
      </c>
    </row>
    <row r="250" spans="1:35" hidden="1" x14ac:dyDescent="0.3">
      <c r="A250" t="s">
        <v>435</v>
      </c>
      <c r="B250" s="3">
        <v>45724</v>
      </c>
      <c r="C250" t="s">
        <v>71</v>
      </c>
      <c r="D250" t="s">
        <v>50</v>
      </c>
      <c r="E250" t="s">
        <v>38</v>
      </c>
      <c r="F250" t="s">
        <v>72</v>
      </c>
      <c r="G250" t="s">
        <v>73</v>
      </c>
      <c r="H250" t="s">
        <v>28</v>
      </c>
      <c r="I250" t="s">
        <v>29</v>
      </c>
      <c r="J250" t="s">
        <v>74</v>
      </c>
      <c r="K250" t="s">
        <v>75</v>
      </c>
      <c r="L250" s="2">
        <v>0.375</v>
      </c>
      <c r="M250" s="2">
        <v>0.75</v>
      </c>
      <c r="N250">
        <v>8</v>
      </c>
      <c r="O250">
        <v>0</v>
      </c>
      <c r="P250" t="s">
        <v>32</v>
      </c>
      <c r="R250">
        <v>4</v>
      </c>
      <c r="S250" t="s">
        <v>67</v>
      </c>
      <c r="T250" t="s">
        <v>34</v>
      </c>
      <c r="U250" t="s">
        <v>55</v>
      </c>
      <c r="V250" t="s">
        <v>69</v>
      </c>
      <c r="W250">
        <f>_xlfn.XLOOKUP(F250,tblEmployee[Employee_ID],tblEmployee[Age],"Not Found")</f>
        <v>28</v>
      </c>
      <c r="X250" t="str">
        <f>_xlfn.XLOOKUP(F250,tblEmployee[Employee_ID],tblEmployee[Gender],"Not Found")</f>
        <v>Female</v>
      </c>
      <c r="Y250">
        <f>_xlfn.XLOOKUP(F250,tblEmployee[Employee_ID],tblEmployee[Joining_Date],"")</f>
        <v>43296</v>
      </c>
      <c r="Z250">
        <f>_xlfn.XLOOKUP(H250,tblDepartment[Department],tblDepartment[Annual_Budget_INR],"")</f>
        <v>24000000</v>
      </c>
      <c r="AA250" t="str">
        <f>_xlfn.XLOOKUP(H250,tblDepartment[Department],tblDepartment[Monthly_Target],"")</f>
        <v>90% Customer Satisfaction</v>
      </c>
      <c r="AB250">
        <f>_xlfn.XLOOKUP(H250,tblDepartment[Department],tblDepartment[Average_Salary_INR],"")</f>
        <v>520000</v>
      </c>
      <c r="AC250" t="str">
        <f>_xlfn.XLOOKUP(H250,tblDepartment[Department],tblDepartment[Priority_Level],"")</f>
        <v>High</v>
      </c>
      <c r="AD250" t="str">
        <f>_xlfn.XLOOKUP(H250,tblDepartment[Department],tblDepartment[Key_KPI],"")</f>
        <v>Customer Satisfaction</v>
      </c>
      <c r="AE250">
        <f>_xlfn.XLOOKUP(tblMaster[[#This Row],[Shift]],tblShift[Shift_Name],tblShift[Login_Time],"")</f>
        <v>0.375</v>
      </c>
      <c r="AF250">
        <f>_xlfn.XLOOKUP(tblMaster[[#This Row],[Shift]],tblShift[Shift_Name],tblShift[Logout_Time]," ")</f>
        <v>0.75</v>
      </c>
      <c r="AG250">
        <f>_xlfn.XLOOKUP(tblMaster[[#This Row],[Shift]],tblShift[Shift_Name],tblShift[Standard_Working_Hours],"")</f>
        <v>8</v>
      </c>
      <c r="AH250" t="str">
        <f>_xlfn.XLOOKUP(tblMaster[[#This Row],[Attendance_Date]],tblHoliday[Holiday_Date],tblHoliday[Holiday_Name],"Working Day")</f>
        <v>Working Day</v>
      </c>
      <c r="AI250" t="str">
        <f>_xlfn.XLOOKUP(tblMaster[[#This Row],[Attendance_Date]],tblHoliday[Holiday_Date],tblHoliday[Holiday_Type],"Working Day ")</f>
        <v xml:space="preserve">Working Day </v>
      </c>
    </row>
    <row r="251" spans="1:35" hidden="1" x14ac:dyDescent="0.3">
      <c r="A251" t="s">
        <v>436</v>
      </c>
      <c r="B251" s="1">
        <v>45728</v>
      </c>
      <c r="C251" t="s">
        <v>71</v>
      </c>
      <c r="D251" t="s">
        <v>50</v>
      </c>
      <c r="E251" t="s">
        <v>51</v>
      </c>
      <c r="F251" t="s">
        <v>201</v>
      </c>
      <c r="G251" t="s">
        <v>202</v>
      </c>
      <c r="H251" t="s">
        <v>112</v>
      </c>
      <c r="I251" t="s">
        <v>113</v>
      </c>
      <c r="J251" t="s">
        <v>66</v>
      </c>
      <c r="K251" t="s">
        <v>81</v>
      </c>
      <c r="L251" s="2">
        <v>0.38194444444444442</v>
      </c>
      <c r="M251" s="2">
        <v>0.29166666666666669</v>
      </c>
      <c r="N251">
        <v>9.5</v>
      </c>
      <c r="O251">
        <v>1.5</v>
      </c>
      <c r="P251" t="s">
        <v>32</v>
      </c>
      <c r="R251">
        <v>3</v>
      </c>
      <c r="S251" t="s">
        <v>45</v>
      </c>
      <c r="T251" t="s">
        <v>114</v>
      </c>
      <c r="U251" t="s">
        <v>55</v>
      </c>
      <c r="V251" t="s">
        <v>35</v>
      </c>
      <c r="W251">
        <f>_xlfn.XLOOKUP(F251,tblEmployee[Employee_ID],tblEmployee[Age],"Not Found")</f>
        <v>35</v>
      </c>
      <c r="X251" t="str">
        <f>_xlfn.XLOOKUP(F251,tblEmployee[Employee_ID],tblEmployee[Gender],"Not Found")</f>
        <v>Male</v>
      </c>
      <c r="Y251">
        <f>_xlfn.XLOOKUP(F251,tblEmployee[Employee_ID],tblEmployee[Joining_Date],"")</f>
        <v>44423</v>
      </c>
      <c r="Z251">
        <f>_xlfn.XLOOKUP(H251,tblDepartment[Department],tblDepartment[Annual_Budget_INR],"")</f>
        <v>42000000</v>
      </c>
      <c r="AA251" t="str">
        <f>_xlfn.XLOOKUP(H251,tblDepartment[Department],tblDepartment[Monthly_Target],"")</f>
        <v>₹2.5 Cr Monthly Sales</v>
      </c>
      <c r="AB251">
        <f>_xlfn.XLOOKUP(H251,tblDepartment[Department],tblDepartment[Average_Salary_INR],"")</f>
        <v>680000</v>
      </c>
      <c r="AC251" t="str">
        <f>_xlfn.XLOOKUP(H251,tblDepartment[Department],tblDepartment[Priority_Level],"")</f>
        <v>High</v>
      </c>
      <c r="AD251" t="str">
        <f>_xlfn.XLOOKUP(H251,tblDepartment[Department],tblDepartment[Key_KPI],"")</f>
        <v>Revenue Achievement</v>
      </c>
      <c r="AE251">
        <f>_xlfn.XLOOKUP(tblMaster[[#This Row],[Shift]],tblShift[Shift_Name],tblShift[Login_Time],"")</f>
        <v>0.91666666666666663</v>
      </c>
      <c r="AF251">
        <f>_xlfn.XLOOKUP(tblMaster[[#This Row],[Shift]],tblShift[Shift_Name],tblShift[Logout_Time]," ")</f>
        <v>0.29166666666666669</v>
      </c>
      <c r="AG251">
        <f>_xlfn.XLOOKUP(tblMaster[[#This Row],[Shift]],tblShift[Shift_Name],tblShift[Standard_Working_Hours],"")</f>
        <v>8</v>
      </c>
      <c r="AH251" t="str">
        <f>_xlfn.XLOOKUP(tblMaster[[#This Row],[Attendance_Date]],tblHoliday[Holiday_Date],tblHoliday[Holiday_Name],"Working Day")</f>
        <v>Working Day</v>
      </c>
      <c r="AI251" t="str">
        <f>_xlfn.XLOOKUP(tblMaster[[#This Row],[Attendance_Date]],tblHoliday[Holiday_Date],tblHoliday[Holiday_Type],"Working Day ")</f>
        <v xml:space="preserve">Working Day </v>
      </c>
    </row>
    <row r="252" spans="1:35" hidden="1" x14ac:dyDescent="0.3">
      <c r="A252" t="s">
        <v>437</v>
      </c>
      <c r="B252" s="3">
        <v>45749</v>
      </c>
      <c r="C252" t="s">
        <v>37</v>
      </c>
      <c r="D252" t="s">
        <v>24</v>
      </c>
      <c r="E252" t="s">
        <v>51</v>
      </c>
      <c r="F252" t="s">
        <v>116</v>
      </c>
      <c r="G252" t="s">
        <v>117</v>
      </c>
      <c r="H252" t="s">
        <v>112</v>
      </c>
      <c r="I252" t="s">
        <v>113</v>
      </c>
      <c r="J252" t="s">
        <v>100</v>
      </c>
      <c r="K252" t="s">
        <v>31</v>
      </c>
      <c r="L252" s="2">
        <v>0.3888888888888889</v>
      </c>
      <c r="M252" s="2">
        <v>0.75</v>
      </c>
      <c r="N252">
        <v>8</v>
      </c>
      <c r="O252">
        <v>0</v>
      </c>
      <c r="P252" t="s">
        <v>32</v>
      </c>
      <c r="R252">
        <v>4</v>
      </c>
      <c r="S252" t="s">
        <v>92</v>
      </c>
      <c r="T252" t="s">
        <v>114</v>
      </c>
      <c r="U252" t="s">
        <v>55</v>
      </c>
      <c r="V252" t="s">
        <v>35</v>
      </c>
      <c r="W252">
        <f>_xlfn.XLOOKUP(F252,tblEmployee[Employee_ID],tblEmployee[Age],"Not Found")</f>
        <v>24</v>
      </c>
      <c r="X252" t="str">
        <f>_xlfn.XLOOKUP(F252,tblEmployee[Employee_ID],tblEmployee[Gender],"Not Found")</f>
        <v>Male</v>
      </c>
      <c r="Y252">
        <f>_xlfn.XLOOKUP(F252,tblEmployee[Employee_ID],tblEmployee[Joining_Date],"")</f>
        <v>44270</v>
      </c>
      <c r="Z252">
        <f>_xlfn.XLOOKUP(H252,tblDepartment[Department],tblDepartment[Annual_Budget_INR],"")</f>
        <v>42000000</v>
      </c>
      <c r="AA252" t="str">
        <f>_xlfn.XLOOKUP(H252,tblDepartment[Department],tblDepartment[Monthly_Target],"")</f>
        <v>₹2.5 Cr Monthly Sales</v>
      </c>
      <c r="AB252">
        <f>_xlfn.XLOOKUP(H252,tblDepartment[Department],tblDepartment[Average_Salary_INR],"")</f>
        <v>680000</v>
      </c>
      <c r="AC252" t="str">
        <f>_xlfn.XLOOKUP(H252,tblDepartment[Department],tblDepartment[Priority_Level],"")</f>
        <v>High</v>
      </c>
      <c r="AD252" t="str">
        <f>_xlfn.XLOOKUP(H252,tblDepartment[Department],tblDepartment[Key_KPI],"")</f>
        <v>Revenue Achievement</v>
      </c>
      <c r="AE252">
        <f>_xlfn.XLOOKUP(tblMaster[[#This Row],[Shift]],tblShift[Shift_Name],tblShift[Login_Time],"")</f>
        <v>0.25</v>
      </c>
      <c r="AF252">
        <f>_xlfn.XLOOKUP(tblMaster[[#This Row],[Shift]],tblShift[Shift_Name],tblShift[Logout_Time]," ")</f>
        <v>0.625</v>
      </c>
      <c r="AG252">
        <f>_xlfn.XLOOKUP(tblMaster[[#This Row],[Shift]],tblShift[Shift_Name],tblShift[Standard_Working_Hours],"")</f>
        <v>8</v>
      </c>
      <c r="AH252" t="str">
        <f>_xlfn.XLOOKUP(tblMaster[[#This Row],[Attendance_Date]],tblHoliday[Holiday_Date],tblHoliday[Holiday_Name],"Working Day")</f>
        <v>Working Day</v>
      </c>
      <c r="AI252" t="str">
        <f>_xlfn.XLOOKUP(tblMaster[[#This Row],[Attendance_Date]],tblHoliday[Holiday_Date],tblHoliday[Holiday_Type],"Working Day ")</f>
        <v xml:space="preserve">Working Day </v>
      </c>
    </row>
    <row r="253" spans="1:35" hidden="1" x14ac:dyDescent="0.3">
      <c r="A253" t="s">
        <v>438</v>
      </c>
      <c r="B253" s="3">
        <v>45732</v>
      </c>
      <c r="C253" t="s">
        <v>71</v>
      </c>
      <c r="D253" t="s">
        <v>50</v>
      </c>
      <c r="E253" t="s">
        <v>103</v>
      </c>
      <c r="F253" t="s">
        <v>166</v>
      </c>
      <c r="G253" t="s">
        <v>167</v>
      </c>
      <c r="H253" t="s">
        <v>41</v>
      </c>
      <c r="I253" t="s">
        <v>42</v>
      </c>
      <c r="J253" t="s">
        <v>100</v>
      </c>
      <c r="K253" t="s">
        <v>44</v>
      </c>
      <c r="L253" s="2">
        <v>0.375</v>
      </c>
      <c r="N253">
        <v>8</v>
      </c>
      <c r="O253">
        <v>0</v>
      </c>
      <c r="P253" t="s">
        <v>32</v>
      </c>
      <c r="R253">
        <v>4</v>
      </c>
      <c r="S253" t="s">
        <v>67</v>
      </c>
      <c r="T253" t="s">
        <v>46</v>
      </c>
      <c r="U253" t="s">
        <v>47</v>
      </c>
      <c r="W253">
        <f>_xlfn.XLOOKUP(F253,tblEmployee[Employee_ID],tblEmployee[Age],"Not Found")</f>
        <v>37</v>
      </c>
      <c r="X253" t="str">
        <f>_xlfn.XLOOKUP(F253,tblEmployee[Employee_ID],tblEmployee[Gender],"Not Found")</f>
        <v>Male</v>
      </c>
      <c r="Y253">
        <f>_xlfn.XLOOKUP(F253,tblEmployee[Employee_ID],tblEmployee[Joining_Date],"")</f>
        <v>45214</v>
      </c>
      <c r="Z253">
        <f>_xlfn.XLOOKUP(H253,tblDepartment[Department],tblDepartment[Annual_Budget_INR],"")</f>
        <v>34000000</v>
      </c>
      <c r="AA253" t="str">
        <f>_xlfn.XLOOKUP(H253,tblDepartment[Department],tblDepartment[Monthly_Target],"")</f>
        <v>95% Process Efficiency</v>
      </c>
      <c r="AB253">
        <f>_xlfn.XLOOKUP(H253,tblDepartment[Department],tblDepartment[Average_Salary_INR],"")</f>
        <v>610000</v>
      </c>
      <c r="AC253" t="str">
        <f>_xlfn.XLOOKUP(H253,tblDepartment[Department],tblDepartment[Priority_Level],"")</f>
        <v>High</v>
      </c>
      <c r="AD253" t="str">
        <f>_xlfn.XLOOKUP(H253,tblDepartment[Department],tblDepartment[Key_KPI],"")</f>
        <v>Operational Efficiency</v>
      </c>
      <c r="AE253">
        <f>_xlfn.XLOOKUP(tblMaster[[#This Row],[Shift]],tblShift[Shift_Name],tblShift[Login_Time],"")</f>
        <v>0.41666666666666669</v>
      </c>
      <c r="AF253">
        <f>_xlfn.XLOOKUP(tblMaster[[#This Row],[Shift]],tblShift[Shift_Name],tblShift[Logout_Time]," ")</f>
        <v>0.79166666666666663</v>
      </c>
      <c r="AG253">
        <f>_xlfn.XLOOKUP(tblMaster[[#This Row],[Shift]],tblShift[Shift_Name],tblShift[Standard_Working_Hours],"")</f>
        <v>8</v>
      </c>
      <c r="AH253" t="str">
        <f>_xlfn.XLOOKUP(tblMaster[[#This Row],[Attendance_Date]],tblHoliday[Holiday_Date],tblHoliday[Holiday_Name],"Working Day")</f>
        <v>Working Day</v>
      </c>
      <c r="AI253" t="str">
        <f>_xlfn.XLOOKUP(tblMaster[[#This Row],[Attendance_Date]],tblHoliday[Holiday_Date],tblHoliday[Holiday_Type],"Working Day ")</f>
        <v xml:space="preserve">Working Day </v>
      </c>
    </row>
    <row r="254" spans="1:35" hidden="1" x14ac:dyDescent="0.3">
      <c r="A254" t="s">
        <v>439</v>
      </c>
      <c r="B254" s="3">
        <v>45690</v>
      </c>
      <c r="C254" t="s">
        <v>95</v>
      </c>
      <c r="D254" t="s">
        <v>50</v>
      </c>
      <c r="E254" t="s">
        <v>103</v>
      </c>
      <c r="F254" t="s">
        <v>247</v>
      </c>
      <c r="G254" t="s">
        <v>248</v>
      </c>
      <c r="H254" t="s">
        <v>64</v>
      </c>
      <c r="I254" t="s">
        <v>65</v>
      </c>
      <c r="J254" t="s">
        <v>66</v>
      </c>
      <c r="K254" t="s">
        <v>54</v>
      </c>
      <c r="M254" s="2">
        <v>0.75</v>
      </c>
      <c r="N254">
        <v>9.5</v>
      </c>
      <c r="O254">
        <v>1.5</v>
      </c>
      <c r="P254" t="s">
        <v>32</v>
      </c>
      <c r="S254" t="s">
        <v>92</v>
      </c>
      <c r="T254" t="s">
        <v>68</v>
      </c>
      <c r="U254" t="s">
        <v>47</v>
      </c>
      <c r="V254" t="s">
        <v>69</v>
      </c>
      <c r="W254">
        <f>_xlfn.XLOOKUP(F254,tblEmployee[Employee_ID],tblEmployee[Age],"Not Found")</f>
        <v>22</v>
      </c>
      <c r="X254" t="str">
        <f>_xlfn.XLOOKUP(F254,tblEmployee[Employee_ID],tblEmployee[Gender],"Not Found")</f>
        <v>Male</v>
      </c>
      <c r="Y254">
        <f>_xlfn.XLOOKUP(F254,tblEmployee[Employee_ID],tblEmployee[Joining_Date],"")</f>
        <v>43480</v>
      </c>
      <c r="Z254">
        <f>_xlfn.XLOOKUP(H254,tblDepartment[Department],tblDepartment[Annual_Budget_INR],"")</f>
        <v>85000000</v>
      </c>
      <c r="AA254" t="str">
        <f>_xlfn.XLOOKUP(H254,tblDepartment[Department],tblDepartment[Monthly_Target],"")</f>
        <v>99.5% System Uptime</v>
      </c>
      <c r="AB254">
        <f>_xlfn.XLOOKUP(H254,tblDepartment[Department],tblDepartment[Average_Salary_INR],"")</f>
        <v>720000</v>
      </c>
      <c r="AC254" t="str">
        <f>_xlfn.XLOOKUP(H254,tblDepartment[Department],tblDepartment[Priority_Level],"")</f>
        <v>High</v>
      </c>
      <c r="AD254" t="str">
        <f>_xlfn.XLOOKUP(H254,tblDepartment[Department],tblDepartment[Key_KPI],"")</f>
        <v>Project Delivery</v>
      </c>
      <c r="AE254">
        <f>_xlfn.XLOOKUP(tblMaster[[#This Row],[Shift]],tblShift[Shift_Name],tblShift[Login_Time],"")</f>
        <v>0.58333333333333337</v>
      </c>
      <c r="AF254">
        <f>_xlfn.XLOOKUP(tblMaster[[#This Row],[Shift]],tblShift[Shift_Name],tblShift[Logout_Time]," ")</f>
        <v>0.95833333333333337</v>
      </c>
      <c r="AG254">
        <f>_xlfn.XLOOKUP(tblMaster[[#This Row],[Shift]],tblShift[Shift_Name],tblShift[Standard_Working_Hours],"")</f>
        <v>8</v>
      </c>
      <c r="AH254" t="str">
        <f>_xlfn.XLOOKUP(tblMaster[[#This Row],[Attendance_Date]],tblHoliday[Holiday_Date],tblHoliday[Holiday_Name],"Working Day")</f>
        <v>Working Day</v>
      </c>
      <c r="AI254" t="str">
        <f>_xlfn.XLOOKUP(tblMaster[[#This Row],[Attendance_Date]],tblHoliday[Holiday_Date],tblHoliday[Holiday_Type],"Working Day ")</f>
        <v xml:space="preserve">Working Day </v>
      </c>
    </row>
    <row r="255" spans="1:35" hidden="1" x14ac:dyDescent="0.3">
      <c r="A255" t="s">
        <v>440</v>
      </c>
      <c r="B255" s="3">
        <v>45732</v>
      </c>
      <c r="C255" t="s">
        <v>71</v>
      </c>
      <c r="D255" t="s">
        <v>50</v>
      </c>
      <c r="E255" t="s">
        <v>103</v>
      </c>
      <c r="F255" t="s">
        <v>58</v>
      </c>
      <c r="G255" t="s">
        <v>59</v>
      </c>
      <c r="H255" t="s">
        <v>41</v>
      </c>
      <c r="I255" t="s">
        <v>42</v>
      </c>
      <c r="J255" t="s">
        <v>30</v>
      </c>
      <c r="K255" t="s">
        <v>31</v>
      </c>
      <c r="L255" s="2">
        <v>0.375</v>
      </c>
      <c r="M255" s="2">
        <v>0.75</v>
      </c>
      <c r="N255">
        <v>8</v>
      </c>
      <c r="O255">
        <v>0</v>
      </c>
      <c r="P255" t="s">
        <v>32</v>
      </c>
      <c r="R255">
        <v>4</v>
      </c>
      <c r="S255" t="s">
        <v>45</v>
      </c>
      <c r="T255" t="s">
        <v>46</v>
      </c>
      <c r="U255" t="s">
        <v>47</v>
      </c>
      <c r="V255" t="s">
        <v>60</v>
      </c>
      <c r="W255">
        <f>_xlfn.XLOOKUP(F255,tblEmployee[Employee_ID],tblEmployee[Age],"Not Found")</f>
        <v>23</v>
      </c>
      <c r="X255" t="str">
        <f>_xlfn.XLOOKUP(F255,tblEmployee[Employee_ID],tblEmployee[Gender],"Not Found")</f>
        <v>Female</v>
      </c>
      <c r="Y255">
        <f>_xlfn.XLOOKUP(F255,tblEmployee[Employee_ID],tblEmployee[Joining_Date],"")</f>
        <v>45153</v>
      </c>
      <c r="Z255">
        <f>_xlfn.XLOOKUP(H255,tblDepartment[Department],tblDepartment[Annual_Budget_INR],"")</f>
        <v>34000000</v>
      </c>
      <c r="AA255" t="str">
        <f>_xlfn.XLOOKUP(H255,tblDepartment[Department],tblDepartment[Monthly_Target],"")</f>
        <v>95% Process Efficiency</v>
      </c>
      <c r="AB255">
        <f>_xlfn.XLOOKUP(H255,tblDepartment[Department],tblDepartment[Average_Salary_INR],"")</f>
        <v>610000</v>
      </c>
      <c r="AC255" t="str">
        <f>_xlfn.XLOOKUP(H255,tblDepartment[Department],tblDepartment[Priority_Level],"")</f>
        <v>High</v>
      </c>
      <c r="AD255" t="str">
        <f>_xlfn.XLOOKUP(H255,tblDepartment[Department],tblDepartment[Key_KPI],"")</f>
        <v>Operational Efficiency</v>
      </c>
      <c r="AE255">
        <f>_xlfn.XLOOKUP(tblMaster[[#This Row],[Shift]],tblShift[Shift_Name],tblShift[Login_Time],"")</f>
        <v>0.25</v>
      </c>
      <c r="AF255">
        <f>_xlfn.XLOOKUP(tblMaster[[#This Row],[Shift]],tblShift[Shift_Name],tblShift[Logout_Time]," ")</f>
        <v>0.625</v>
      </c>
      <c r="AG255">
        <f>_xlfn.XLOOKUP(tblMaster[[#This Row],[Shift]],tblShift[Shift_Name],tblShift[Standard_Working_Hours],"")</f>
        <v>8</v>
      </c>
      <c r="AH255" t="str">
        <f>_xlfn.XLOOKUP(tblMaster[[#This Row],[Attendance_Date]],tblHoliday[Holiday_Date],tblHoliday[Holiday_Name],"Working Day")</f>
        <v>Working Day</v>
      </c>
      <c r="AI255" t="str">
        <f>_xlfn.XLOOKUP(tblMaster[[#This Row],[Attendance_Date]],tblHoliday[Holiday_Date],tblHoliday[Holiday_Type],"Working Day ")</f>
        <v xml:space="preserve">Working Day </v>
      </c>
    </row>
    <row r="256" spans="1:35" hidden="1" x14ac:dyDescent="0.3">
      <c r="A256" t="s">
        <v>441</v>
      </c>
      <c r="B256" s="1">
        <v>45715</v>
      </c>
      <c r="C256" t="s">
        <v>95</v>
      </c>
      <c r="D256" t="s">
        <v>50</v>
      </c>
      <c r="E256" t="s">
        <v>25</v>
      </c>
      <c r="F256" t="s">
        <v>240</v>
      </c>
      <c r="G256" t="s">
        <v>241</v>
      </c>
      <c r="H256" t="s">
        <v>41</v>
      </c>
      <c r="I256" t="s">
        <v>42</v>
      </c>
      <c r="J256" t="s">
        <v>66</v>
      </c>
      <c r="K256" t="s">
        <v>75</v>
      </c>
      <c r="L256" s="2">
        <v>0.375</v>
      </c>
      <c r="M256" s="2">
        <v>0.75</v>
      </c>
      <c r="N256">
        <v>8</v>
      </c>
      <c r="O256">
        <v>0</v>
      </c>
      <c r="P256" t="s">
        <v>32</v>
      </c>
      <c r="R256">
        <v>3</v>
      </c>
      <c r="S256" t="s">
        <v>45</v>
      </c>
      <c r="T256" t="s">
        <v>46</v>
      </c>
      <c r="U256" t="s">
        <v>85</v>
      </c>
      <c r="V256" t="s">
        <v>60</v>
      </c>
      <c r="W256">
        <f>_xlfn.XLOOKUP(F256,tblEmployee[Employee_ID],tblEmployee[Age],"Not Found")</f>
        <v>30</v>
      </c>
      <c r="X256" t="str">
        <f>_xlfn.XLOOKUP(F256,tblEmployee[Employee_ID],tblEmployee[Gender],"Not Found")</f>
        <v>Female</v>
      </c>
      <c r="Y256">
        <f>_xlfn.XLOOKUP(F256,tblEmployee[Employee_ID],tblEmployee[Joining_Date],"")</f>
        <v>45000</v>
      </c>
      <c r="Z256">
        <f>_xlfn.XLOOKUP(H256,tblDepartment[Department],tblDepartment[Annual_Budget_INR],"")</f>
        <v>34000000</v>
      </c>
      <c r="AA256" t="str">
        <f>_xlfn.XLOOKUP(H256,tblDepartment[Department],tblDepartment[Monthly_Target],"")</f>
        <v>95% Process Efficiency</v>
      </c>
      <c r="AB256">
        <f>_xlfn.XLOOKUP(H256,tblDepartment[Department],tblDepartment[Average_Salary_INR],"")</f>
        <v>610000</v>
      </c>
      <c r="AC256" t="str">
        <f>_xlfn.XLOOKUP(H256,tblDepartment[Department],tblDepartment[Priority_Level],"")</f>
        <v>High</v>
      </c>
      <c r="AD256" t="str">
        <f>_xlfn.XLOOKUP(H256,tblDepartment[Department],tblDepartment[Key_KPI],"")</f>
        <v>Operational Efficiency</v>
      </c>
      <c r="AE256">
        <f>_xlfn.XLOOKUP(tblMaster[[#This Row],[Shift]],tblShift[Shift_Name],tblShift[Login_Time],"")</f>
        <v>0.375</v>
      </c>
      <c r="AF256">
        <f>_xlfn.XLOOKUP(tblMaster[[#This Row],[Shift]],tblShift[Shift_Name],tblShift[Logout_Time]," ")</f>
        <v>0.75</v>
      </c>
      <c r="AG256">
        <f>_xlfn.XLOOKUP(tblMaster[[#This Row],[Shift]],tblShift[Shift_Name],tblShift[Standard_Working_Hours],"")</f>
        <v>8</v>
      </c>
      <c r="AH256" t="str">
        <f>_xlfn.XLOOKUP(tblMaster[[#This Row],[Attendance_Date]],tblHoliday[Holiday_Date],tblHoliday[Holiday_Name],"Working Day")</f>
        <v>Working Day</v>
      </c>
      <c r="AI256" t="str">
        <f>_xlfn.XLOOKUP(tblMaster[[#This Row],[Attendance_Date]],tblHoliday[Holiday_Date],tblHoliday[Holiday_Type],"Working Day ")</f>
        <v xml:space="preserve">Working Day </v>
      </c>
    </row>
    <row r="257" spans="1:35" x14ac:dyDescent="0.3">
      <c r="A257" t="s">
        <v>442</v>
      </c>
      <c r="B257" s="3">
        <v>45835</v>
      </c>
      <c r="C257" t="s">
        <v>23</v>
      </c>
      <c r="D257" t="s">
        <v>24</v>
      </c>
      <c r="E257" t="s">
        <v>119</v>
      </c>
      <c r="F257" t="s">
        <v>39</v>
      </c>
      <c r="G257" t="s">
        <v>40</v>
      </c>
      <c r="H257" t="s">
        <v>41</v>
      </c>
      <c r="I257" t="s">
        <v>42</v>
      </c>
      <c r="J257" t="s">
        <v>43</v>
      </c>
      <c r="K257" t="s">
        <v>44</v>
      </c>
      <c r="L257" s="2">
        <v>0.375</v>
      </c>
      <c r="M257" s="2">
        <v>0.75</v>
      </c>
      <c r="N257">
        <v>8</v>
      </c>
      <c r="O257">
        <v>0</v>
      </c>
      <c r="P257" t="s">
        <v>32</v>
      </c>
      <c r="R257">
        <v>4</v>
      </c>
      <c r="S257" t="s">
        <v>67</v>
      </c>
      <c r="T257" t="s">
        <v>46</v>
      </c>
      <c r="U257" t="str">
        <f>_xlfn.XLOOKUP(tblMaster[[#This Row],[Employee_ID]],tblEmployee[Employee_ID],tblEmployee[Work_Mode]," ")</f>
        <v>Hybrid</v>
      </c>
      <c r="V257" t="s">
        <v>60</v>
      </c>
      <c r="W257">
        <f>_xlfn.XLOOKUP(F257,tblEmployee[Employee_ID],tblEmployee[Age],"Not Found")</f>
        <v>26</v>
      </c>
      <c r="X257" t="str">
        <f>_xlfn.XLOOKUP(F257,tblEmployee[Employee_ID],tblEmployee[Gender],"Not Found")</f>
        <v>Male</v>
      </c>
      <c r="Y257">
        <f>_xlfn.XLOOKUP(F257,tblEmployee[Employee_ID],tblEmployee[Joining_Date],"")</f>
        <v>45061</v>
      </c>
      <c r="Z257">
        <f>_xlfn.XLOOKUP(H257,tblDepartment[Department],tblDepartment[Annual_Budget_INR],"")</f>
        <v>34000000</v>
      </c>
      <c r="AA257" t="str">
        <f>_xlfn.XLOOKUP(H257,tblDepartment[Department],tblDepartment[Monthly_Target],"")</f>
        <v>95% Process Efficiency</v>
      </c>
      <c r="AB257">
        <f>_xlfn.XLOOKUP(H257,tblDepartment[Department],tblDepartment[Average_Salary_INR],"")</f>
        <v>610000</v>
      </c>
      <c r="AC257" t="str">
        <f>_xlfn.XLOOKUP(H257,tblDepartment[Department],tblDepartment[Priority_Level],"")</f>
        <v>High</v>
      </c>
      <c r="AD257" t="str">
        <f>_xlfn.XLOOKUP(H257,tblDepartment[Department],tblDepartment[Key_KPI],"")</f>
        <v>Operational Efficiency</v>
      </c>
      <c r="AE257">
        <f>_xlfn.XLOOKUP(tblMaster[[#This Row],[Shift]],tblShift[Shift_Name],tblShift[Login_Time],"")</f>
        <v>0.41666666666666669</v>
      </c>
      <c r="AF257">
        <f>_xlfn.XLOOKUP(tblMaster[[#This Row],[Shift]],tblShift[Shift_Name],tblShift[Logout_Time]," ")</f>
        <v>0.79166666666666663</v>
      </c>
      <c r="AG257">
        <f>_xlfn.XLOOKUP(tblMaster[[#This Row],[Shift]],tblShift[Shift_Name],tblShift[Standard_Working_Hours],"")</f>
        <v>8</v>
      </c>
      <c r="AH257" t="str">
        <f>_xlfn.XLOOKUP(tblMaster[[#This Row],[Attendance_Date]],tblHoliday[Holiday_Date],tblHoliday[Holiday_Name],"Working Day")</f>
        <v>Working Day</v>
      </c>
      <c r="AI257" t="str">
        <f>_xlfn.XLOOKUP(tblMaster[[#This Row],[Attendance_Date]],tblHoliday[Holiday_Date],tblHoliday[Holiday_Type],"Working Day ")</f>
        <v xml:space="preserve">Working Day </v>
      </c>
    </row>
    <row r="258" spans="1:35" hidden="1" x14ac:dyDescent="0.3">
      <c r="A258" t="s">
        <v>443</v>
      </c>
      <c r="B258" s="3">
        <v>45664</v>
      </c>
      <c r="C258" t="s">
        <v>49</v>
      </c>
      <c r="D258" t="s">
        <v>50</v>
      </c>
      <c r="E258" t="s">
        <v>87</v>
      </c>
      <c r="F258" t="s">
        <v>52</v>
      </c>
      <c r="G258" t="s">
        <v>53</v>
      </c>
      <c r="H258" t="s">
        <v>41</v>
      </c>
      <c r="I258" t="s">
        <v>42</v>
      </c>
      <c r="J258" t="s">
        <v>43</v>
      </c>
      <c r="K258" t="s">
        <v>31</v>
      </c>
      <c r="L258" s="2">
        <v>0.375</v>
      </c>
      <c r="M258" s="2">
        <v>0.75</v>
      </c>
      <c r="N258">
        <v>8</v>
      </c>
      <c r="O258">
        <v>0</v>
      </c>
      <c r="P258" t="s">
        <v>32</v>
      </c>
      <c r="S258" t="s">
        <v>33</v>
      </c>
      <c r="T258" t="s">
        <v>46</v>
      </c>
      <c r="U258" t="s">
        <v>85</v>
      </c>
      <c r="W258">
        <f>_xlfn.XLOOKUP(F258,tblEmployee[Employee_ID],tblEmployee[Age],"Not Found")</f>
        <v>27</v>
      </c>
      <c r="X258" t="str">
        <f>_xlfn.XLOOKUP(F258,tblEmployee[Employee_ID],tblEmployee[Gender],"Not Found")</f>
        <v>Male</v>
      </c>
      <c r="Y258">
        <f>_xlfn.XLOOKUP(F258,tblEmployee[Employee_ID],tblEmployee[Joining_Date],"")</f>
        <v>45092</v>
      </c>
      <c r="Z258">
        <f>_xlfn.XLOOKUP(H258,tblDepartment[Department],tblDepartment[Annual_Budget_INR],"")</f>
        <v>34000000</v>
      </c>
      <c r="AA258" t="str">
        <f>_xlfn.XLOOKUP(H258,tblDepartment[Department],tblDepartment[Monthly_Target],"")</f>
        <v>95% Process Efficiency</v>
      </c>
      <c r="AB258">
        <f>_xlfn.XLOOKUP(H258,tblDepartment[Department],tblDepartment[Average_Salary_INR],"")</f>
        <v>610000</v>
      </c>
      <c r="AC258" t="str">
        <f>_xlfn.XLOOKUP(H258,tblDepartment[Department],tblDepartment[Priority_Level],"")</f>
        <v>High</v>
      </c>
      <c r="AD258" t="str">
        <f>_xlfn.XLOOKUP(H258,tblDepartment[Department],tblDepartment[Key_KPI],"")</f>
        <v>Operational Efficiency</v>
      </c>
      <c r="AE258">
        <f>_xlfn.XLOOKUP(tblMaster[[#This Row],[Shift]],tblShift[Shift_Name],tblShift[Login_Time],"")</f>
        <v>0.25</v>
      </c>
      <c r="AF258">
        <f>_xlfn.XLOOKUP(tblMaster[[#This Row],[Shift]],tblShift[Shift_Name],tblShift[Logout_Time]," ")</f>
        <v>0.625</v>
      </c>
      <c r="AG258">
        <f>_xlfn.XLOOKUP(tblMaster[[#This Row],[Shift]],tblShift[Shift_Name],tblShift[Standard_Working_Hours],"")</f>
        <v>8</v>
      </c>
      <c r="AH258" t="str">
        <f>_xlfn.XLOOKUP(tblMaster[[#This Row],[Attendance_Date]],tblHoliday[Holiday_Date],tblHoliday[Holiday_Name],"Working Day")</f>
        <v>Working Day</v>
      </c>
      <c r="AI258" t="str">
        <f>_xlfn.XLOOKUP(tblMaster[[#This Row],[Attendance_Date]],tblHoliday[Holiday_Date],tblHoliday[Holiday_Type],"Working Day ")</f>
        <v xml:space="preserve">Working Day </v>
      </c>
    </row>
    <row r="259" spans="1:35" hidden="1" x14ac:dyDescent="0.3">
      <c r="A259" t="s">
        <v>444</v>
      </c>
      <c r="B259" s="3">
        <v>45719</v>
      </c>
      <c r="C259" t="s">
        <v>71</v>
      </c>
      <c r="D259" t="s">
        <v>50</v>
      </c>
      <c r="E259" t="s">
        <v>109</v>
      </c>
      <c r="F259" t="s">
        <v>266</v>
      </c>
      <c r="G259" t="s">
        <v>267</v>
      </c>
      <c r="H259" t="s">
        <v>98</v>
      </c>
      <c r="I259" t="s">
        <v>99</v>
      </c>
      <c r="J259" t="s">
        <v>66</v>
      </c>
      <c r="K259" t="s">
        <v>44</v>
      </c>
      <c r="L259" s="2">
        <v>0.375</v>
      </c>
      <c r="M259" s="2">
        <v>0.75</v>
      </c>
      <c r="N259">
        <v>8</v>
      </c>
      <c r="O259">
        <v>0</v>
      </c>
      <c r="P259" t="s">
        <v>32</v>
      </c>
      <c r="R259">
        <v>4</v>
      </c>
      <c r="S259" t="s">
        <v>67</v>
      </c>
      <c r="T259" t="s">
        <v>101</v>
      </c>
      <c r="U259" t="s">
        <v>47</v>
      </c>
      <c r="W259">
        <f>_xlfn.XLOOKUP(F259,tblEmployee[Employee_ID],tblEmployee[Age],"Not Found")</f>
        <v>28</v>
      </c>
      <c r="X259" t="str">
        <f>_xlfn.XLOOKUP(F259,tblEmployee[Employee_ID],tblEmployee[Gender],"Not Found")</f>
        <v>Female</v>
      </c>
      <c r="Y259">
        <f>_xlfn.XLOOKUP(F259,tblEmployee[Employee_ID],tblEmployee[Joining_Date],"")</f>
        <v>45488</v>
      </c>
      <c r="Z259">
        <f>_xlfn.XLOOKUP(H259,tblDepartment[Department],tblDepartment[Annual_Budget_INR],"")</f>
        <v>22000000</v>
      </c>
      <c r="AA259" t="str">
        <f>_xlfn.XLOOKUP(H259,tblDepartment[Department],tblDepartment[Monthly_Target],"")</f>
        <v>2500 Qualified Leads</v>
      </c>
      <c r="AB259">
        <f>_xlfn.XLOOKUP(H259,tblDepartment[Department],tblDepartment[Average_Salary_INR],"")</f>
        <v>590000</v>
      </c>
      <c r="AC259" t="str">
        <f>_xlfn.XLOOKUP(H259,tblDepartment[Department],tblDepartment[Priority_Level],"")</f>
        <v>Medium</v>
      </c>
      <c r="AD259" t="str">
        <f>_xlfn.XLOOKUP(H259,tblDepartment[Department],tblDepartment[Key_KPI],"")</f>
        <v>Lead Generation</v>
      </c>
      <c r="AE259">
        <f>_xlfn.XLOOKUP(tblMaster[[#This Row],[Shift]],tblShift[Shift_Name],tblShift[Login_Time],"")</f>
        <v>0.41666666666666669</v>
      </c>
      <c r="AF259">
        <f>_xlfn.XLOOKUP(tblMaster[[#This Row],[Shift]],tblShift[Shift_Name],tblShift[Logout_Time]," ")</f>
        <v>0.79166666666666663</v>
      </c>
      <c r="AG259">
        <f>_xlfn.XLOOKUP(tblMaster[[#This Row],[Shift]],tblShift[Shift_Name],tblShift[Standard_Working_Hours],"")</f>
        <v>8</v>
      </c>
      <c r="AH259" t="str">
        <f>_xlfn.XLOOKUP(tblMaster[[#This Row],[Attendance_Date]],tblHoliday[Holiday_Date],tblHoliday[Holiday_Name],"Working Day")</f>
        <v>Working Day</v>
      </c>
      <c r="AI259" t="str">
        <f>_xlfn.XLOOKUP(tblMaster[[#This Row],[Attendance_Date]],tblHoliday[Holiday_Date],tblHoliday[Holiday_Type],"Working Day ")</f>
        <v xml:space="preserve">Working Day </v>
      </c>
    </row>
    <row r="260" spans="1:35" hidden="1" x14ac:dyDescent="0.3">
      <c r="A260" t="s">
        <v>445</v>
      </c>
      <c r="B260" s="3">
        <v>45751</v>
      </c>
      <c r="C260" t="s">
        <v>37</v>
      </c>
      <c r="D260" t="s">
        <v>24</v>
      </c>
      <c r="E260" t="s">
        <v>119</v>
      </c>
      <c r="F260" t="s">
        <v>182</v>
      </c>
      <c r="G260" t="s">
        <v>183</v>
      </c>
      <c r="H260" t="s">
        <v>112</v>
      </c>
      <c r="I260" t="s">
        <v>113</v>
      </c>
      <c r="J260" t="s">
        <v>30</v>
      </c>
      <c r="K260" t="s">
        <v>31</v>
      </c>
      <c r="L260" s="2">
        <v>0.375</v>
      </c>
      <c r="M260" s="2">
        <v>0.75</v>
      </c>
      <c r="N260">
        <v>8</v>
      </c>
      <c r="O260">
        <v>0</v>
      </c>
      <c r="P260" t="s">
        <v>32</v>
      </c>
      <c r="S260" t="s">
        <v>33</v>
      </c>
      <c r="T260" t="s">
        <v>114</v>
      </c>
      <c r="U260" t="s">
        <v>47</v>
      </c>
      <c r="V260" t="s">
        <v>60</v>
      </c>
      <c r="W260">
        <f>_xlfn.XLOOKUP(F260,tblEmployee[Employee_ID],tblEmployee[Age],"Not Found")</f>
        <v>28</v>
      </c>
      <c r="X260" t="str">
        <f>_xlfn.XLOOKUP(F260,tblEmployee[Employee_ID],tblEmployee[Gender],"Not Found")</f>
        <v>Male</v>
      </c>
      <c r="Y260">
        <f>_xlfn.XLOOKUP(F260,tblEmployee[Employee_ID],tblEmployee[Joining_Date],"")</f>
        <v>44211</v>
      </c>
      <c r="Z260">
        <f>_xlfn.XLOOKUP(H260,tblDepartment[Department],tblDepartment[Annual_Budget_INR],"")</f>
        <v>42000000</v>
      </c>
      <c r="AA260" t="str">
        <f>_xlfn.XLOOKUP(H260,tblDepartment[Department],tblDepartment[Monthly_Target],"")</f>
        <v>₹2.5 Cr Monthly Sales</v>
      </c>
      <c r="AB260">
        <f>_xlfn.XLOOKUP(H260,tblDepartment[Department],tblDepartment[Average_Salary_INR],"")</f>
        <v>680000</v>
      </c>
      <c r="AC260" t="str">
        <f>_xlfn.XLOOKUP(H260,tblDepartment[Department],tblDepartment[Priority_Level],"")</f>
        <v>High</v>
      </c>
      <c r="AD260" t="str">
        <f>_xlfn.XLOOKUP(H260,tblDepartment[Department],tblDepartment[Key_KPI],"")</f>
        <v>Revenue Achievement</v>
      </c>
      <c r="AE260">
        <f>_xlfn.XLOOKUP(tblMaster[[#This Row],[Shift]],tblShift[Shift_Name],tblShift[Login_Time],"")</f>
        <v>0.25</v>
      </c>
      <c r="AF260">
        <f>_xlfn.XLOOKUP(tblMaster[[#This Row],[Shift]],tblShift[Shift_Name],tblShift[Logout_Time]," ")</f>
        <v>0.625</v>
      </c>
      <c r="AG260">
        <f>_xlfn.XLOOKUP(tblMaster[[#This Row],[Shift]],tblShift[Shift_Name],tblShift[Standard_Working_Hours],"")</f>
        <v>8</v>
      </c>
      <c r="AH260" t="str">
        <f>_xlfn.XLOOKUP(tblMaster[[#This Row],[Attendance_Date]],tblHoliday[Holiday_Date],tblHoliday[Holiday_Name],"Working Day")</f>
        <v>Working Day</v>
      </c>
      <c r="AI260" t="str">
        <f>_xlfn.XLOOKUP(tblMaster[[#This Row],[Attendance_Date]],tblHoliday[Holiday_Date],tblHoliday[Holiday_Type],"Working Day ")</f>
        <v xml:space="preserve">Working Day </v>
      </c>
    </row>
    <row r="261" spans="1:35" hidden="1" x14ac:dyDescent="0.3">
      <c r="A261" t="s">
        <v>446</v>
      </c>
      <c r="B261" s="1">
        <v>45758</v>
      </c>
      <c r="C261" t="s">
        <v>37</v>
      </c>
      <c r="D261" t="s">
        <v>24</v>
      </c>
      <c r="E261" t="s">
        <v>119</v>
      </c>
      <c r="F261" t="s">
        <v>104</v>
      </c>
      <c r="G261" t="s">
        <v>105</v>
      </c>
      <c r="H261" t="s">
        <v>28</v>
      </c>
      <c r="I261" t="s">
        <v>29</v>
      </c>
      <c r="J261" t="s">
        <v>30</v>
      </c>
      <c r="K261" t="s">
        <v>31</v>
      </c>
      <c r="L261" s="2">
        <v>0.375</v>
      </c>
      <c r="M261" s="2">
        <v>0.75</v>
      </c>
      <c r="N261">
        <v>8</v>
      </c>
      <c r="O261">
        <v>0</v>
      </c>
      <c r="P261" t="s">
        <v>32</v>
      </c>
      <c r="R261">
        <v>5</v>
      </c>
      <c r="S261" t="s">
        <v>67</v>
      </c>
      <c r="T261" t="s">
        <v>34</v>
      </c>
      <c r="U261" t="s">
        <v>47</v>
      </c>
      <c r="V261" t="s">
        <v>60</v>
      </c>
      <c r="W261">
        <f>_xlfn.XLOOKUP(F261,tblEmployee[Employee_ID],tblEmployee[Age],"Not Found")</f>
        <v>35</v>
      </c>
      <c r="X261" t="str">
        <f>_xlfn.XLOOKUP(F261,tblEmployee[Employee_ID],tblEmployee[Gender],"Not Found")</f>
        <v>Male</v>
      </c>
      <c r="Y261">
        <f>_xlfn.XLOOKUP(F261,tblEmployee[Employee_ID],tblEmployee[Joining_Date],"")</f>
        <v>43146</v>
      </c>
      <c r="Z261">
        <f>_xlfn.XLOOKUP(H261,tblDepartment[Department],tblDepartment[Annual_Budget_INR],"")</f>
        <v>24000000</v>
      </c>
      <c r="AA261" t="str">
        <f>_xlfn.XLOOKUP(H261,tblDepartment[Department],tblDepartment[Monthly_Target],"")</f>
        <v>90% Customer Satisfaction</v>
      </c>
      <c r="AB261">
        <f>_xlfn.XLOOKUP(H261,tblDepartment[Department],tblDepartment[Average_Salary_INR],"")</f>
        <v>520000</v>
      </c>
      <c r="AC261" t="str">
        <f>_xlfn.XLOOKUP(H261,tblDepartment[Department],tblDepartment[Priority_Level],"")</f>
        <v>High</v>
      </c>
      <c r="AD261" t="str">
        <f>_xlfn.XLOOKUP(H261,tblDepartment[Department],tblDepartment[Key_KPI],"")</f>
        <v>Customer Satisfaction</v>
      </c>
      <c r="AE261">
        <f>_xlfn.XLOOKUP(tblMaster[[#This Row],[Shift]],tblShift[Shift_Name],tblShift[Login_Time],"")</f>
        <v>0.25</v>
      </c>
      <c r="AF261">
        <f>_xlfn.XLOOKUP(tblMaster[[#This Row],[Shift]],tblShift[Shift_Name],tblShift[Logout_Time]," ")</f>
        <v>0.625</v>
      </c>
      <c r="AG261">
        <f>_xlfn.XLOOKUP(tblMaster[[#This Row],[Shift]],tblShift[Shift_Name],tblShift[Standard_Working_Hours],"")</f>
        <v>8</v>
      </c>
      <c r="AH261" t="str">
        <f>_xlfn.XLOOKUP(tblMaster[[#This Row],[Attendance_Date]],tblHoliday[Holiday_Date],tblHoliday[Holiday_Name],"Working Day")</f>
        <v>Working Day</v>
      </c>
      <c r="AI261" t="str">
        <f>_xlfn.XLOOKUP(tblMaster[[#This Row],[Attendance_Date]],tblHoliday[Holiday_Date],tblHoliday[Holiday_Type],"Working Day ")</f>
        <v xml:space="preserve">Working Day </v>
      </c>
    </row>
    <row r="262" spans="1:35" hidden="1" x14ac:dyDescent="0.3">
      <c r="A262" t="s">
        <v>447</v>
      </c>
      <c r="B262" s="3">
        <v>45730</v>
      </c>
      <c r="C262" t="s">
        <v>71</v>
      </c>
      <c r="D262" t="s">
        <v>50</v>
      </c>
      <c r="E262" t="s">
        <v>119</v>
      </c>
      <c r="F262" t="s">
        <v>204</v>
      </c>
      <c r="G262" t="s">
        <v>205</v>
      </c>
      <c r="H262" t="s">
        <v>90</v>
      </c>
      <c r="I262" t="s">
        <v>91</v>
      </c>
      <c r="J262" t="s">
        <v>74</v>
      </c>
      <c r="K262" t="s">
        <v>54</v>
      </c>
      <c r="P262" t="s">
        <v>82</v>
      </c>
      <c r="S262" t="s">
        <v>92</v>
      </c>
      <c r="T262" t="s">
        <v>93</v>
      </c>
      <c r="U262" t="s">
        <v>55</v>
      </c>
      <c r="V262" t="s">
        <v>60</v>
      </c>
      <c r="W262">
        <f>_xlfn.XLOOKUP(F262,tblEmployee[Employee_ID],tblEmployee[Age],"Not Found")</f>
        <v>24</v>
      </c>
      <c r="X262" t="str">
        <f>_xlfn.XLOOKUP(F262,tblEmployee[Employee_ID],tblEmployee[Gender],"Not Found")</f>
        <v>Female</v>
      </c>
      <c r="Y262">
        <f>_xlfn.XLOOKUP(F262,tblEmployee[Employee_ID],tblEmployee[Joining_Date],"")</f>
        <v>43905</v>
      </c>
      <c r="Z262">
        <f>_xlfn.XLOOKUP(H262,tblDepartment[Department],tblDepartment[Annual_Budget_INR],"")</f>
        <v>18000000</v>
      </c>
      <c r="AA262" t="str">
        <f>_xlfn.XLOOKUP(H262,tblDepartment[Department],tblDepartment[Monthly_Target],"")</f>
        <v>&lt;30 Days Hiring Cycle</v>
      </c>
      <c r="AB262">
        <f>_xlfn.XLOOKUP(H262,tblDepartment[Department],tblDepartment[Average_Salary_INR],"")</f>
        <v>560000</v>
      </c>
      <c r="AC262" t="str">
        <f>_xlfn.XLOOKUP(H262,tblDepartment[Department],tblDepartment[Priority_Level],"")</f>
        <v>Medium</v>
      </c>
      <c r="AD262" t="str">
        <f>_xlfn.XLOOKUP(H262,tblDepartment[Department],tblDepartment[Key_KPI],"")</f>
        <v>Hiring &amp; Retention</v>
      </c>
      <c r="AE262">
        <f>_xlfn.XLOOKUP(tblMaster[[#This Row],[Shift]],tblShift[Shift_Name],tblShift[Login_Time],"")</f>
        <v>0.58333333333333337</v>
      </c>
      <c r="AF262">
        <f>_xlfn.XLOOKUP(tblMaster[[#This Row],[Shift]],tblShift[Shift_Name],tblShift[Logout_Time]," ")</f>
        <v>0.95833333333333337</v>
      </c>
      <c r="AG262">
        <f>_xlfn.XLOOKUP(tblMaster[[#This Row],[Shift]],tblShift[Shift_Name],tblShift[Standard_Working_Hours],"")</f>
        <v>8</v>
      </c>
      <c r="AH262" t="str">
        <f>_xlfn.XLOOKUP(tblMaster[[#This Row],[Attendance_Date]],tblHoliday[Holiday_Date],tblHoliday[Holiday_Name],"Working Day")</f>
        <v>Working Day</v>
      </c>
      <c r="AI262" t="str">
        <f>_xlfn.XLOOKUP(tblMaster[[#This Row],[Attendance_Date]],tblHoliday[Holiday_Date],tblHoliday[Holiday_Type],"Working Day ")</f>
        <v xml:space="preserve">Working Day </v>
      </c>
    </row>
    <row r="263" spans="1:35" hidden="1" x14ac:dyDescent="0.3">
      <c r="A263" t="s">
        <v>448</v>
      </c>
      <c r="B263" s="3">
        <v>45806</v>
      </c>
      <c r="C263" t="s">
        <v>57</v>
      </c>
      <c r="D263" t="s">
        <v>24</v>
      </c>
      <c r="E263" t="s">
        <v>25</v>
      </c>
      <c r="F263" t="s">
        <v>39</v>
      </c>
      <c r="G263" t="s">
        <v>40</v>
      </c>
      <c r="H263" t="s">
        <v>41</v>
      </c>
      <c r="I263" t="s">
        <v>42</v>
      </c>
      <c r="J263" t="s">
        <v>43</v>
      </c>
      <c r="K263" t="s">
        <v>81</v>
      </c>
      <c r="L263" s="2">
        <v>0.91666666666666663</v>
      </c>
      <c r="M263" s="2">
        <v>0.29166666666666669</v>
      </c>
      <c r="N263">
        <v>9.5</v>
      </c>
      <c r="O263">
        <v>1.5</v>
      </c>
      <c r="P263" t="s">
        <v>32</v>
      </c>
      <c r="R263">
        <v>4</v>
      </c>
      <c r="S263" t="s">
        <v>33</v>
      </c>
      <c r="T263" t="s">
        <v>46</v>
      </c>
      <c r="U263" t="s">
        <v>55</v>
      </c>
      <c r="W263">
        <f>_xlfn.XLOOKUP(F263,tblEmployee[Employee_ID],tblEmployee[Age],"Not Found")</f>
        <v>26</v>
      </c>
      <c r="X263" t="str">
        <f>_xlfn.XLOOKUP(F263,tblEmployee[Employee_ID],tblEmployee[Gender],"Not Found")</f>
        <v>Male</v>
      </c>
      <c r="Y263">
        <f>_xlfn.XLOOKUP(F263,tblEmployee[Employee_ID],tblEmployee[Joining_Date],"")</f>
        <v>45061</v>
      </c>
      <c r="Z263">
        <f>_xlfn.XLOOKUP(H263,tblDepartment[Department],tblDepartment[Annual_Budget_INR],"")</f>
        <v>34000000</v>
      </c>
      <c r="AA263" t="str">
        <f>_xlfn.XLOOKUP(H263,tblDepartment[Department],tblDepartment[Monthly_Target],"")</f>
        <v>95% Process Efficiency</v>
      </c>
      <c r="AB263">
        <f>_xlfn.XLOOKUP(H263,tblDepartment[Department],tblDepartment[Average_Salary_INR],"")</f>
        <v>610000</v>
      </c>
      <c r="AC263" t="str">
        <f>_xlfn.XLOOKUP(H263,tblDepartment[Department],tblDepartment[Priority_Level],"")</f>
        <v>High</v>
      </c>
      <c r="AD263" t="str">
        <f>_xlfn.XLOOKUP(H263,tblDepartment[Department],tblDepartment[Key_KPI],"")</f>
        <v>Operational Efficiency</v>
      </c>
      <c r="AE263">
        <f>_xlfn.XLOOKUP(tblMaster[[#This Row],[Shift]],tblShift[Shift_Name],tblShift[Login_Time],"")</f>
        <v>0.91666666666666663</v>
      </c>
      <c r="AF263">
        <f>_xlfn.XLOOKUP(tblMaster[[#This Row],[Shift]],tblShift[Shift_Name],tblShift[Logout_Time]," ")</f>
        <v>0.29166666666666669</v>
      </c>
      <c r="AG263">
        <f>_xlfn.XLOOKUP(tblMaster[[#This Row],[Shift]],tblShift[Shift_Name],tblShift[Standard_Working_Hours],"")</f>
        <v>8</v>
      </c>
      <c r="AH263" t="str">
        <f>_xlfn.XLOOKUP(tblMaster[[#This Row],[Attendance_Date]],tblHoliday[Holiday_Date],tblHoliday[Holiday_Name],"Working Day")</f>
        <v>Working Day</v>
      </c>
      <c r="AI263" t="str">
        <f>_xlfn.XLOOKUP(tblMaster[[#This Row],[Attendance_Date]],tblHoliday[Holiday_Date],tblHoliday[Holiday_Type],"Working Day ")</f>
        <v xml:space="preserve">Working Day </v>
      </c>
    </row>
    <row r="264" spans="1:35" hidden="1" x14ac:dyDescent="0.3">
      <c r="A264" t="s">
        <v>449</v>
      </c>
      <c r="B264" s="1">
        <v>45827</v>
      </c>
      <c r="C264" t="s">
        <v>23</v>
      </c>
      <c r="D264" t="s">
        <v>24</v>
      </c>
      <c r="E264" t="s">
        <v>25</v>
      </c>
      <c r="F264" t="s">
        <v>77</v>
      </c>
      <c r="G264" t="s">
        <v>78</v>
      </c>
      <c r="H264" t="s">
        <v>79</v>
      </c>
      <c r="I264" t="s">
        <v>80</v>
      </c>
      <c r="J264" t="s">
        <v>30</v>
      </c>
      <c r="K264" t="s">
        <v>75</v>
      </c>
      <c r="L264" s="2">
        <v>0.375</v>
      </c>
      <c r="M264" s="2">
        <v>0.75</v>
      </c>
      <c r="N264">
        <v>8</v>
      </c>
      <c r="O264">
        <v>0</v>
      </c>
      <c r="P264" t="s">
        <v>32</v>
      </c>
      <c r="R264">
        <v>4</v>
      </c>
      <c r="S264" t="s">
        <v>92</v>
      </c>
      <c r="T264" t="s">
        <v>84</v>
      </c>
      <c r="U264" t="s">
        <v>47</v>
      </c>
      <c r="V264" t="s">
        <v>60</v>
      </c>
      <c r="W264">
        <f>_xlfn.XLOOKUP(F264,tblEmployee[Employee_ID],tblEmployee[Age],"Not Found")</f>
        <v>26</v>
      </c>
      <c r="X264" t="str">
        <f>_xlfn.XLOOKUP(F264,tblEmployee[Employee_ID],tblEmployee[Gender],"Not Found")</f>
        <v>Female</v>
      </c>
      <c r="Y264">
        <f>_xlfn.XLOOKUP(F264,tblEmployee[Employee_ID],tblEmployee[Joining_Date],"")</f>
        <v>44696</v>
      </c>
      <c r="Z264">
        <f>_xlfn.XLOOKUP(H264,tblDepartment[Department],tblDepartment[Annual_Budget_INR],"")</f>
        <v>26000000</v>
      </c>
      <c r="AA264" t="str">
        <f>_xlfn.XLOOKUP(H264,tblDepartment[Department],tblDepartment[Monthly_Target],"")</f>
        <v>100% Payroll Accuracy</v>
      </c>
      <c r="AB264">
        <f>_xlfn.XLOOKUP(H264,tblDepartment[Department],tblDepartment[Average_Salary_INR],"")</f>
        <v>640000</v>
      </c>
      <c r="AC264" t="str">
        <f>_xlfn.XLOOKUP(H264,tblDepartment[Department],tblDepartment[Priority_Level],"")</f>
        <v>High</v>
      </c>
      <c r="AD264" t="str">
        <f>_xlfn.XLOOKUP(H264,tblDepartment[Department],tblDepartment[Key_KPI],"")</f>
        <v>Financial Compliance</v>
      </c>
      <c r="AE264">
        <f>_xlfn.XLOOKUP(tblMaster[[#This Row],[Shift]],tblShift[Shift_Name],tblShift[Login_Time],"")</f>
        <v>0.375</v>
      </c>
      <c r="AF264">
        <f>_xlfn.XLOOKUP(tblMaster[[#This Row],[Shift]],tblShift[Shift_Name],tblShift[Logout_Time]," ")</f>
        <v>0.75</v>
      </c>
      <c r="AG264">
        <f>_xlfn.XLOOKUP(tblMaster[[#This Row],[Shift]],tblShift[Shift_Name],tblShift[Standard_Working_Hours],"")</f>
        <v>8</v>
      </c>
      <c r="AH264" t="str">
        <f>_xlfn.XLOOKUP(tblMaster[[#This Row],[Attendance_Date]],tblHoliday[Holiday_Date],tblHoliday[Holiday_Name],"Working Day")</f>
        <v>Working Day</v>
      </c>
      <c r="AI264" t="str">
        <f>_xlfn.XLOOKUP(tblMaster[[#This Row],[Attendance_Date]],tblHoliday[Holiday_Date],tblHoliday[Holiday_Type],"Working Day ")</f>
        <v xml:space="preserve">Working Day </v>
      </c>
    </row>
    <row r="265" spans="1:35" hidden="1" x14ac:dyDescent="0.3">
      <c r="A265" t="s">
        <v>450</v>
      </c>
      <c r="B265" s="3">
        <v>45729</v>
      </c>
      <c r="C265" t="s">
        <v>71</v>
      </c>
      <c r="D265" t="s">
        <v>50</v>
      </c>
      <c r="E265" t="s">
        <v>25</v>
      </c>
      <c r="F265" t="s">
        <v>52</v>
      </c>
      <c r="G265" t="s">
        <v>53</v>
      </c>
      <c r="H265" t="s">
        <v>41</v>
      </c>
      <c r="I265" t="s">
        <v>42</v>
      </c>
      <c r="J265" t="s">
        <v>43</v>
      </c>
      <c r="K265" t="s">
        <v>81</v>
      </c>
      <c r="L265" s="2">
        <v>0.91666666666666663</v>
      </c>
      <c r="M265" s="2">
        <v>0.29166666666666669</v>
      </c>
      <c r="N265">
        <v>8.5</v>
      </c>
      <c r="O265">
        <v>0.5</v>
      </c>
      <c r="P265" t="s">
        <v>32</v>
      </c>
      <c r="R265">
        <v>4</v>
      </c>
      <c r="S265" t="s">
        <v>67</v>
      </c>
      <c r="T265" t="s">
        <v>46</v>
      </c>
      <c r="U265" t="s">
        <v>55</v>
      </c>
      <c r="V265" t="s">
        <v>35</v>
      </c>
      <c r="W265">
        <f>_xlfn.XLOOKUP(F265,tblEmployee[Employee_ID],tblEmployee[Age],"Not Found")</f>
        <v>27</v>
      </c>
      <c r="X265" t="str">
        <f>_xlfn.XLOOKUP(F265,tblEmployee[Employee_ID],tblEmployee[Gender],"Not Found")</f>
        <v>Male</v>
      </c>
      <c r="Y265">
        <f>_xlfn.XLOOKUP(F265,tblEmployee[Employee_ID],tblEmployee[Joining_Date],"")</f>
        <v>45092</v>
      </c>
      <c r="Z265">
        <f>_xlfn.XLOOKUP(H265,tblDepartment[Department],tblDepartment[Annual_Budget_INR],"")</f>
        <v>34000000</v>
      </c>
      <c r="AA265" t="str">
        <f>_xlfn.XLOOKUP(H265,tblDepartment[Department],tblDepartment[Monthly_Target],"")</f>
        <v>95% Process Efficiency</v>
      </c>
      <c r="AB265">
        <f>_xlfn.XLOOKUP(H265,tblDepartment[Department],tblDepartment[Average_Salary_INR],"")</f>
        <v>610000</v>
      </c>
      <c r="AC265" t="str">
        <f>_xlfn.XLOOKUP(H265,tblDepartment[Department],tblDepartment[Priority_Level],"")</f>
        <v>High</v>
      </c>
      <c r="AD265" t="str">
        <f>_xlfn.XLOOKUP(H265,tblDepartment[Department],tblDepartment[Key_KPI],"")</f>
        <v>Operational Efficiency</v>
      </c>
      <c r="AE265">
        <f>_xlfn.XLOOKUP(tblMaster[[#This Row],[Shift]],tblShift[Shift_Name],tblShift[Login_Time],"")</f>
        <v>0.91666666666666663</v>
      </c>
      <c r="AF265">
        <f>_xlfn.XLOOKUP(tblMaster[[#This Row],[Shift]],tblShift[Shift_Name],tblShift[Logout_Time]," ")</f>
        <v>0.29166666666666669</v>
      </c>
      <c r="AG265">
        <f>_xlfn.XLOOKUP(tblMaster[[#This Row],[Shift]],tblShift[Shift_Name],tblShift[Standard_Working_Hours],"")</f>
        <v>8</v>
      </c>
      <c r="AH265" t="str">
        <f>_xlfn.XLOOKUP(tblMaster[[#This Row],[Attendance_Date]],tblHoliday[Holiday_Date],tblHoliday[Holiday_Name],"Working Day")</f>
        <v>Working Day</v>
      </c>
      <c r="AI265" t="str">
        <f>_xlfn.XLOOKUP(tblMaster[[#This Row],[Attendance_Date]],tblHoliday[Holiday_Date],tblHoliday[Holiday_Type],"Working Day ")</f>
        <v xml:space="preserve">Working Day </v>
      </c>
    </row>
    <row r="266" spans="1:35" x14ac:dyDescent="0.3">
      <c r="A266" t="s">
        <v>451</v>
      </c>
      <c r="B266" s="3">
        <v>45696</v>
      </c>
      <c r="C266" t="s">
        <v>95</v>
      </c>
      <c r="D266" t="s">
        <v>50</v>
      </c>
      <c r="E266" t="s">
        <v>38</v>
      </c>
      <c r="F266" t="s">
        <v>281</v>
      </c>
      <c r="G266" t="s">
        <v>282</v>
      </c>
      <c r="H266" t="s">
        <v>90</v>
      </c>
      <c r="I266" t="s">
        <v>91</v>
      </c>
      <c r="J266" t="s">
        <v>30</v>
      </c>
      <c r="K266" t="s">
        <v>44</v>
      </c>
      <c r="L266" s="2">
        <v>0.375</v>
      </c>
      <c r="M266" s="2">
        <v>0.75</v>
      </c>
      <c r="N266">
        <v>8</v>
      </c>
      <c r="O266">
        <v>0</v>
      </c>
      <c r="P266" t="s">
        <v>32</v>
      </c>
      <c r="R266">
        <v>4</v>
      </c>
      <c r="S266" t="s">
        <v>45</v>
      </c>
      <c r="T266" t="s">
        <v>93</v>
      </c>
      <c r="U266" t="str">
        <f>_xlfn.XLOOKUP(tblMaster[[#This Row],[Employee_ID]],tblEmployee[Employee_ID],tblEmployee[Work_Mode]," ")</f>
        <v>Office</v>
      </c>
      <c r="W266">
        <f>_xlfn.XLOOKUP(F266,tblEmployee[Employee_ID],tblEmployee[Age],"Not Found")</f>
        <v>31</v>
      </c>
      <c r="X266" t="str">
        <f>_xlfn.XLOOKUP(F266,tblEmployee[Employee_ID],tblEmployee[Gender],"Not Found")</f>
        <v>Male</v>
      </c>
      <c r="Y266">
        <f>_xlfn.XLOOKUP(F266,tblEmployee[Employee_ID],tblEmployee[Joining_Date],"")</f>
        <v>44119</v>
      </c>
      <c r="Z266">
        <f>_xlfn.XLOOKUP(H266,tblDepartment[Department],tblDepartment[Annual_Budget_INR],"")</f>
        <v>18000000</v>
      </c>
      <c r="AA266" t="str">
        <f>_xlfn.XLOOKUP(H266,tblDepartment[Department],tblDepartment[Monthly_Target],"")</f>
        <v>&lt;30 Days Hiring Cycle</v>
      </c>
      <c r="AB266">
        <f>_xlfn.XLOOKUP(H266,tblDepartment[Department],tblDepartment[Average_Salary_INR],"")</f>
        <v>560000</v>
      </c>
      <c r="AC266" t="str">
        <f>_xlfn.XLOOKUP(H266,tblDepartment[Department],tblDepartment[Priority_Level],"")</f>
        <v>Medium</v>
      </c>
      <c r="AD266" t="str">
        <f>_xlfn.XLOOKUP(H266,tblDepartment[Department],tblDepartment[Key_KPI],"")</f>
        <v>Hiring &amp; Retention</v>
      </c>
      <c r="AE266">
        <f>_xlfn.XLOOKUP(tblMaster[[#This Row],[Shift]],tblShift[Shift_Name],tblShift[Login_Time],"")</f>
        <v>0.41666666666666669</v>
      </c>
      <c r="AF266">
        <f>_xlfn.XLOOKUP(tblMaster[[#This Row],[Shift]],tblShift[Shift_Name],tblShift[Logout_Time]," ")</f>
        <v>0.79166666666666663</v>
      </c>
      <c r="AG266">
        <f>_xlfn.XLOOKUP(tblMaster[[#This Row],[Shift]],tblShift[Shift_Name],tblShift[Standard_Working_Hours],"")</f>
        <v>8</v>
      </c>
      <c r="AH266" t="str">
        <f>_xlfn.XLOOKUP(tblMaster[[#This Row],[Attendance_Date]],tblHoliday[Holiday_Date],tblHoliday[Holiday_Name],"Working Day")</f>
        <v>Working Day</v>
      </c>
      <c r="AI266" t="str">
        <f>_xlfn.XLOOKUP(tblMaster[[#This Row],[Attendance_Date]],tblHoliday[Holiday_Date],tblHoliday[Holiday_Type],"Working Day ")</f>
        <v xml:space="preserve">Working Day </v>
      </c>
    </row>
    <row r="267" spans="1:35" x14ac:dyDescent="0.3">
      <c r="A267" t="s">
        <v>452</v>
      </c>
      <c r="B267" s="3">
        <v>45757</v>
      </c>
      <c r="C267" t="s">
        <v>37</v>
      </c>
      <c r="D267" t="s">
        <v>24</v>
      </c>
      <c r="E267" t="s">
        <v>25</v>
      </c>
      <c r="F267" t="s">
        <v>247</v>
      </c>
      <c r="G267" t="s">
        <v>248</v>
      </c>
      <c r="H267" t="s">
        <v>64</v>
      </c>
      <c r="I267" t="s">
        <v>65</v>
      </c>
      <c r="J267" t="s">
        <v>66</v>
      </c>
      <c r="K267" t="s">
        <v>75</v>
      </c>
      <c r="L267" s="2">
        <v>0.375</v>
      </c>
      <c r="M267" s="2">
        <v>0.75</v>
      </c>
      <c r="N267">
        <v>9</v>
      </c>
      <c r="O267">
        <v>1</v>
      </c>
      <c r="P267" t="s">
        <v>32</v>
      </c>
      <c r="S267" t="s">
        <v>92</v>
      </c>
      <c r="T267" t="s">
        <v>68</v>
      </c>
      <c r="U267" t="str">
        <f>_xlfn.XLOOKUP(tblMaster[[#This Row],[Employee_ID]],tblEmployee[Employee_ID],tblEmployee[Work_Mode]," ")</f>
        <v>Office</v>
      </c>
      <c r="V267" t="s">
        <v>69</v>
      </c>
      <c r="W267">
        <f>_xlfn.XLOOKUP(F267,tblEmployee[Employee_ID],tblEmployee[Age],"Not Found")</f>
        <v>22</v>
      </c>
      <c r="X267" t="str">
        <f>_xlfn.XLOOKUP(F267,tblEmployee[Employee_ID],tblEmployee[Gender],"Not Found")</f>
        <v>Male</v>
      </c>
      <c r="Y267">
        <f>_xlfn.XLOOKUP(F267,tblEmployee[Employee_ID],tblEmployee[Joining_Date],"")</f>
        <v>43480</v>
      </c>
      <c r="Z267">
        <f>_xlfn.XLOOKUP(H267,tblDepartment[Department],tblDepartment[Annual_Budget_INR],"")</f>
        <v>85000000</v>
      </c>
      <c r="AA267" t="str">
        <f>_xlfn.XLOOKUP(H267,tblDepartment[Department],tblDepartment[Monthly_Target],"")</f>
        <v>99.5% System Uptime</v>
      </c>
      <c r="AB267">
        <f>_xlfn.XLOOKUP(H267,tblDepartment[Department],tblDepartment[Average_Salary_INR],"")</f>
        <v>720000</v>
      </c>
      <c r="AC267" t="str">
        <f>_xlfn.XLOOKUP(H267,tblDepartment[Department],tblDepartment[Priority_Level],"")</f>
        <v>High</v>
      </c>
      <c r="AD267" t="str">
        <f>_xlfn.XLOOKUP(H267,tblDepartment[Department],tblDepartment[Key_KPI],"")</f>
        <v>Project Delivery</v>
      </c>
      <c r="AE267">
        <f>_xlfn.XLOOKUP(tblMaster[[#This Row],[Shift]],tblShift[Shift_Name],tblShift[Login_Time],"")</f>
        <v>0.375</v>
      </c>
      <c r="AF267">
        <f>_xlfn.XLOOKUP(tblMaster[[#This Row],[Shift]],tblShift[Shift_Name],tblShift[Logout_Time]," ")</f>
        <v>0.75</v>
      </c>
      <c r="AG267">
        <f>_xlfn.XLOOKUP(tblMaster[[#This Row],[Shift]],tblShift[Shift_Name],tblShift[Standard_Working_Hours],"")</f>
        <v>8</v>
      </c>
      <c r="AH267" t="str">
        <f>_xlfn.XLOOKUP(tblMaster[[#This Row],[Attendance_Date]],tblHoliday[Holiday_Date],tblHoliday[Holiday_Name],"Working Day")</f>
        <v>Working Day</v>
      </c>
      <c r="AI267" t="str">
        <f>_xlfn.XLOOKUP(tblMaster[[#This Row],[Attendance_Date]],tblHoliday[Holiday_Date],tblHoliday[Holiday_Type],"Working Day ")</f>
        <v xml:space="preserve">Working Day </v>
      </c>
    </row>
    <row r="268" spans="1:35" hidden="1" x14ac:dyDescent="0.3">
      <c r="A268" t="s">
        <v>453</v>
      </c>
      <c r="B268" s="3">
        <v>45769</v>
      </c>
      <c r="C268" t="s">
        <v>37</v>
      </c>
      <c r="D268" t="s">
        <v>24</v>
      </c>
      <c r="E268" t="s">
        <v>87</v>
      </c>
      <c r="F268" t="s">
        <v>305</v>
      </c>
      <c r="G268" t="s">
        <v>306</v>
      </c>
      <c r="H268" t="s">
        <v>79</v>
      </c>
      <c r="I268" t="s">
        <v>80</v>
      </c>
      <c r="J268" t="s">
        <v>74</v>
      </c>
      <c r="K268" t="s">
        <v>75</v>
      </c>
      <c r="L268" s="2">
        <v>0.375</v>
      </c>
      <c r="M268" s="2">
        <v>0.75</v>
      </c>
      <c r="N268">
        <v>8</v>
      </c>
      <c r="O268">
        <v>0</v>
      </c>
      <c r="P268" t="s">
        <v>32</v>
      </c>
      <c r="R268">
        <v>4</v>
      </c>
      <c r="S268" t="s">
        <v>33</v>
      </c>
      <c r="T268" t="s">
        <v>84</v>
      </c>
      <c r="U268" t="s">
        <v>55</v>
      </c>
      <c r="V268" t="s">
        <v>60</v>
      </c>
      <c r="W268">
        <f>_xlfn.XLOOKUP(F268,tblEmployee[Employee_ID],tblEmployee[Age],"Not Found")</f>
        <v>36</v>
      </c>
      <c r="X268" t="str">
        <f>_xlfn.XLOOKUP(F268,tblEmployee[Employee_ID],tblEmployee[Gender],"Not Found")</f>
        <v>Female</v>
      </c>
      <c r="Y268">
        <f>_xlfn.XLOOKUP(F268,tblEmployee[Employee_ID],tblEmployee[Joining_Date],"")</f>
        <v>44819</v>
      </c>
      <c r="Z268">
        <f>_xlfn.XLOOKUP(H268,tblDepartment[Department],tblDepartment[Annual_Budget_INR],"")</f>
        <v>26000000</v>
      </c>
      <c r="AA268" t="str">
        <f>_xlfn.XLOOKUP(H268,tblDepartment[Department],tblDepartment[Monthly_Target],"")</f>
        <v>100% Payroll Accuracy</v>
      </c>
      <c r="AB268">
        <f>_xlfn.XLOOKUP(H268,tblDepartment[Department],tblDepartment[Average_Salary_INR],"")</f>
        <v>640000</v>
      </c>
      <c r="AC268" t="str">
        <f>_xlfn.XLOOKUP(H268,tblDepartment[Department],tblDepartment[Priority_Level],"")</f>
        <v>High</v>
      </c>
      <c r="AD268" t="str">
        <f>_xlfn.XLOOKUP(H268,tblDepartment[Department],tblDepartment[Key_KPI],"")</f>
        <v>Financial Compliance</v>
      </c>
      <c r="AE268">
        <f>_xlfn.XLOOKUP(tblMaster[[#This Row],[Shift]],tblShift[Shift_Name],tblShift[Login_Time],"")</f>
        <v>0.375</v>
      </c>
      <c r="AF268">
        <f>_xlfn.XLOOKUP(tblMaster[[#This Row],[Shift]],tblShift[Shift_Name],tblShift[Logout_Time]," ")</f>
        <v>0.75</v>
      </c>
      <c r="AG268">
        <f>_xlfn.XLOOKUP(tblMaster[[#This Row],[Shift]],tblShift[Shift_Name],tblShift[Standard_Working_Hours],"")</f>
        <v>8</v>
      </c>
      <c r="AH268" t="str">
        <f>_xlfn.XLOOKUP(tblMaster[[#This Row],[Attendance_Date]],tblHoliday[Holiday_Date],tblHoliday[Holiday_Name],"Working Day")</f>
        <v>Working Day</v>
      </c>
      <c r="AI268" t="str">
        <f>_xlfn.XLOOKUP(tblMaster[[#This Row],[Attendance_Date]],tblHoliday[Holiday_Date],tblHoliday[Holiday_Type],"Working Day ")</f>
        <v xml:space="preserve">Working Day </v>
      </c>
    </row>
    <row r="269" spans="1:35" hidden="1" x14ac:dyDescent="0.3">
      <c r="A269" t="s">
        <v>454</v>
      </c>
      <c r="B269" s="3">
        <v>45721</v>
      </c>
      <c r="C269" t="s">
        <v>71</v>
      </c>
      <c r="D269" t="s">
        <v>50</v>
      </c>
      <c r="E269" t="s">
        <v>51</v>
      </c>
      <c r="F269" t="s">
        <v>154</v>
      </c>
      <c r="G269" t="s">
        <v>155</v>
      </c>
      <c r="H269" t="s">
        <v>41</v>
      </c>
      <c r="I269" t="s">
        <v>42</v>
      </c>
      <c r="J269" t="s">
        <v>74</v>
      </c>
      <c r="K269" t="s">
        <v>54</v>
      </c>
      <c r="L269" s="2">
        <v>0.375</v>
      </c>
      <c r="M269" s="2">
        <v>0.75</v>
      </c>
      <c r="N269">
        <v>8</v>
      </c>
      <c r="O269">
        <v>0</v>
      </c>
      <c r="P269" t="s">
        <v>32</v>
      </c>
      <c r="R269">
        <v>5</v>
      </c>
      <c r="S269" t="s">
        <v>92</v>
      </c>
      <c r="T269" t="s">
        <v>46</v>
      </c>
      <c r="U269" t="s">
        <v>47</v>
      </c>
      <c r="V269" t="s">
        <v>69</v>
      </c>
      <c r="W269">
        <f>_xlfn.XLOOKUP(F269,tblEmployee[Employee_ID],tblEmployee[Age],"Not Found")</f>
        <v>33</v>
      </c>
      <c r="X269" t="str">
        <f>_xlfn.XLOOKUP(F269,tblEmployee[Employee_ID],tblEmployee[Gender],"Not Found")</f>
        <v>Male</v>
      </c>
      <c r="Y269">
        <f>_xlfn.XLOOKUP(F269,tblEmployee[Employee_ID],tblEmployee[Joining_Date],"")</f>
        <v>45275</v>
      </c>
      <c r="Z269">
        <f>_xlfn.XLOOKUP(H269,tblDepartment[Department],tblDepartment[Annual_Budget_INR],"")</f>
        <v>34000000</v>
      </c>
      <c r="AA269" t="str">
        <f>_xlfn.XLOOKUP(H269,tblDepartment[Department],tblDepartment[Monthly_Target],"")</f>
        <v>95% Process Efficiency</v>
      </c>
      <c r="AB269">
        <f>_xlfn.XLOOKUP(H269,tblDepartment[Department],tblDepartment[Average_Salary_INR],"")</f>
        <v>610000</v>
      </c>
      <c r="AC269" t="str">
        <f>_xlfn.XLOOKUP(H269,tblDepartment[Department],tblDepartment[Priority_Level],"")</f>
        <v>High</v>
      </c>
      <c r="AD269" t="str">
        <f>_xlfn.XLOOKUP(H269,tblDepartment[Department],tblDepartment[Key_KPI],"")</f>
        <v>Operational Efficiency</v>
      </c>
      <c r="AE269">
        <f>_xlfn.XLOOKUP(tblMaster[[#This Row],[Shift]],tblShift[Shift_Name],tblShift[Login_Time],"")</f>
        <v>0.58333333333333337</v>
      </c>
      <c r="AF269">
        <f>_xlfn.XLOOKUP(tblMaster[[#This Row],[Shift]],tblShift[Shift_Name],tblShift[Logout_Time]," ")</f>
        <v>0.95833333333333337</v>
      </c>
      <c r="AG269">
        <f>_xlfn.XLOOKUP(tblMaster[[#This Row],[Shift]],tblShift[Shift_Name],tblShift[Standard_Working_Hours],"")</f>
        <v>8</v>
      </c>
      <c r="AH269" t="str">
        <f>_xlfn.XLOOKUP(tblMaster[[#This Row],[Attendance_Date]],tblHoliday[Holiday_Date],tblHoliday[Holiday_Name],"Working Day")</f>
        <v>Working Day</v>
      </c>
      <c r="AI269" t="str">
        <f>_xlfn.XLOOKUP(tblMaster[[#This Row],[Attendance_Date]],tblHoliday[Holiday_Date],tblHoliday[Holiday_Type],"Working Day ")</f>
        <v xml:space="preserve">Working Day </v>
      </c>
    </row>
    <row r="270" spans="1:35" hidden="1" x14ac:dyDescent="0.3">
      <c r="A270" t="s">
        <v>455</v>
      </c>
      <c r="B270" s="3">
        <v>45811</v>
      </c>
      <c r="C270" t="s">
        <v>23</v>
      </c>
      <c r="D270" t="s">
        <v>24</v>
      </c>
      <c r="E270" t="s">
        <v>87</v>
      </c>
      <c r="F270" t="s">
        <v>124</v>
      </c>
      <c r="G270" t="s">
        <v>125</v>
      </c>
      <c r="H270" t="s">
        <v>28</v>
      </c>
      <c r="I270" t="s">
        <v>29</v>
      </c>
      <c r="J270" t="s">
        <v>66</v>
      </c>
      <c r="K270" t="s">
        <v>44</v>
      </c>
      <c r="L270" s="2">
        <v>0.375</v>
      </c>
      <c r="M270" s="2">
        <v>0.75</v>
      </c>
      <c r="N270">
        <v>8</v>
      </c>
      <c r="O270">
        <v>0</v>
      </c>
      <c r="P270" t="s">
        <v>32</v>
      </c>
      <c r="R270">
        <v>5</v>
      </c>
      <c r="S270" t="s">
        <v>45</v>
      </c>
      <c r="T270" t="s">
        <v>34</v>
      </c>
      <c r="U270" t="s">
        <v>47</v>
      </c>
      <c r="V270" t="s">
        <v>69</v>
      </c>
      <c r="W270">
        <f>_xlfn.XLOOKUP(F270,tblEmployee[Employee_ID],tblEmployee[Age],"Not Found")</f>
        <v>25</v>
      </c>
      <c r="X270" t="str">
        <f>_xlfn.XLOOKUP(F270,tblEmployee[Employee_ID],tblEmployee[Gender],"Not Found")</f>
        <v>Male</v>
      </c>
      <c r="Y270">
        <f>_xlfn.XLOOKUP(F270,tblEmployee[Employee_ID],tblEmployee[Joining_Date],"")</f>
        <v>43388</v>
      </c>
      <c r="Z270">
        <f>_xlfn.XLOOKUP(H270,tblDepartment[Department],tblDepartment[Annual_Budget_INR],"")</f>
        <v>24000000</v>
      </c>
      <c r="AA270" t="str">
        <f>_xlfn.XLOOKUP(H270,tblDepartment[Department],tblDepartment[Monthly_Target],"")</f>
        <v>90% Customer Satisfaction</v>
      </c>
      <c r="AB270">
        <f>_xlfn.XLOOKUP(H270,tblDepartment[Department],tblDepartment[Average_Salary_INR],"")</f>
        <v>520000</v>
      </c>
      <c r="AC270" t="str">
        <f>_xlfn.XLOOKUP(H270,tblDepartment[Department],tblDepartment[Priority_Level],"")</f>
        <v>High</v>
      </c>
      <c r="AD270" t="str">
        <f>_xlfn.XLOOKUP(H270,tblDepartment[Department],tblDepartment[Key_KPI],"")</f>
        <v>Customer Satisfaction</v>
      </c>
      <c r="AE270">
        <f>_xlfn.XLOOKUP(tblMaster[[#This Row],[Shift]],tblShift[Shift_Name],tblShift[Login_Time],"")</f>
        <v>0.41666666666666669</v>
      </c>
      <c r="AF270">
        <f>_xlfn.XLOOKUP(tblMaster[[#This Row],[Shift]],tblShift[Shift_Name],tblShift[Logout_Time]," ")</f>
        <v>0.79166666666666663</v>
      </c>
      <c r="AG270">
        <f>_xlfn.XLOOKUP(tblMaster[[#This Row],[Shift]],tblShift[Shift_Name],tblShift[Standard_Working_Hours],"")</f>
        <v>8</v>
      </c>
      <c r="AH270" t="str">
        <f>_xlfn.XLOOKUP(tblMaster[[#This Row],[Attendance_Date]],tblHoliday[Holiday_Date],tblHoliday[Holiday_Name],"Working Day")</f>
        <v>Working Day</v>
      </c>
      <c r="AI270" t="str">
        <f>_xlfn.XLOOKUP(tblMaster[[#This Row],[Attendance_Date]],tblHoliday[Holiday_Date],tblHoliday[Holiday_Type],"Working Day ")</f>
        <v xml:space="preserve">Working Day </v>
      </c>
    </row>
    <row r="271" spans="1:35" hidden="1" x14ac:dyDescent="0.3">
      <c r="A271" t="s">
        <v>456</v>
      </c>
      <c r="B271" s="3">
        <v>45830</v>
      </c>
      <c r="C271" t="s">
        <v>23</v>
      </c>
      <c r="D271" t="s">
        <v>24</v>
      </c>
      <c r="E271" t="s">
        <v>103</v>
      </c>
      <c r="F271" t="s">
        <v>142</v>
      </c>
      <c r="G271" t="s">
        <v>143</v>
      </c>
      <c r="H271" t="s">
        <v>64</v>
      </c>
      <c r="I271" t="s">
        <v>65</v>
      </c>
      <c r="J271" t="s">
        <v>43</v>
      </c>
      <c r="K271" t="s">
        <v>44</v>
      </c>
      <c r="P271" t="s">
        <v>135</v>
      </c>
      <c r="S271" t="s">
        <v>67</v>
      </c>
      <c r="T271" t="s">
        <v>68</v>
      </c>
      <c r="U271" t="s">
        <v>85</v>
      </c>
      <c r="V271" t="s">
        <v>35</v>
      </c>
      <c r="W271">
        <f>_xlfn.XLOOKUP(F271,tblEmployee[Employee_ID],tblEmployee[Age],"Not Found")</f>
        <v>37</v>
      </c>
      <c r="X271" t="str">
        <f>_xlfn.XLOOKUP(F271,tblEmployee[Employee_ID],tblEmployee[Gender],"Not Found")</f>
        <v>Male</v>
      </c>
      <c r="Y271">
        <f>_xlfn.XLOOKUP(F271,tblEmployee[Employee_ID],tblEmployee[Joining_Date],"")</f>
        <v>43570</v>
      </c>
      <c r="Z271">
        <f>_xlfn.XLOOKUP(H271,tblDepartment[Department],tblDepartment[Annual_Budget_INR],"")</f>
        <v>85000000</v>
      </c>
      <c r="AA271" t="str">
        <f>_xlfn.XLOOKUP(H271,tblDepartment[Department],tblDepartment[Monthly_Target],"")</f>
        <v>99.5% System Uptime</v>
      </c>
      <c r="AB271">
        <f>_xlfn.XLOOKUP(H271,tblDepartment[Department],tblDepartment[Average_Salary_INR],"")</f>
        <v>720000</v>
      </c>
      <c r="AC271" t="str">
        <f>_xlfn.XLOOKUP(H271,tblDepartment[Department],tblDepartment[Priority_Level],"")</f>
        <v>High</v>
      </c>
      <c r="AD271" t="str">
        <f>_xlfn.XLOOKUP(H271,tblDepartment[Department],tblDepartment[Key_KPI],"")</f>
        <v>Project Delivery</v>
      </c>
      <c r="AE271">
        <f>_xlfn.XLOOKUP(tblMaster[[#This Row],[Shift]],tblShift[Shift_Name],tblShift[Login_Time],"")</f>
        <v>0.41666666666666669</v>
      </c>
      <c r="AF271">
        <f>_xlfn.XLOOKUP(tblMaster[[#This Row],[Shift]],tblShift[Shift_Name],tblShift[Logout_Time]," ")</f>
        <v>0.79166666666666663</v>
      </c>
      <c r="AG271">
        <f>_xlfn.XLOOKUP(tblMaster[[#This Row],[Shift]],tblShift[Shift_Name],tblShift[Standard_Working_Hours],"")</f>
        <v>8</v>
      </c>
      <c r="AH271" t="str">
        <f>_xlfn.XLOOKUP(tblMaster[[#This Row],[Attendance_Date]],tblHoliday[Holiday_Date],tblHoliday[Holiday_Name],"Working Day")</f>
        <v>Working Day</v>
      </c>
      <c r="AI271" t="str">
        <f>_xlfn.XLOOKUP(tblMaster[[#This Row],[Attendance_Date]],tblHoliday[Holiday_Date],tblHoliday[Holiday_Type],"Working Day ")</f>
        <v xml:space="preserve">Working Day </v>
      </c>
    </row>
    <row r="272" spans="1:35" hidden="1" x14ac:dyDescent="0.3">
      <c r="A272" t="s">
        <v>457</v>
      </c>
      <c r="B272" s="3">
        <v>45828</v>
      </c>
      <c r="C272" t="s">
        <v>23</v>
      </c>
      <c r="D272" t="s">
        <v>24</v>
      </c>
      <c r="E272" t="s">
        <v>119</v>
      </c>
      <c r="F272" t="s">
        <v>266</v>
      </c>
      <c r="G272" t="s">
        <v>267</v>
      </c>
      <c r="H272" t="s">
        <v>98</v>
      </c>
      <c r="I272" t="s">
        <v>99</v>
      </c>
      <c r="J272" t="s">
        <v>66</v>
      </c>
      <c r="K272" t="s">
        <v>81</v>
      </c>
      <c r="L272" s="2">
        <v>0.91666666666666663</v>
      </c>
      <c r="M272" s="2">
        <v>0.29166666666666669</v>
      </c>
      <c r="N272">
        <v>10</v>
      </c>
      <c r="O272">
        <v>2</v>
      </c>
      <c r="P272" t="s">
        <v>32</v>
      </c>
      <c r="R272">
        <v>5</v>
      </c>
      <c r="S272" t="s">
        <v>45</v>
      </c>
      <c r="T272" t="s">
        <v>101</v>
      </c>
      <c r="U272" t="s">
        <v>85</v>
      </c>
      <c r="V272" t="s">
        <v>60</v>
      </c>
      <c r="W272">
        <f>_xlfn.XLOOKUP(F272,tblEmployee[Employee_ID],tblEmployee[Age],"Not Found")</f>
        <v>28</v>
      </c>
      <c r="X272" t="str">
        <f>_xlfn.XLOOKUP(F272,tblEmployee[Employee_ID],tblEmployee[Gender],"Not Found")</f>
        <v>Female</v>
      </c>
      <c r="Y272">
        <f>_xlfn.XLOOKUP(F272,tblEmployee[Employee_ID],tblEmployee[Joining_Date],"")</f>
        <v>45488</v>
      </c>
      <c r="Z272">
        <f>_xlfn.XLOOKUP(H272,tblDepartment[Department],tblDepartment[Annual_Budget_INR],"")</f>
        <v>22000000</v>
      </c>
      <c r="AA272" t="str">
        <f>_xlfn.XLOOKUP(H272,tblDepartment[Department],tblDepartment[Monthly_Target],"")</f>
        <v>2500 Qualified Leads</v>
      </c>
      <c r="AB272">
        <f>_xlfn.XLOOKUP(H272,tblDepartment[Department],tblDepartment[Average_Salary_INR],"")</f>
        <v>590000</v>
      </c>
      <c r="AC272" t="str">
        <f>_xlfn.XLOOKUP(H272,tblDepartment[Department],tblDepartment[Priority_Level],"")</f>
        <v>Medium</v>
      </c>
      <c r="AD272" t="str">
        <f>_xlfn.XLOOKUP(H272,tblDepartment[Department],tblDepartment[Key_KPI],"")</f>
        <v>Lead Generation</v>
      </c>
      <c r="AE272">
        <f>_xlfn.XLOOKUP(tblMaster[[#This Row],[Shift]],tblShift[Shift_Name],tblShift[Login_Time],"")</f>
        <v>0.91666666666666663</v>
      </c>
      <c r="AF272">
        <f>_xlfn.XLOOKUP(tblMaster[[#This Row],[Shift]],tblShift[Shift_Name],tblShift[Logout_Time]," ")</f>
        <v>0.29166666666666669</v>
      </c>
      <c r="AG272">
        <f>_xlfn.XLOOKUP(tblMaster[[#This Row],[Shift]],tblShift[Shift_Name],tblShift[Standard_Working_Hours],"")</f>
        <v>8</v>
      </c>
      <c r="AH272" t="str">
        <f>_xlfn.XLOOKUP(tblMaster[[#This Row],[Attendance_Date]],tblHoliday[Holiday_Date],tblHoliday[Holiday_Name],"Working Day")</f>
        <v>Working Day</v>
      </c>
      <c r="AI272" t="str">
        <f>_xlfn.XLOOKUP(tblMaster[[#This Row],[Attendance_Date]],tblHoliday[Holiday_Date],tblHoliday[Holiday_Type],"Working Day ")</f>
        <v xml:space="preserve">Working Day </v>
      </c>
    </row>
    <row r="273" spans="1:35" x14ac:dyDescent="0.3">
      <c r="A273" t="s">
        <v>458</v>
      </c>
      <c r="B273" s="3">
        <v>45706</v>
      </c>
      <c r="C273" t="s">
        <v>95</v>
      </c>
      <c r="D273" t="s">
        <v>50</v>
      </c>
      <c r="E273" t="s">
        <v>87</v>
      </c>
      <c r="F273" t="s">
        <v>266</v>
      </c>
      <c r="G273" t="s">
        <v>267</v>
      </c>
      <c r="H273" t="s">
        <v>98</v>
      </c>
      <c r="I273" t="s">
        <v>99</v>
      </c>
      <c r="J273" t="s">
        <v>66</v>
      </c>
      <c r="K273" t="s">
        <v>44</v>
      </c>
      <c r="L273" s="2">
        <v>0.375</v>
      </c>
      <c r="M273" s="2">
        <v>0.75</v>
      </c>
      <c r="N273">
        <v>8</v>
      </c>
      <c r="O273">
        <v>0</v>
      </c>
      <c r="P273" t="s">
        <v>32</v>
      </c>
      <c r="R273">
        <v>4</v>
      </c>
      <c r="S273" t="s">
        <v>33</v>
      </c>
      <c r="T273" t="s">
        <v>101</v>
      </c>
      <c r="U273" t="str">
        <f>_xlfn.XLOOKUP(tblMaster[[#This Row],[Employee_ID]],tblEmployee[Employee_ID],tblEmployee[Work_Mode]," ")</f>
        <v>Office</v>
      </c>
      <c r="V273" t="s">
        <v>60</v>
      </c>
      <c r="W273">
        <f>_xlfn.XLOOKUP(F273,tblEmployee[Employee_ID],tblEmployee[Age],"Not Found")</f>
        <v>28</v>
      </c>
      <c r="X273" t="str">
        <f>_xlfn.XLOOKUP(F273,tblEmployee[Employee_ID],tblEmployee[Gender],"Not Found")</f>
        <v>Female</v>
      </c>
      <c r="Y273">
        <f>_xlfn.XLOOKUP(F273,tblEmployee[Employee_ID],tblEmployee[Joining_Date],"")</f>
        <v>45488</v>
      </c>
      <c r="Z273">
        <f>_xlfn.XLOOKUP(H273,tblDepartment[Department],tblDepartment[Annual_Budget_INR],"")</f>
        <v>22000000</v>
      </c>
      <c r="AA273" t="str">
        <f>_xlfn.XLOOKUP(H273,tblDepartment[Department],tblDepartment[Monthly_Target],"")</f>
        <v>2500 Qualified Leads</v>
      </c>
      <c r="AB273">
        <f>_xlfn.XLOOKUP(H273,tblDepartment[Department],tblDepartment[Average_Salary_INR],"")</f>
        <v>590000</v>
      </c>
      <c r="AC273" t="str">
        <f>_xlfn.XLOOKUP(H273,tblDepartment[Department],tblDepartment[Priority_Level],"")</f>
        <v>Medium</v>
      </c>
      <c r="AD273" t="str">
        <f>_xlfn.XLOOKUP(H273,tblDepartment[Department],tblDepartment[Key_KPI],"")</f>
        <v>Lead Generation</v>
      </c>
      <c r="AE273">
        <f>_xlfn.XLOOKUP(tblMaster[[#This Row],[Shift]],tblShift[Shift_Name],tblShift[Login_Time],"")</f>
        <v>0.41666666666666669</v>
      </c>
      <c r="AF273">
        <f>_xlfn.XLOOKUP(tblMaster[[#This Row],[Shift]],tblShift[Shift_Name],tblShift[Logout_Time]," ")</f>
        <v>0.79166666666666663</v>
      </c>
      <c r="AG273">
        <f>_xlfn.XLOOKUP(tblMaster[[#This Row],[Shift]],tblShift[Shift_Name],tblShift[Standard_Working_Hours],"")</f>
        <v>8</v>
      </c>
      <c r="AH273" t="str">
        <f>_xlfn.XLOOKUP(tblMaster[[#This Row],[Attendance_Date]],tblHoliday[Holiday_Date],tblHoliday[Holiday_Name],"Working Day")</f>
        <v>Working Day</v>
      </c>
      <c r="AI273" t="str">
        <f>_xlfn.XLOOKUP(tblMaster[[#This Row],[Attendance_Date]],tblHoliday[Holiday_Date],tblHoliday[Holiday_Type],"Working Day ")</f>
        <v xml:space="preserve">Working Day </v>
      </c>
    </row>
    <row r="274" spans="1:35" x14ac:dyDescent="0.3">
      <c r="A274" t="s">
        <v>459</v>
      </c>
      <c r="B274" s="1">
        <v>45666</v>
      </c>
      <c r="C274" t="s">
        <v>49</v>
      </c>
      <c r="D274" t="s">
        <v>50</v>
      </c>
      <c r="E274" t="s">
        <v>25</v>
      </c>
      <c r="F274" t="s">
        <v>228</v>
      </c>
      <c r="G274" t="s">
        <v>229</v>
      </c>
      <c r="H274" t="s">
        <v>460</v>
      </c>
      <c r="I274" t="s">
        <v>80</v>
      </c>
      <c r="J274" t="s">
        <v>43</v>
      </c>
      <c r="K274" t="s">
        <v>54</v>
      </c>
      <c r="L274" s="2">
        <v>0.375</v>
      </c>
      <c r="M274" s="2">
        <v>0.75</v>
      </c>
      <c r="N274">
        <v>8</v>
      </c>
      <c r="O274">
        <v>0</v>
      </c>
      <c r="P274" t="s">
        <v>32</v>
      </c>
      <c r="R274">
        <v>3</v>
      </c>
      <c r="S274" t="s">
        <v>45</v>
      </c>
      <c r="T274" t="s">
        <v>84</v>
      </c>
      <c r="U274" t="str">
        <f>_xlfn.XLOOKUP(tblMaster[[#This Row],[Employee_ID]],tblEmployee[Employee_ID],tblEmployee[Work_Mode]," ")</f>
        <v>Hybrid</v>
      </c>
      <c r="V274" t="s">
        <v>69</v>
      </c>
      <c r="W274">
        <f>_xlfn.XLOOKUP(F274,tblEmployee[Employee_ID],tblEmployee[Age],"Not Found")</f>
        <v>29</v>
      </c>
      <c r="X274" t="str">
        <f>_xlfn.XLOOKUP(F274,tblEmployee[Employee_ID],tblEmployee[Gender],"Not Found")</f>
        <v>Female</v>
      </c>
      <c r="Y274">
        <f>_xlfn.XLOOKUP(F274,tblEmployee[Employee_ID],tblEmployee[Joining_Date],"")</f>
        <v>44607</v>
      </c>
      <c r="Z274">
        <f>_xlfn.XLOOKUP(H274,tblDepartment[Department],tblDepartment[Annual_Budget_INR],"")</f>
        <v>26000000</v>
      </c>
      <c r="AA274" t="str">
        <f>_xlfn.XLOOKUP(H274,tblDepartment[Department],tblDepartment[Monthly_Target],"")</f>
        <v>100% Payroll Accuracy</v>
      </c>
      <c r="AB274">
        <f>_xlfn.XLOOKUP(H274,tblDepartment[Department],tblDepartment[Average_Salary_INR],"")</f>
        <v>640000</v>
      </c>
      <c r="AC274" t="str">
        <f>_xlfn.XLOOKUP(H274,tblDepartment[Department],tblDepartment[Priority_Level],"")</f>
        <v>High</v>
      </c>
      <c r="AD274" t="str">
        <f>_xlfn.XLOOKUP(H274,tblDepartment[Department],tblDepartment[Key_KPI],"")</f>
        <v>Financial Compliance</v>
      </c>
      <c r="AE274">
        <f>_xlfn.XLOOKUP(tblMaster[[#This Row],[Shift]],tblShift[Shift_Name],tblShift[Login_Time],"")</f>
        <v>0.58333333333333337</v>
      </c>
      <c r="AF274">
        <f>_xlfn.XLOOKUP(tblMaster[[#This Row],[Shift]],tblShift[Shift_Name],tblShift[Logout_Time]," ")</f>
        <v>0.95833333333333337</v>
      </c>
      <c r="AG274">
        <f>_xlfn.XLOOKUP(tblMaster[[#This Row],[Shift]],tblShift[Shift_Name],tblShift[Standard_Working_Hours],"")</f>
        <v>8</v>
      </c>
      <c r="AH274" t="str">
        <f>_xlfn.XLOOKUP(tblMaster[[#This Row],[Attendance_Date]],tblHoliday[Holiday_Date],tblHoliday[Holiday_Name],"Working Day")</f>
        <v>Working Day</v>
      </c>
      <c r="AI274" t="str">
        <f>_xlfn.XLOOKUP(tblMaster[[#This Row],[Attendance_Date]],tblHoliday[Holiday_Date],tblHoliday[Holiday_Type],"Working Day ")</f>
        <v xml:space="preserve">Working Day </v>
      </c>
    </row>
    <row r="275" spans="1:35" hidden="1" x14ac:dyDescent="0.3">
      <c r="A275" t="s">
        <v>461</v>
      </c>
      <c r="B275" s="3">
        <v>45775</v>
      </c>
      <c r="C275" t="s">
        <v>37</v>
      </c>
      <c r="D275" t="s">
        <v>24</v>
      </c>
      <c r="E275" t="s">
        <v>109</v>
      </c>
      <c r="F275" t="s">
        <v>247</v>
      </c>
      <c r="G275" t="s">
        <v>248</v>
      </c>
      <c r="H275" t="s">
        <v>64</v>
      </c>
      <c r="I275" t="s">
        <v>65</v>
      </c>
      <c r="J275" t="s">
        <v>66</v>
      </c>
      <c r="K275" t="s">
        <v>54</v>
      </c>
      <c r="L275" s="2">
        <v>0.375</v>
      </c>
      <c r="M275" s="2">
        <v>0.75</v>
      </c>
      <c r="N275">
        <v>8.5</v>
      </c>
      <c r="O275">
        <v>0.5</v>
      </c>
      <c r="P275" t="s">
        <v>32</v>
      </c>
      <c r="R275">
        <v>4</v>
      </c>
      <c r="S275" t="s">
        <v>33</v>
      </c>
      <c r="T275" t="s">
        <v>68</v>
      </c>
      <c r="U275" t="s">
        <v>85</v>
      </c>
      <c r="V275" t="s">
        <v>60</v>
      </c>
      <c r="W275">
        <f>_xlfn.XLOOKUP(F275,tblEmployee[Employee_ID],tblEmployee[Age],"Not Found")</f>
        <v>22</v>
      </c>
      <c r="X275" t="str">
        <f>_xlfn.XLOOKUP(F275,tblEmployee[Employee_ID],tblEmployee[Gender],"Not Found")</f>
        <v>Male</v>
      </c>
      <c r="Y275">
        <f>_xlfn.XLOOKUP(F275,tblEmployee[Employee_ID],tblEmployee[Joining_Date],"")</f>
        <v>43480</v>
      </c>
      <c r="Z275">
        <f>_xlfn.XLOOKUP(H275,tblDepartment[Department],tblDepartment[Annual_Budget_INR],"")</f>
        <v>85000000</v>
      </c>
      <c r="AA275" t="str">
        <f>_xlfn.XLOOKUP(H275,tblDepartment[Department],tblDepartment[Monthly_Target],"")</f>
        <v>99.5% System Uptime</v>
      </c>
      <c r="AB275">
        <f>_xlfn.XLOOKUP(H275,tblDepartment[Department],tblDepartment[Average_Salary_INR],"")</f>
        <v>720000</v>
      </c>
      <c r="AC275" t="str">
        <f>_xlfn.XLOOKUP(H275,tblDepartment[Department],tblDepartment[Priority_Level],"")</f>
        <v>High</v>
      </c>
      <c r="AD275" t="str">
        <f>_xlfn.XLOOKUP(H275,tblDepartment[Department],tblDepartment[Key_KPI],"")</f>
        <v>Project Delivery</v>
      </c>
      <c r="AE275">
        <f>_xlfn.XLOOKUP(tblMaster[[#This Row],[Shift]],tblShift[Shift_Name],tblShift[Login_Time],"")</f>
        <v>0.58333333333333337</v>
      </c>
      <c r="AF275">
        <f>_xlfn.XLOOKUP(tblMaster[[#This Row],[Shift]],tblShift[Shift_Name],tblShift[Logout_Time]," ")</f>
        <v>0.95833333333333337</v>
      </c>
      <c r="AG275">
        <f>_xlfn.XLOOKUP(tblMaster[[#This Row],[Shift]],tblShift[Shift_Name],tblShift[Standard_Working_Hours],"")</f>
        <v>8</v>
      </c>
      <c r="AH275" t="str">
        <f>_xlfn.XLOOKUP(tblMaster[[#This Row],[Attendance_Date]],tblHoliday[Holiday_Date],tblHoliday[Holiday_Name],"Working Day")</f>
        <v>Working Day</v>
      </c>
      <c r="AI275" t="str">
        <f>_xlfn.XLOOKUP(tblMaster[[#This Row],[Attendance_Date]],tblHoliday[Holiday_Date],tblHoliday[Holiday_Type],"Working Day ")</f>
        <v xml:space="preserve">Working Day </v>
      </c>
    </row>
    <row r="276" spans="1:35" hidden="1" x14ac:dyDescent="0.3">
      <c r="A276" t="s">
        <v>462</v>
      </c>
      <c r="B276" s="3">
        <v>45751</v>
      </c>
      <c r="C276" t="s">
        <v>37</v>
      </c>
      <c r="D276" t="s">
        <v>24</v>
      </c>
      <c r="E276" t="s">
        <v>119</v>
      </c>
      <c r="F276" t="s">
        <v>288</v>
      </c>
      <c r="G276" t="s">
        <v>289</v>
      </c>
      <c r="H276" t="s">
        <v>28</v>
      </c>
      <c r="I276" t="s">
        <v>29</v>
      </c>
      <c r="J276" t="s">
        <v>74</v>
      </c>
      <c r="K276" t="s">
        <v>81</v>
      </c>
      <c r="P276" t="s">
        <v>135</v>
      </c>
      <c r="S276" t="s">
        <v>67</v>
      </c>
      <c r="T276" t="s">
        <v>34</v>
      </c>
      <c r="U276" t="s">
        <v>85</v>
      </c>
      <c r="V276" t="s">
        <v>35</v>
      </c>
      <c r="W276">
        <f>_xlfn.XLOOKUP(F276,tblEmployee[Employee_ID],tblEmployee[Age],"Not Found")</f>
        <v>29</v>
      </c>
      <c r="X276" t="str">
        <f>_xlfn.XLOOKUP(F276,tblEmployee[Employee_ID],tblEmployee[Gender],"Not Found")</f>
        <v>Male</v>
      </c>
      <c r="Y276">
        <f>_xlfn.XLOOKUP(F276,tblEmployee[Employee_ID],tblEmployee[Joining_Date],"")</f>
        <v>43327</v>
      </c>
      <c r="Z276">
        <f>_xlfn.XLOOKUP(H276,tblDepartment[Department],tblDepartment[Annual_Budget_INR],"")</f>
        <v>24000000</v>
      </c>
      <c r="AA276" t="str">
        <f>_xlfn.XLOOKUP(H276,tblDepartment[Department],tblDepartment[Monthly_Target],"")</f>
        <v>90% Customer Satisfaction</v>
      </c>
      <c r="AB276">
        <f>_xlfn.XLOOKUP(H276,tblDepartment[Department],tblDepartment[Average_Salary_INR],"")</f>
        <v>520000</v>
      </c>
      <c r="AC276" t="str">
        <f>_xlfn.XLOOKUP(H276,tblDepartment[Department],tblDepartment[Priority_Level],"")</f>
        <v>High</v>
      </c>
      <c r="AD276" t="str">
        <f>_xlfn.XLOOKUP(H276,tblDepartment[Department],tblDepartment[Key_KPI],"")</f>
        <v>Customer Satisfaction</v>
      </c>
      <c r="AE276">
        <f>_xlfn.XLOOKUP(tblMaster[[#This Row],[Shift]],tblShift[Shift_Name],tblShift[Login_Time],"")</f>
        <v>0.91666666666666663</v>
      </c>
      <c r="AF276">
        <f>_xlfn.XLOOKUP(tblMaster[[#This Row],[Shift]],tblShift[Shift_Name],tblShift[Logout_Time]," ")</f>
        <v>0.29166666666666669</v>
      </c>
      <c r="AG276">
        <f>_xlfn.XLOOKUP(tblMaster[[#This Row],[Shift]],tblShift[Shift_Name],tblShift[Standard_Working_Hours],"")</f>
        <v>8</v>
      </c>
      <c r="AH276" t="str">
        <f>_xlfn.XLOOKUP(tblMaster[[#This Row],[Attendance_Date]],tblHoliday[Holiday_Date],tblHoliday[Holiday_Name],"Working Day")</f>
        <v>Working Day</v>
      </c>
      <c r="AI276" t="str">
        <f>_xlfn.XLOOKUP(tblMaster[[#This Row],[Attendance_Date]],tblHoliday[Holiday_Date],tblHoliday[Holiday_Type],"Working Day ")</f>
        <v xml:space="preserve">Working Day </v>
      </c>
    </row>
    <row r="277" spans="1:35" x14ac:dyDescent="0.3">
      <c r="A277" t="s">
        <v>463</v>
      </c>
      <c r="B277" s="3">
        <v>45682</v>
      </c>
      <c r="C277" t="s">
        <v>49</v>
      </c>
      <c r="D277" t="s">
        <v>50</v>
      </c>
      <c r="E277" t="s">
        <v>38</v>
      </c>
      <c r="F277" t="s">
        <v>58</v>
      </c>
      <c r="G277" t="s">
        <v>59</v>
      </c>
      <c r="H277" t="s">
        <v>41</v>
      </c>
      <c r="I277" t="s">
        <v>42</v>
      </c>
      <c r="J277" t="s">
        <v>30</v>
      </c>
      <c r="K277" t="s">
        <v>54</v>
      </c>
      <c r="M277" s="2">
        <v>0.75</v>
      </c>
      <c r="N277">
        <v>8</v>
      </c>
      <c r="O277">
        <v>0</v>
      </c>
      <c r="P277" t="s">
        <v>32</v>
      </c>
      <c r="S277" t="s">
        <v>67</v>
      </c>
      <c r="T277" t="s">
        <v>46</v>
      </c>
      <c r="U277" t="str">
        <f>_xlfn.XLOOKUP(tblMaster[[#This Row],[Employee_ID]],tblEmployee[Employee_ID],tblEmployee[Work_Mode]," ")</f>
        <v>Hybrid</v>
      </c>
      <c r="V277" t="s">
        <v>69</v>
      </c>
      <c r="W277">
        <f>_xlfn.XLOOKUP(F277,tblEmployee[Employee_ID],tblEmployee[Age],"Not Found")</f>
        <v>23</v>
      </c>
      <c r="X277" t="str">
        <f>_xlfn.XLOOKUP(F277,tblEmployee[Employee_ID],tblEmployee[Gender],"Not Found")</f>
        <v>Female</v>
      </c>
      <c r="Y277">
        <f>_xlfn.XLOOKUP(F277,tblEmployee[Employee_ID],tblEmployee[Joining_Date],"")</f>
        <v>45153</v>
      </c>
      <c r="Z277">
        <f>_xlfn.XLOOKUP(H277,tblDepartment[Department],tblDepartment[Annual_Budget_INR],"")</f>
        <v>34000000</v>
      </c>
      <c r="AA277" t="str">
        <f>_xlfn.XLOOKUP(H277,tblDepartment[Department],tblDepartment[Monthly_Target],"")</f>
        <v>95% Process Efficiency</v>
      </c>
      <c r="AB277">
        <f>_xlfn.XLOOKUP(H277,tblDepartment[Department],tblDepartment[Average_Salary_INR],"")</f>
        <v>610000</v>
      </c>
      <c r="AC277" t="str">
        <f>_xlfn.XLOOKUP(H277,tblDepartment[Department],tblDepartment[Priority_Level],"")</f>
        <v>High</v>
      </c>
      <c r="AD277" t="str">
        <f>_xlfn.XLOOKUP(H277,tblDepartment[Department],tblDepartment[Key_KPI],"")</f>
        <v>Operational Efficiency</v>
      </c>
      <c r="AE277">
        <f>_xlfn.XLOOKUP(tblMaster[[#This Row],[Shift]],tblShift[Shift_Name],tblShift[Login_Time],"")</f>
        <v>0.58333333333333337</v>
      </c>
      <c r="AF277">
        <f>_xlfn.XLOOKUP(tblMaster[[#This Row],[Shift]],tblShift[Shift_Name],tblShift[Logout_Time]," ")</f>
        <v>0.95833333333333337</v>
      </c>
      <c r="AG277">
        <f>_xlfn.XLOOKUP(tblMaster[[#This Row],[Shift]],tblShift[Shift_Name],tblShift[Standard_Working_Hours],"")</f>
        <v>8</v>
      </c>
      <c r="AH277" t="str">
        <f>_xlfn.XLOOKUP(tblMaster[[#This Row],[Attendance_Date]],tblHoliday[Holiday_Date],tblHoliday[Holiday_Name],"Working Day")</f>
        <v>Working Day</v>
      </c>
      <c r="AI277" t="str">
        <f>_xlfn.XLOOKUP(tblMaster[[#This Row],[Attendance_Date]],tblHoliday[Holiday_Date],tblHoliday[Holiday_Type],"Working Day ")</f>
        <v xml:space="preserve">Working Day </v>
      </c>
    </row>
    <row r="278" spans="1:35" hidden="1" x14ac:dyDescent="0.3">
      <c r="A278" t="s">
        <v>464</v>
      </c>
      <c r="B278" s="1">
        <v>45773</v>
      </c>
      <c r="C278" t="s">
        <v>37</v>
      </c>
      <c r="D278" t="s">
        <v>24</v>
      </c>
      <c r="E278" t="s">
        <v>38</v>
      </c>
      <c r="F278" t="s">
        <v>266</v>
      </c>
      <c r="G278" t="s">
        <v>267</v>
      </c>
      <c r="H278" t="s">
        <v>98</v>
      </c>
      <c r="I278" t="s">
        <v>99</v>
      </c>
      <c r="J278" t="s">
        <v>66</v>
      </c>
      <c r="K278" t="s">
        <v>54</v>
      </c>
      <c r="L278" s="2">
        <v>0.375</v>
      </c>
      <c r="M278" s="2">
        <v>0.75</v>
      </c>
      <c r="N278">
        <v>8</v>
      </c>
      <c r="O278">
        <v>0</v>
      </c>
      <c r="P278" t="s">
        <v>32</v>
      </c>
      <c r="R278">
        <v>4</v>
      </c>
      <c r="S278" t="s">
        <v>33</v>
      </c>
      <c r="T278" t="s">
        <v>101</v>
      </c>
      <c r="U278" t="s">
        <v>55</v>
      </c>
      <c r="V278" t="s">
        <v>69</v>
      </c>
      <c r="W278">
        <f>_xlfn.XLOOKUP(F278,tblEmployee[Employee_ID],tblEmployee[Age],"Not Found")</f>
        <v>28</v>
      </c>
      <c r="X278" t="str">
        <f>_xlfn.XLOOKUP(F278,tblEmployee[Employee_ID],tblEmployee[Gender],"Not Found")</f>
        <v>Female</v>
      </c>
      <c r="Y278">
        <f>_xlfn.XLOOKUP(F278,tblEmployee[Employee_ID],tblEmployee[Joining_Date],"")</f>
        <v>45488</v>
      </c>
      <c r="Z278">
        <f>_xlfn.XLOOKUP(H278,tblDepartment[Department],tblDepartment[Annual_Budget_INR],"")</f>
        <v>22000000</v>
      </c>
      <c r="AA278" t="str">
        <f>_xlfn.XLOOKUP(H278,tblDepartment[Department],tblDepartment[Monthly_Target],"")</f>
        <v>2500 Qualified Leads</v>
      </c>
      <c r="AB278">
        <f>_xlfn.XLOOKUP(H278,tblDepartment[Department],tblDepartment[Average_Salary_INR],"")</f>
        <v>590000</v>
      </c>
      <c r="AC278" t="str">
        <f>_xlfn.XLOOKUP(H278,tblDepartment[Department],tblDepartment[Priority_Level],"")</f>
        <v>Medium</v>
      </c>
      <c r="AD278" t="str">
        <f>_xlfn.XLOOKUP(H278,tblDepartment[Department],tblDepartment[Key_KPI],"")</f>
        <v>Lead Generation</v>
      </c>
      <c r="AE278">
        <f>_xlfn.XLOOKUP(tblMaster[[#This Row],[Shift]],tblShift[Shift_Name],tblShift[Login_Time],"")</f>
        <v>0.58333333333333337</v>
      </c>
      <c r="AF278">
        <f>_xlfn.XLOOKUP(tblMaster[[#This Row],[Shift]],tblShift[Shift_Name],tblShift[Logout_Time]," ")</f>
        <v>0.95833333333333337</v>
      </c>
      <c r="AG278">
        <f>_xlfn.XLOOKUP(tblMaster[[#This Row],[Shift]],tblShift[Shift_Name],tblShift[Standard_Working_Hours],"")</f>
        <v>8</v>
      </c>
      <c r="AH278" t="str">
        <f>_xlfn.XLOOKUP(tblMaster[[#This Row],[Attendance_Date]],tblHoliday[Holiday_Date],tblHoliday[Holiday_Name],"Working Day")</f>
        <v>Working Day</v>
      </c>
      <c r="AI278" t="str">
        <f>_xlfn.XLOOKUP(tblMaster[[#This Row],[Attendance_Date]],tblHoliday[Holiday_Date],tblHoliday[Holiday_Type],"Working Day ")</f>
        <v xml:space="preserve">Working Day </v>
      </c>
    </row>
    <row r="279" spans="1:35" hidden="1" x14ac:dyDescent="0.3">
      <c r="A279" t="s">
        <v>465</v>
      </c>
      <c r="B279" s="1">
        <v>45810</v>
      </c>
      <c r="C279" t="s">
        <v>23</v>
      </c>
      <c r="D279" t="s">
        <v>24</v>
      </c>
      <c r="E279" t="s">
        <v>109</v>
      </c>
      <c r="F279" t="s">
        <v>88</v>
      </c>
      <c r="G279" t="s">
        <v>89</v>
      </c>
      <c r="H279" t="s">
        <v>90</v>
      </c>
      <c r="I279" t="s">
        <v>91</v>
      </c>
      <c r="J279" t="s">
        <v>43</v>
      </c>
      <c r="K279" t="s">
        <v>54</v>
      </c>
      <c r="L279" s="2">
        <v>0.375</v>
      </c>
      <c r="M279" s="2">
        <v>0.75</v>
      </c>
      <c r="N279">
        <v>8</v>
      </c>
      <c r="O279">
        <v>0</v>
      </c>
      <c r="P279" t="s">
        <v>32</v>
      </c>
      <c r="S279" t="s">
        <v>92</v>
      </c>
      <c r="T279" t="s">
        <v>93</v>
      </c>
      <c r="U279" t="s">
        <v>47</v>
      </c>
      <c r="V279" t="s">
        <v>60</v>
      </c>
      <c r="W279">
        <f>_xlfn.XLOOKUP(F279,tblEmployee[Employee_ID],tblEmployee[Age],"Not Found")</f>
        <v>34</v>
      </c>
      <c r="X279" t="str">
        <f>_xlfn.XLOOKUP(F279,tblEmployee[Employee_ID],tblEmployee[Gender],"Not Found")</f>
        <v>Female</v>
      </c>
      <c r="Y279">
        <f>_xlfn.XLOOKUP(F279,tblEmployee[Employee_ID],tblEmployee[Joining_Date],"")</f>
        <v>44027</v>
      </c>
      <c r="Z279">
        <f>_xlfn.XLOOKUP(H279,tblDepartment[Department],tblDepartment[Annual_Budget_INR],"")</f>
        <v>18000000</v>
      </c>
      <c r="AA279" t="str">
        <f>_xlfn.XLOOKUP(H279,tblDepartment[Department],tblDepartment[Monthly_Target],"")</f>
        <v>&lt;30 Days Hiring Cycle</v>
      </c>
      <c r="AB279">
        <f>_xlfn.XLOOKUP(H279,tblDepartment[Department],tblDepartment[Average_Salary_INR],"")</f>
        <v>560000</v>
      </c>
      <c r="AC279" t="str">
        <f>_xlfn.XLOOKUP(H279,tblDepartment[Department],tblDepartment[Priority_Level],"")</f>
        <v>Medium</v>
      </c>
      <c r="AD279" t="str">
        <f>_xlfn.XLOOKUP(H279,tblDepartment[Department],tblDepartment[Key_KPI],"")</f>
        <v>Hiring &amp; Retention</v>
      </c>
      <c r="AE279">
        <f>_xlfn.XLOOKUP(tblMaster[[#This Row],[Shift]],tblShift[Shift_Name],tblShift[Login_Time],"")</f>
        <v>0.58333333333333337</v>
      </c>
      <c r="AF279">
        <f>_xlfn.XLOOKUP(tblMaster[[#This Row],[Shift]],tblShift[Shift_Name],tblShift[Logout_Time]," ")</f>
        <v>0.95833333333333337</v>
      </c>
      <c r="AG279">
        <f>_xlfn.XLOOKUP(tblMaster[[#This Row],[Shift]],tblShift[Shift_Name],tblShift[Standard_Working_Hours],"")</f>
        <v>8</v>
      </c>
      <c r="AH279" t="str">
        <f>_xlfn.XLOOKUP(tblMaster[[#This Row],[Attendance_Date]],tblHoliday[Holiday_Date],tblHoliday[Holiday_Name],"Working Day")</f>
        <v>Working Day</v>
      </c>
      <c r="AI279" t="str">
        <f>_xlfn.XLOOKUP(tblMaster[[#This Row],[Attendance_Date]],tblHoliday[Holiday_Date],tblHoliday[Holiday_Type],"Working Day ")</f>
        <v xml:space="preserve">Working Day </v>
      </c>
    </row>
    <row r="280" spans="1:35" hidden="1" x14ac:dyDescent="0.3">
      <c r="A280" t="s">
        <v>466</v>
      </c>
      <c r="B280" s="3">
        <v>45710</v>
      </c>
      <c r="C280" t="s">
        <v>95</v>
      </c>
      <c r="D280" t="s">
        <v>50</v>
      </c>
      <c r="E280" t="s">
        <v>38</v>
      </c>
      <c r="F280" t="s">
        <v>154</v>
      </c>
      <c r="G280" t="s">
        <v>155</v>
      </c>
      <c r="H280" t="s">
        <v>41</v>
      </c>
      <c r="I280" t="s">
        <v>42</v>
      </c>
      <c r="J280" t="s">
        <v>74</v>
      </c>
      <c r="K280" t="s">
        <v>31</v>
      </c>
      <c r="L280" s="2">
        <v>0.375</v>
      </c>
      <c r="M280" s="2">
        <v>0.75</v>
      </c>
      <c r="N280">
        <v>8</v>
      </c>
      <c r="O280">
        <v>0</v>
      </c>
      <c r="P280" t="s">
        <v>32</v>
      </c>
      <c r="R280">
        <v>5</v>
      </c>
      <c r="S280" t="s">
        <v>92</v>
      </c>
      <c r="T280" t="s">
        <v>46</v>
      </c>
      <c r="U280" t="s">
        <v>47</v>
      </c>
      <c r="V280" t="s">
        <v>60</v>
      </c>
      <c r="W280">
        <f>_xlfn.XLOOKUP(F280,tblEmployee[Employee_ID],tblEmployee[Age],"Not Found")</f>
        <v>33</v>
      </c>
      <c r="X280" t="str">
        <f>_xlfn.XLOOKUP(F280,tblEmployee[Employee_ID],tblEmployee[Gender],"Not Found")</f>
        <v>Male</v>
      </c>
      <c r="Y280">
        <f>_xlfn.XLOOKUP(F280,tblEmployee[Employee_ID],tblEmployee[Joining_Date],"")</f>
        <v>45275</v>
      </c>
      <c r="Z280">
        <f>_xlfn.XLOOKUP(H280,tblDepartment[Department],tblDepartment[Annual_Budget_INR],"")</f>
        <v>34000000</v>
      </c>
      <c r="AA280" t="str">
        <f>_xlfn.XLOOKUP(H280,tblDepartment[Department],tblDepartment[Monthly_Target],"")</f>
        <v>95% Process Efficiency</v>
      </c>
      <c r="AB280">
        <f>_xlfn.XLOOKUP(H280,tblDepartment[Department],tblDepartment[Average_Salary_INR],"")</f>
        <v>610000</v>
      </c>
      <c r="AC280" t="str">
        <f>_xlfn.XLOOKUP(H280,tblDepartment[Department],tblDepartment[Priority_Level],"")</f>
        <v>High</v>
      </c>
      <c r="AD280" t="str">
        <f>_xlfn.XLOOKUP(H280,tblDepartment[Department],tblDepartment[Key_KPI],"")</f>
        <v>Operational Efficiency</v>
      </c>
      <c r="AE280">
        <f>_xlfn.XLOOKUP(tblMaster[[#This Row],[Shift]],tblShift[Shift_Name],tblShift[Login_Time],"")</f>
        <v>0.25</v>
      </c>
      <c r="AF280">
        <f>_xlfn.XLOOKUP(tblMaster[[#This Row],[Shift]],tblShift[Shift_Name],tblShift[Logout_Time]," ")</f>
        <v>0.625</v>
      </c>
      <c r="AG280">
        <f>_xlfn.XLOOKUP(tblMaster[[#This Row],[Shift]],tblShift[Shift_Name],tblShift[Standard_Working_Hours],"")</f>
        <v>8</v>
      </c>
      <c r="AH280" t="str">
        <f>_xlfn.XLOOKUP(tblMaster[[#This Row],[Attendance_Date]],tblHoliday[Holiday_Date],tblHoliday[Holiday_Name],"Working Day")</f>
        <v>Working Day</v>
      </c>
      <c r="AI280" t="str">
        <f>_xlfn.XLOOKUP(tblMaster[[#This Row],[Attendance_Date]],tblHoliday[Holiday_Date],tblHoliday[Holiday_Type],"Working Day ")</f>
        <v xml:space="preserve">Working Day </v>
      </c>
    </row>
    <row r="281" spans="1:35" hidden="1" x14ac:dyDescent="0.3">
      <c r="A281" t="s">
        <v>467</v>
      </c>
      <c r="B281" s="3">
        <v>45705</v>
      </c>
      <c r="C281" t="s">
        <v>95</v>
      </c>
      <c r="D281" t="s">
        <v>50</v>
      </c>
      <c r="E281" t="s">
        <v>109</v>
      </c>
      <c r="F281" t="s">
        <v>288</v>
      </c>
      <c r="G281" t="s">
        <v>289</v>
      </c>
      <c r="H281" t="s">
        <v>28</v>
      </c>
      <c r="I281" t="s">
        <v>29</v>
      </c>
      <c r="J281" t="s">
        <v>74</v>
      </c>
      <c r="K281" t="s">
        <v>81</v>
      </c>
      <c r="L281" s="2">
        <v>0.91666666666666663</v>
      </c>
      <c r="M281" s="2">
        <v>0.29166666666666669</v>
      </c>
      <c r="N281">
        <v>8.5</v>
      </c>
      <c r="O281">
        <v>0.5</v>
      </c>
      <c r="P281" t="s">
        <v>32</v>
      </c>
      <c r="S281" t="s">
        <v>45</v>
      </c>
      <c r="T281" t="s">
        <v>34</v>
      </c>
      <c r="U281" t="s">
        <v>85</v>
      </c>
      <c r="V281" t="s">
        <v>35</v>
      </c>
      <c r="W281">
        <f>_xlfn.XLOOKUP(F281,tblEmployee[Employee_ID],tblEmployee[Age],"Not Found")</f>
        <v>29</v>
      </c>
      <c r="X281" t="str">
        <f>_xlfn.XLOOKUP(F281,tblEmployee[Employee_ID],tblEmployee[Gender],"Not Found")</f>
        <v>Male</v>
      </c>
      <c r="Y281">
        <f>_xlfn.XLOOKUP(F281,tblEmployee[Employee_ID],tblEmployee[Joining_Date],"")</f>
        <v>43327</v>
      </c>
      <c r="Z281">
        <f>_xlfn.XLOOKUP(H281,tblDepartment[Department],tblDepartment[Annual_Budget_INR],"")</f>
        <v>24000000</v>
      </c>
      <c r="AA281" t="str">
        <f>_xlfn.XLOOKUP(H281,tblDepartment[Department],tblDepartment[Monthly_Target],"")</f>
        <v>90% Customer Satisfaction</v>
      </c>
      <c r="AB281">
        <f>_xlfn.XLOOKUP(H281,tblDepartment[Department],tblDepartment[Average_Salary_INR],"")</f>
        <v>520000</v>
      </c>
      <c r="AC281" t="str">
        <f>_xlfn.XLOOKUP(H281,tblDepartment[Department],tblDepartment[Priority_Level],"")</f>
        <v>High</v>
      </c>
      <c r="AD281" t="str">
        <f>_xlfn.XLOOKUP(H281,tblDepartment[Department],tblDepartment[Key_KPI],"")</f>
        <v>Customer Satisfaction</v>
      </c>
      <c r="AE281">
        <f>_xlfn.XLOOKUP(tblMaster[[#This Row],[Shift]],tblShift[Shift_Name],tblShift[Login_Time],"")</f>
        <v>0.91666666666666663</v>
      </c>
      <c r="AF281">
        <f>_xlfn.XLOOKUP(tblMaster[[#This Row],[Shift]],tblShift[Shift_Name],tblShift[Logout_Time]," ")</f>
        <v>0.29166666666666669</v>
      </c>
      <c r="AG281">
        <f>_xlfn.XLOOKUP(tblMaster[[#This Row],[Shift]],tblShift[Shift_Name],tblShift[Standard_Working_Hours],"")</f>
        <v>8</v>
      </c>
      <c r="AH281" t="str">
        <f>_xlfn.XLOOKUP(tblMaster[[#This Row],[Attendance_Date]],tblHoliday[Holiday_Date],tblHoliday[Holiday_Name],"Working Day")</f>
        <v>Working Day</v>
      </c>
      <c r="AI281" t="str">
        <f>_xlfn.XLOOKUP(tblMaster[[#This Row],[Attendance_Date]],tblHoliday[Holiday_Date],tblHoliday[Holiday_Type],"Working Day ")</f>
        <v xml:space="preserve">Working Day </v>
      </c>
    </row>
    <row r="282" spans="1:35" x14ac:dyDescent="0.3">
      <c r="A282" t="s">
        <v>468</v>
      </c>
      <c r="B282" s="3">
        <v>45718</v>
      </c>
      <c r="C282" t="s">
        <v>71</v>
      </c>
      <c r="D282" t="s">
        <v>50</v>
      </c>
      <c r="E282" t="s">
        <v>103</v>
      </c>
      <c r="F282" t="s">
        <v>228</v>
      </c>
      <c r="G282" t="s">
        <v>229</v>
      </c>
      <c r="H282" t="s">
        <v>79</v>
      </c>
      <c r="I282" t="s">
        <v>80</v>
      </c>
      <c r="J282" t="s">
        <v>43</v>
      </c>
      <c r="K282" t="s">
        <v>75</v>
      </c>
      <c r="L282" s="2">
        <v>0.375</v>
      </c>
      <c r="M282" s="2">
        <v>0.75</v>
      </c>
      <c r="N282">
        <v>8</v>
      </c>
      <c r="O282">
        <v>0</v>
      </c>
      <c r="P282" t="s">
        <v>32</v>
      </c>
      <c r="R282">
        <v>4</v>
      </c>
      <c r="S282" t="s">
        <v>45</v>
      </c>
      <c r="T282" t="s">
        <v>84</v>
      </c>
      <c r="U282" t="str">
        <f>_xlfn.XLOOKUP(tblMaster[[#This Row],[Employee_ID]],tblEmployee[Employee_ID],tblEmployee[Work_Mode]," ")</f>
        <v>Hybrid</v>
      </c>
      <c r="V282" t="s">
        <v>69</v>
      </c>
      <c r="W282">
        <f>_xlfn.XLOOKUP(F282,tblEmployee[Employee_ID],tblEmployee[Age],"Not Found")</f>
        <v>29</v>
      </c>
      <c r="X282" t="str">
        <f>_xlfn.XLOOKUP(F282,tblEmployee[Employee_ID],tblEmployee[Gender],"Not Found")</f>
        <v>Female</v>
      </c>
      <c r="Y282">
        <f>_xlfn.XLOOKUP(F282,tblEmployee[Employee_ID],tblEmployee[Joining_Date],"")</f>
        <v>44607</v>
      </c>
      <c r="Z282">
        <f>_xlfn.XLOOKUP(H282,tblDepartment[Department],tblDepartment[Annual_Budget_INR],"")</f>
        <v>26000000</v>
      </c>
      <c r="AA282" t="str">
        <f>_xlfn.XLOOKUP(H282,tblDepartment[Department],tblDepartment[Monthly_Target],"")</f>
        <v>100% Payroll Accuracy</v>
      </c>
      <c r="AB282">
        <f>_xlfn.XLOOKUP(H282,tblDepartment[Department],tblDepartment[Average_Salary_INR],"")</f>
        <v>640000</v>
      </c>
      <c r="AC282" t="str">
        <f>_xlfn.XLOOKUP(H282,tblDepartment[Department],tblDepartment[Priority_Level],"")</f>
        <v>High</v>
      </c>
      <c r="AD282" t="str">
        <f>_xlfn.XLOOKUP(H282,tblDepartment[Department],tblDepartment[Key_KPI],"")</f>
        <v>Financial Compliance</v>
      </c>
      <c r="AE282">
        <f>_xlfn.XLOOKUP(tblMaster[[#This Row],[Shift]],tblShift[Shift_Name],tblShift[Login_Time],"")</f>
        <v>0.375</v>
      </c>
      <c r="AF282">
        <f>_xlfn.XLOOKUP(tblMaster[[#This Row],[Shift]],tblShift[Shift_Name],tblShift[Logout_Time]," ")</f>
        <v>0.75</v>
      </c>
      <c r="AG282">
        <f>_xlfn.XLOOKUP(tblMaster[[#This Row],[Shift]],tblShift[Shift_Name],tblShift[Standard_Working_Hours],"")</f>
        <v>8</v>
      </c>
      <c r="AH282" t="str">
        <f>_xlfn.XLOOKUP(tblMaster[[#This Row],[Attendance_Date]],tblHoliday[Holiday_Date],tblHoliday[Holiday_Name],"Working Day")</f>
        <v>Working Day</v>
      </c>
      <c r="AI282" t="str">
        <f>_xlfn.XLOOKUP(tblMaster[[#This Row],[Attendance_Date]],tblHoliday[Holiday_Date],tblHoliday[Holiday_Type],"Working Day ")</f>
        <v xml:space="preserve">Working Day </v>
      </c>
    </row>
    <row r="283" spans="1:35" hidden="1" x14ac:dyDescent="0.3">
      <c r="A283" t="s">
        <v>469</v>
      </c>
      <c r="B283" s="3">
        <v>45791</v>
      </c>
      <c r="C283" t="s">
        <v>57</v>
      </c>
      <c r="D283" t="s">
        <v>24</v>
      </c>
      <c r="E283" t="s">
        <v>51</v>
      </c>
      <c r="F283" t="s">
        <v>52</v>
      </c>
      <c r="G283" t="s">
        <v>53</v>
      </c>
      <c r="H283" t="s">
        <v>41</v>
      </c>
      <c r="I283" t="s">
        <v>42</v>
      </c>
      <c r="J283" t="s">
        <v>43</v>
      </c>
      <c r="K283" t="s">
        <v>44</v>
      </c>
      <c r="L283" s="2">
        <v>0.375</v>
      </c>
      <c r="M283" s="2">
        <v>0.75</v>
      </c>
      <c r="N283">
        <v>8</v>
      </c>
      <c r="O283">
        <v>0</v>
      </c>
      <c r="P283" t="s">
        <v>32</v>
      </c>
      <c r="R283">
        <v>5</v>
      </c>
      <c r="S283" t="s">
        <v>33</v>
      </c>
      <c r="T283" t="s">
        <v>46</v>
      </c>
      <c r="U283" t="s">
        <v>55</v>
      </c>
      <c r="V283" t="s">
        <v>69</v>
      </c>
      <c r="W283">
        <f>_xlfn.XLOOKUP(F283,tblEmployee[Employee_ID],tblEmployee[Age],"Not Found")</f>
        <v>27</v>
      </c>
      <c r="X283" t="str">
        <f>_xlfn.XLOOKUP(F283,tblEmployee[Employee_ID],tblEmployee[Gender],"Not Found")</f>
        <v>Male</v>
      </c>
      <c r="Y283">
        <f>_xlfn.XLOOKUP(F283,tblEmployee[Employee_ID],tblEmployee[Joining_Date],"")</f>
        <v>45092</v>
      </c>
      <c r="Z283">
        <f>_xlfn.XLOOKUP(H283,tblDepartment[Department],tblDepartment[Annual_Budget_INR],"")</f>
        <v>34000000</v>
      </c>
      <c r="AA283" t="str">
        <f>_xlfn.XLOOKUP(H283,tblDepartment[Department],tblDepartment[Monthly_Target],"")</f>
        <v>95% Process Efficiency</v>
      </c>
      <c r="AB283">
        <f>_xlfn.XLOOKUP(H283,tblDepartment[Department],tblDepartment[Average_Salary_INR],"")</f>
        <v>610000</v>
      </c>
      <c r="AC283" t="str">
        <f>_xlfn.XLOOKUP(H283,tblDepartment[Department],tblDepartment[Priority_Level],"")</f>
        <v>High</v>
      </c>
      <c r="AD283" t="str">
        <f>_xlfn.XLOOKUP(H283,tblDepartment[Department],tblDepartment[Key_KPI],"")</f>
        <v>Operational Efficiency</v>
      </c>
      <c r="AE283">
        <f>_xlfn.XLOOKUP(tblMaster[[#This Row],[Shift]],tblShift[Shift_Name],tblShift[Login_Time],"")</f>
        <v>0.41666666666666669</v>
      </c>
      <c r="AF283">
        <f>_xlfn.XLOOKUP(tblMaster[[#This Row],[Shift]],tblShift[Shift_Name],tblShift[Logout_Time]," ")</f>
        <v>0.79166666666666663</v>
      </c>
      <c r="AG283">
        <f>_xlfn.XLOOKUP(tblMaster[[#This Row],[Shift]],tblShift[Shift_Name],tblShift[Standard_Working_Hours],"")</f>
        <v>8</v>
      </c>
      <c r="AH283" t="str">
        <f>_xlfn.XLOOKUP(tblMaster[[#This Row],[Attendance_Date]],tblHoliday[Holiday_Date],tblHoliday[Holiday_Name],"Working Day")</f>
        <v>Working Day</v>
      </c>
      <c r="AI283" t="str">
        <f>_xlfn.XLOOKUP(tblMaster[[#This Row],[Attendance_Date]],tblHoliday[Holiday_Date],tblHoliday[Holiday_Type],"Working Day ")</f>
        <v xml:space="preserve">Working Day </v>
      </c>
    </row>
    <row r="284" spans="1:35" x14ac:dyDescent="0.3">
      <c r="A284" t="s">
        <v>470</v>
      </c>
      <c r="B284" s="3">
        <v>45774</v>
      </c>
      <c r="C284" t="s">
        <v>37</v>
      </c>
      <c r="D284" t="s">
        <v>24</v>
      </c>
      <c r="E284" t="s">
        <v>103</v>
      </c>
      <c r="F284" t="s">
        <v>154</v>
      </c>
      <c r="G284" t="s">
        <v>155</v>
      </c>
      <c r="H284" t="s">
        <v>41</v>
      </c>
      <c r="I284" t="s">
        <v>42</v>
      </c>
      <c r="J284" t="s">
        <v>74</v>
      </c>
      <c r="K284" t="s">
        <v>75</v>
      </c>
      <c r="L284" s="2">
        <v>0.375</v>
      </c>
      <c r="M284" s="2">
        <v>0.75</v>
      </c>
      <c r="N284">
        <v>8</v>
      </c>
      <c r="O284">
        <v>0</v>
      </c>
      <c r="P284" t="s">
        <v>32</v>
      </c>
      <c r="S284" t="s">
        <v>33</v>
      </c>
      <c r="T284" t="s">
        <v>46</v>
      </c>
      <c r="U284" t="str">
        <f>_xlfn.XLOOKUP(tblMaster[[#This Row],[Employee_ID]],tblEmployee[Employee_ID],tblEmployee[Work_Mode]," ")</f>
        <v>Remote</v>
      </c>
      <c r="V284" t="s">
        <v>35</v>
      </c>
      <c r="W284">
        <f>_xlfn.XLOOKUP(F284,tblEmployee[Employee_ID],tblEmployee[Age],"Not Found")</f>
        <v>33</v>
      </c>
      <c r="X284" t="str">
        <f>_xlfn.XLOOKUP(F284,tblEmployee[Employee_ID],tblEmployee[Gender],"Not Found")</f>
        <v>Male</v>
      </c>
      <c r="Y284">
        <f>_xlfn.XLOOKUP(F284,tblEmployee[Employee_ID],tblEmployee[Joining_Date],"")</f>
        <v>45275</v>
      </c>
      <c r="Z284">
        <f>_xlfn.XLOOKUP(H284,tblDepartment[Department],tblDepartment[Annual_Budget_INR],"")</f>
        <v>34000000</v>
      </c>
      <c r="AA284" t="str">
        <f>_xlfn.XLOOKUP(H284,tblDepartment[Department],tblDepartment[Monthly_Target],"")</f>
        <v>95% Process Efficiency</v>
      </c>
      <c r="AB284">
        <f>_xlfn.XLOOKUP(H284,tblDepartment[Department],tblDepartment[Average_Salary_INR],"")</f>
        <v>610000</v>
      </c>
      <c r="AC284" t="str">
        <f>_xlfn.XLOOKUP(H284,tblDepartment[Department],tblDepartment[Priority_Level],"")</f>
        <v>High</v>
      </c>
      <c r="AD284" t="str">
        <f>_xlfn.XLOOKUP(H284,tblDepartment[Department],tblDepartment[Key_KPI],"")</f>
        <v>Operational Efficiency</v>
      </c>
      <c r="AE284">
        <f>_xlfn.XLOOKUP(tblMaster[[#This Row],[Shift]],tblShift[Shift_Name],tblShift[Login_Time],"")</f>
        <v>0.375</v>
      </c>
      <c r="AF284">
        <f>_xlfn.XLOOKUP(tblMaster[[#This Row],[Shift]],tblShift[Shift_Name],tblShift[Logout_Time]," ")</f>
        <v>0.75</v>
      </c>
      <c r="AG284">
        <f>_xlfn.XLOOKUP(tblMaster[[#This Row],[Shift]],tblShift[Shift_Name],tblShift[Standard_Working_Hours],"")</f>
        <v>8</v>
      </c>
      <c r="AH284" t="str">
        <f>_xlfn.XLOOKUP(tblMaster[[#This Row],[Attendance_Date]],tblHoliday[Holiday_Date],tblHoliday[Holiday_Name],"Working Day")</f>
        <v>Working Day</v>
      </c>
      <c r="AI284" t="str">
        <f>_xlfn.XLOOKUP(tblMaster[[#This Row],[Attendance_Date]],tblHoliday[Holiday_Date],tblHoliday[Holiday_Type],"Working Day ")</f>
        <v xml:space="preserve">Working Day </v>
      </c>
    </row>
    <row r="285" spans="1:35" x14ac:dyDescent="0.3">
      <c r="A285" t="s">
        <v>471</v>
      </c>
      <c r="B285" s="3">
        <v>45820</v>
      </c>
      <c r="C285" t="s">
        <v>23</v>
      </c>
      <c r="D285" t="s">
        <v>24</v>
      </c>
      <c r="E285" t="s">
        <v>25</v>
      </c>
      <c r="F285" t="s">
        <v>354</v>
      </c>
      <c r="G285" t="s">
        <v>355</v>
      </c>
      <c r="H285" t="s">
        <v>28</v>
      </c>
      <c r="I285" t="s">
        <v>29</v>
      </c>
      <c r="J285" t="s">
        <v>100</v>
      </c>
      <c r="K285" t="s">
        <v>44</v>
      </c>
      <c r="L285" s="2">
        <v>0.375</v>
      </c>
      <c r="M285" s="2">
        <v>0.75</v>
      </c>
      <c r="N285">
        <v>8</v>
      </c>
      <c r="O285">
        <v>0</v>
      </c>
      <c r="P285" t="s">
        <v>32</v>
      </c>
      <c r="R285">
        <v>4</v>
      </c>
      <c r="S285" t="s">
        <v>92</v>
      </c>
      <c r="T285" t="s">
        <v>34</v>
      </c>
      <c r="U285" t="str">
        <f>_xlfn.XLOOKUP(tblMaster[[#This Row],[Employee_ID]],tblEmployee[Employee_ID],tblEmployee[Work_Mode]," ")</f>
        <v>Hybrid</v>
      </c>
      <c r="V285" t="s">
        <v>69</v>
      </c>
      <c r="W285">
        <f>_xlfn.XLOOKUP(F285,tblEmployee[Employee_ID],tblEmployee[Age],"Not Found")</f>
        <v>32</v>
      </c>
      <c r="X285" t="str">
        <f>_xlfn.XLOOKUP(F285,tblEmployee[Employee_ID],tblEmployee[Gender],"Not Found")</f>
        <v>Female</v>
      </c>
      <c r="Y285">
        <f>_xlfn.XLOOKUP(F285,tblEmployee[Employee_ID],tblEmployee[Joining_Date],"")</f>
        <v>43235</v>
      </c>
      <c r="Z285">
        <f>_xlfn.XLOOKUP(H285,tblDepartment[Department],tblDepartment[Annual_Budget_INR],"")</f>
        <v>24000000</v>
      </c>
      <c r="AA285" t="str">
        <f>_xlfn.XLOOKUP(H285,tblDepartment[Department],tblDepartment[Monthly_Target],"")</f>
        <v>90% Customer Satisfaction</v>
      </c>
      <c r="AB285">
        <f>_xlfn.XLOOKUP(H285,tblDepartment[Department],tblDepartment[Average_Salary_INR],"")</f>
        <v>520000</v>
      </c>
      <c r="AC285" t="str">
        <f>_xlfn.XLOOKUP(H285,tblDepartment[Department],tblDepartment[Priority_Level],"")</f>
        <v>High</v>
      </c>
      <c r="AD285" t="str">
        <f>_xlfn.XLOOKUP(H285,tblDepartment[Department],tblDepartment[Key_KPI],"")</f>
        <v>Customer Satisfaction</v>
      </c>
      <c r="AE285">
        <f>_xlfn.XLOOKUP(tblMaster[[#This Row],[Shift]],tblShift[Shift_Name],tblShift[Login_Time],"")</f>
        <v>0.41666666666666669</v>
      </c>
      <c r="AF285">
        <f>_xlfn.XLOOKUP(tblMaster[[#This Row],[Shift]],tblShift[Shift_Name],tblShift[Logout_Time]," ")</f>
        <v>0.79166666666666663</v>
      </c>
      <c r="AG285">
        <f>_xlfn.XLOOKUP(tblMaster[[#This Row],[Shift]],tblShift[Shift_Name],tblShift[Standard_Working_Hours],"")</f>
        <v>8</v>
      </c>
      <c r="AH285" t="str">
        <f>_xlfn.XLOOKUP(tblMaster[[#This Row],[Attendance_Date]],tblHoliday[Holiday_Date],tblHoliday[Holiday_Name],"Working Day")</f>
        <v>Working Day</v>
      </c>
      <c r="AI285" t="str">
        <f>_xlfn.XLOOKUP(tblMaster[[#This Row],[Attendance_Date]],tblHoliday[Holiday_Date],tblHoliday[Holiday_Type],"Working Day ")</f>
        <v xml:space="preserve">Working Day </v>
      </c>
    </row>
    <row r="286" spans="1:35" hidden="1" x14ac:dyDescent="0.3">
      <c r="A286" t="s">
        <v>472</v>
      </c>
      <c r="B286" s="1">
        <v>45668</v>
      </c>
      <c r="C286" t="s">
        <v>49</v>
      </c>
      <c r="D286" t="s">
        <v>50</v>
      </c>
      <c r="E286" t="s">
        <v>38</v>
      </c>
      <c r="F286" t="s">
        <v>110</v>
      </c>
      <c r="G286" t="s">
        <v>111</v>
      </c>
      <c r="H286" t="s">
        <v>112</v>
      </c>
      <c r="I286" t="s">
        <v>113</v>
      </c>
      <c r="J286" t="s">
        <v>43</v>
      </c>
      <c r="K286" t="s">
        <v>44</v>
      </c>
      <c r="L286" s="2">
        <v>0.38194444444444442</v>
      </c>
      <c r="M286" s="2">
        <v>0.75</v>
      </c>
      <c r="N286">
        <v>8</v>
      </c>
      <c r="O286">
        <v>0</v>
      </c>
      <c r="P286" t="s">
        <v>32</v>
      </c>
      <c r="R286">
        <v>4</v>
      </c>
      <c r="S286" t="s">
        <v>67</v>
      </c>
      <c r="T286" t="s">
        <v>114</v>
      </c>
      <c r="U286" t="s">
        <v>55</v>
      </c>
      <c r="V286" t="s">
        <v>69</v>
      </c>
      <c r="W286">
        <f>_xlfn.XLOOKUP(F286,tblEmployee[Employee_ID],tblEmployee[Age],"Not Found")</f>
        <v>32</v>
      </c>
      <c r="X286" t="str">
        <f>_xlfn.XLOOKUP(F286,tblEmployee[Employee_ID],tblEmployee[Gender],"Not Found")</f>
        <v>Female</v>
      </c>
      <c r="Y286">
        <f>_xlfn.XLOOKUP(F286,tblEmployee[Employee_ID],tblEmployee[Joining_Date],"")</f>
        <v>44515</v>
      </c>
      <c r="Z286">
        <f>_xlfn.XLOOKUP(H286,tblDepartment[Department],tblDepartment[Annual_Budget_INR],"")</f>
        <v>42000000</v>
      </c>
      <c r="AA286" t="str">
        <f>_xlfn.XLOOKUP(H286,tblDepartment[Department],tblDepartment[Monthly_Target],"")</f>
        <v>₹2.5 Cr Monthly Sales</v>
      </c>
      <c r="AB286">
        <f>_xlfn.XLOOKUP(H286,tblDepartment[Department],tblDepartment[Average_Salary_INR],"")</f>
        <v>680000</v>
      </c>
      <c r="AC286" t="str">
        <f>_xlfn.XLOOKUP(H286,tblDepartment[Department],tblDepartment[Priority_Level],"")</f>
        <v>High</v>
      </c>
      <c r="AD286" t="str">
        <f>_xlfn.XLOOKUP(H286,tblDepartment[Department],tblDepartment[Key_KPI],"")</f>
        <v>Revenue Achievement</v>
      </c>
      <c r="AE286">
        <f>_xlfn.XLOOKUP(tblMaster[[#This Row],[Shift]],tblShift[Shift_Name],tblShift[Login_Time],"")</f>
        <v>0.41666666666666669</v>
      </c>
      <c r="AF286">
        <f>_xlfn.XLOOKUP(tblMaster[[#This Row],[Shift]],tblShift[Shift_Name],tblShift[Logout_Time]," ")</f>
        <v>0.79166666666666663</v>
      </c>
      <c r="AG286">
        <f>_xlfn.XLOOKUP(tblMaster[[#This Row],[Shift]],tblShift[Shift_Name],tblShift[Standard_Working_Hours],"")</f>
        <v>8</v>
      </c>
      <c r="AH286" t="str">
        <f>_xlfn.XLOOKUP(tblMaster[[#This Row],[Attendance_Date]],tblHoliday[Holiday_Date],tblHoliday[Holiday_Name],"Working Day")</f>
        <v>Working Day</v>
      </c>
      <c r="AI286" t="str">
        <f>_xlfn.XLOOKUP(tblMaster[[#This Row],[Attendance_Date]],tblHoliday[Holiday_Date],tblHoliday[Holiday_Type],"Working Day ")</f>
        <v xml:space="preserve">Working Day </v>
      </c>
    </row>
    <row r="287" spans="1:35" hidden="1" x14ac:dyDescent="0.3">
      <c r="A287" t="s">
        <v>473</v>
      </c>
      <c r="B287" s="3">
        <v>45743</v>
      </c>
      <c r="C287" t="s">
        <v>71</v>
      </c>
      <c r="D287" t="s">
        <v>50</v>
      </c>
      <c r="E287" t="s">
        <v>25</v>
      </c>
      <c r="F287" t="s">
        <v>266</v>
      </c>
      <c r="G287" t="s">
        <v>267</v>
      </c>
      <c r="H287" t="s">
        <v>98</v>
      </c>
      <c r="I287" t="s">
        <v>99</v>
      </c>
      <c r="J287" t="s">
        <v>66</v>
      </c>
      <c r="K287" t="s">
        <v>75</v>
      </c>
      <c r="P287" t="s">
        <v>135</v>
      </c>
      <c r="S287" t="s">
        <v>33</v>
      </c>
      <c r="T287" t="s">
        <v>101</v>
      </c>
      <c r="U287" t="s">
        <v>47</v>
      </c>
      <c r="V287" t="s">
        <v>60</v>
      </c>
      <c r="W287">
        <f>_xlfn.XLOOKUP(F287,tblEmployee[Employee_ID],tblEmployee[Age],"Not Found")</f>
        <v>28</v>
      </c>
      <c r="X287" t="str">
        <f>_xlfn.XLOOKUP(F287,tblEmployee[Employee_ID],tblEmployee[Gender],"Not Found")</f>
        <v>Female</v>
      </c>
      <c r="Y287">
        <f>_xlfn.XLOOKUP(F287,tblEmployee[Employee_ID],tblEmployee[Joining_Date],"")</f>
        <v>45488</v>
      </c>
      <c r="Z287">
        <f>_xlfn.XLOOKUP(H287,tblDepartment[Department],tblDepartment[Annual_Budget_INR],"")</f>
        <v>22000000</v>
      </c>
      <c r="AA287" t="str">
        <f>_xlfn.XLOOKUP(H287,tblDepartment[Department],tblDepartment[Monthly_Target],"")</f>
        <v>2500 Qualified Leads</v>
      </c>
      <c r="AB287">
        <f>_xlfn.XLOOKUP(H287,tblDepartment[Department],tblDepartment[Average_Salary_INR],"")</f>
        <v>590000</v>
      </c>
      <c r="AC287" t="str">
        <f>_xlfn.XLOOKUP(H287,tblDepartment[Department],tblDepartment[Priority_Level],"")</f>
        <v>Medium</v>
      </c>
      <c r="AD287" t="str">
        <f>_xlfn.XLOOKUP(H287,tblDepartment[Department],tblDepartment[Key_KPI],"")</f>
        <v>Lead Generation</v>
      </c>
      <c r="AE287">
        <f>_xlfn.XLOOKUP(tblMaster[[#This Row],[Shift]],tblShift[Shift_Name],tblShift[Login_Time],"")</f>
        <v>0.375</v>
      </c>
      <c r="AF287">
        <f>_xlfn.XLOOKUP(tblMaster[[#This Row],[Shift]],tblShift[Shift_Name],tblShift[Logout_Time]," ")</f>
        <v>0.75</v>
      </c>
      <c r="AG287">
        <f>_xlfn.XLOOKUP(tblMaster[[#This Row],[Shift]],tblShift[Shift_Name],tblShift[Standard_Working_Hours],"")</f>
        <v>8</v>
      </c>
      <c r="AH287" t="str">
        <f>_xlfn.XLOOKUP(tblMaster[[#This Row],[Attendance_Date]],tblHoliday[Holiday_Date],tblHoliday[Holiday_Name],"Working Day")</f>
        <v>Working Day</v>
      </c>
      <c r="AI287" t="str">
        <f>_xlfn.XLOOKUP(tblMaster[[#This Row],[Attendance_Date]],tblHoliday[Holiday_Date],tblHoliday[Holiday_Type],"Working Day ")</f>
        <v xml:space="preserve">Working Day </v>
      </c>
    </row>
    <row r="288" spans="1:35" x14ac:dyDescent="0.3">
      <c r="A288" t="s">
        <v>474</v>
      </c>
      <c r="B288" s="1">
        <v>45660</v>
      </c>
      <c r="C288" t="s">
        <v>49</v>
      </c>
      <c r="D288" t="s">
        <v>50</v>
      </c>
      <c r="E288" t="s">
        <v>119</v>
      </c>
      <c r="F288" t="s">
        <v>182</v>
      </c>
      <c r="G288" t="s">
        <v>183</v>
      </c>
      <c r="H288" t="s">
        <v>112</v>
      </c>
      <c r="I288" t="s">
        <v>113</v>
      </c>
      <c r="J288" t="s">
        <v>30</v>
      </c>
      <c r="K288" t="s">
        <v>54</v>
      </c>
      <c r="L288" s="2">
        <v>0.38194444444444442</v>
      </c>
      <c r="M288" s="2">
        <v>0.75</v>
      </c>
      <c r="N288">
        <v>8</v>
      </c>
      <c r="O288">
        <v>0</v>
      </c>
      <c r="P288" t="s">
        <v>32</v>
      </c>
      <c r="R288">
        <v>4</v>
      </c>
      <c r="S288" t="s">
        <v>45</v>
      </c>
      <c r="T288" t="s">
        <v>114</v>
      </c>
      <c r="U288" t="str">
        <f>_xlfn.XLOOKUP(tblMaster[[#This Row],[Employee_ID]],tblEmployee[Employee_ID],tblEmployee[Work_Mode]," ")</f>
        <v>Office</v>
      </c>
      <c r="V288" t="s">
        <v>35</v>
      </c>
      <c r="W288">
        <f>_xlfn.XLOOKUP(F288,tblEmployee[Employee_ID],tblEmployee[Age],"Not Found")</f>
        <v>28</v>
      </c>
      <c r="X288" t="str">
        <f>_xlfn.XLOOKUP(F288,tblEmployee[Employee_ID],tblEmployee[Gender],"Not Found")</f>
        <v>Male</v>
      </c>
      <c r="Y288">
        <f>_xlfn.XLOOKUP(F288,tblEmployee[Employee_ID],tblEmployee[Joining_Date],"")</f>
        <v>44211</v>
      </c>
      <c r="Z288">
        <f>_xlfn.XLOOKUP(H288,tblDepartment[Department],tblDepartment[Annual_Budget_INR],"")</f>
        <v>42000000</v>
      </c>
      <c r="AA288" t="str">
        <f>_xlfn.XLOOKUP(H288,tblDepartment[Department],tblDepartment[Monthly_Target],"")</f>
        <v>₹2.5 Cr Monthly Sales</v>
      </c>
      <c r="AB288">
        <f>_xlfn.XLOOKUP(H288,tblDepartment[Department],tblDepartment[Average_Salary_INR],"")</f>
        <v>680000</v>
      </c>
      <c r="AC288" t="str">
        <f>_xlfn.XLOOKUP(H288,tblDepartment[Department],tblDepartment[Priority_Level],"")</f>
        <v>High</v>
      </c>
      <c r="AD288" t="str">
        <f>_xlfn.XLOOKUP(H288,tblDepartment[Department],tblDepartment[Key_KPI],"")</f>
        <v>Revenue Achievement</v>
      </c>
      <c r="AE288">
        <f>_xlfn.XLOOKUP(tblMaster[[#This Row],[Shift]],tblShift[Shift_Name],tblShift[Login_Time],"")</f>
        <v>0.58333333333333337</v>
      </c>
      <c r="AF288">
        <f>_xlfn.XLOOKUP(tblMaster[[#This Row],[Shift]],tblShift[Shift_Name],tblShift[Logout_Time]," ")</f>
        <v>0.95833333333333337</v>
      </c>
      <c r="AG288">
        <f>_xlfn.XLOOKUP(tblMaster[[#This Row],[Shift]],tblShift[Shift_Name],tblShift[Standard_Working_Hours],"")</f>
        <v>8</v>
      </c>
      <c r="AH288" t="str">
        <f>_xlfn.XLOOKUP(tblMaster[[#This Row],[Attendance_Date]],tblHoliday[Holiday_Date],tblHoliday[Holiday_Name],"Working Day")</f>
        <v>Working Day</v>
      </c>
      <c r="AI288" t="str">
        <f>_xlfn.XLOOKUP(tblMaster[[#This Row],[Attendance_Date]],tblHoliday[Holiday_Date],tblHoliday[Holiday_Type],"Working Day ")</f>
        <v xml:space="preserve">Working Day </v>
      </c>
    </row>
    <row r="289" spans="1:35" hidden="1" x14ac:dyDescent="0.3">
      <c r="A289" t="s">
        <v>475</v>
      </c>
      <c r="B289" s="3">
        <v>45791</v>
      </c>
      <c r="C289" t="s">
        <v>57</v>
      </c>
      <c r="D289" t="s">
        <v>24</v>
      </c>
      <c r="E289" t="s">
        <v>51</v>
      </c>
      <c r="F289" t="s">
        <v>204</v>
      </c>
      <c r="G289" t="s">
        <v>205</v>
      </c>
      <c r="H289" t="s">
        <v>90</v>
      </c>
      <c r="I289" t="s">
        <v>91</v>
      </c>
      <c r="J289" t="s">
        <v>74</v>
      </c>
      <c r="K289" t="s">
        <v>75</v>
      </c>
      <c r="L289" s="2">
        <v>0.375</v>
      </c>
      <c r="M289" s="2">
        <v>0.75</v>
      </c>
      <c r="N289">
        <v>8</v>
      </c>
      <c r="O289">
        <v>0</v>
      </c>
      <c r="P289" t="s">
        <v>32</v>
      </c>
      <c r="R289">
        <v>5</v>
      </c>
      <c r="S289" t="s">
        <v>33</v>
      </c>
      <c r="T289" t="s">
        <v>93</v>
      </c>
      <c r="U289" t="s">
        <v>55</v>
      </c>
      <c r="V289" t="s">
        <v>60</v>
      </c>
      <c r="W289">
        <f>_xlfn.XLOOKUP(F289,tblEmployee[Employee_ID],tblEmployee[Age],"Not Found")</f>
        <v>24</v>
      </c>
      <c r="X289" t="str">
        <f>_xlfn.XLOOKUP(F289,tblEmployee[Employee_ID],tblEmployee[Gender],"Not Found")</f>
        <v>Female</v>
      </c>
      <c r="Y289">
        <f>_xlfn.XLOOKUP(F289,tblEmployee[Employee_ID],tblEmployee[Joining_Date],"")</f>
        <v>43905</v>
      </c>
      <c r="Z289">
        <f>_xlfn.XLOOKUP(H289,tblDepartment[Department],tblDepartment[Annual_Budget_INR],"")</f>
        <v>18000000</v>
      </c>
      <c r="AA289" t="str">
        <f>_xlfn.XLOOKUP(H289,tblDepartment[Department],tblDepartment[Monthly_Target],"")</f>
        <v>&lt;30 Days Hiring Cycle</v>
      </c>
      <c r="AB289">
        <f>_xlfn.XLOOKUP(H289,tblDepartment[Department],tblDepartment[Average_Salary_INR],"")</f>
        <v>560000</v>
      </c>
      <c r="AC289" t="str">
        <f>_xlfn.XLOOKUP(H289,tblDepartment[Department],tblDepartment[Priority_Level],"")</f>
        <v>Medium</v>
      </c>
      <c r="AD289" t="str">
        <f>_xlfn.XLOOKUP(H289,tblDepartment[Department],tblDepartment[Key_KPI],"")</f>
        <v>Hiring &amp; Retention</v>
      </c>
      <c r="AE289">
        <f>_xlfn.XLOOKUP(tblMaster[[#This Row],[Shift]],tblShift[Shift_Name],tblShift[Login_Time],"")</f>
        <v>0.375</v>
      </c>
      <c r="AF289">
        <f>_xlfn.XLOOKUP(tblMaster[[#This Row],[Shift]],tblShift[Shift_Name],tblShift[Logout_Time]," ")</f>
        <v>0.75</v>
      </c>
      <c r="AG289">
        <f>_xlfn.XLOOKUP(tblMaster[[#This Row],[Shift]],tblShift[Shift_Name],tblShift[Standard_Working_Hours],"")</f>
        <v>8</v>
      </c>
      <c r="AH289" t="str">
        <f>_xlfn.XLOOKUP(tblMaster[[#This Row],[Attendance_Date]],tblHoliday[Holiday_Date],tblHoliday[Holiday_Name],"Working Day")</f>
        <v>Working Day</v>
      </c>
      <c r="AI289" t="str">
        <f>_xlfn.XLOOKUP(tblMaster[[#This Row],[Attendance_Date]],tblHoliday[Holiday_Date],tblHoliday[Holiday_Type],"Working Day ")</f>
        <v xml:space="preserve">Working Day </v>
      </c>
    </row>
    <row r="290" spans="1:35" hidden="1" x14ac:dyDescent="0.3">
      <c r="A290" t="s">
        <v>476</v>
      </c>
      <c r="B290" s="3">
        <v>45832</v>
      </c>
      <c r="C290" t="s">
        <v>23</v>
      </c>
      <c r="D290" t="s">
        <v>24</v>
      </c>
      <c r="E290" t="s">
        <v>87</v>
      </c>
      <c r="F290" t="s">
        <v>124</v>
      </c>
      <c r="G290" t="s">
        <v>125</v>
      </c>
      <c r="H290" t="s">
        <v>28</v>
      </c>
      <c r="I290" t="s">
        <v>29</v>
      </c>
      <c r="J290" t="s">
        <v>66</v>
      </c>
      <c r="K290" t="s">
        <v>31</v>
      </c>
      <c r="L290" s="2">
        <v>0.375</v>
      </c>
      <c r="M290" s="2">
        <v>0.75</v>
      </c>
      <c r="N290">
        <v>8</v>
      </c>
      <c r="O290">
        <v>0</v>
      </c>
      <c r="P290" t="s">
        <v>32</v>
      </c>
      <c r="R290">
        <v>4</v>
      </c>
      <c r="S290" t="s">
        <v>92</v>
      </c>
      <c r="T290" t="s">
        <v>34</v>
      </c>
      <c r="U290" t="s">
        <v>55</v>
      </c>
      <c r="W290">
        <f>_xlfn.XLOOKUP(F290,tblEmployee[Employee_ID],tblEmployee[Age],"Not Found")</f>
        <v>25</v>
      </c>
      <c r="X290" t="str">
        <f>_xlfn.XLOOKUP(F290,tblEmployee[Employee_ID],tblEmployee[Gender],"Not Found")</f>
        <v>Male</v>
      </c>
      <c r="Y290">
        <f>_xlfn.XLOOKUP(F290,tblEmployee[Employee_ID],tblEmployee[Joining_Date],"")</f>
        <v>43388</v>
      </c>
      <c r="Z290">
        <f>_xlfn.XLOOKUP(H290,tblDepartment[Department],tblDepartment[Annual_Budget_INR],"")</f>
        <v>24000000</v>
      </c>
      <c r="AA290" t="str">
        <f>_xlfn.XLOOKUP(H290,tblDepartment[Department],tblDepartment[Monthly_Target],"")</f>
        <v>90% Customer Satisfaction</v>
      </c>
      <c r="AB290">
        <f>_xlfn.XLOOKUP(H290,tblDepartment[Department],tblDepartment[Average_Salary_INR],"")</f>
        <v>520000</v>
      </c>
      <c r="AC290" t="str">
        <f>_xlfn.XLOOKUP(H290,tblDepartment[Department],tblDepartment[Priority_Level],"")</f>
        <v>High</v>
      </c>
      <c r="AD290" t="str">
        <f>_xlfn.XLOOKUP(H290,tblDepartment[Department],tblDepartment[Key_KPI],"")</f>
        <v>Customer Satisfaction</v>
      </c>
      <c r="AE290">
        <f>_xlfn.XLOOKUP(tblMaster[[#This Row],[Shift]],tblShift[Shift_Name],tblShift[Login_Time],"")</f>
        <v>0.25</v>
      </c>
      <c r="AF290">
        <f>_xlfn.XLOOKUP(tblMaster[[#This Row],[Shift]],tblShift[Shift_Name],tblShift[Logout_Time]," ")</f>
        <v>0.625</v>
      </c>
      <c r="AG290">
        <f>_xlfn.XLOOKUP(tblMaster[[#This Row],[Shift]],tblShift[Shift_Name],tblShift[Standard_Working_Hours],"")</f>
        <v>8</v>
      </c>
      <c r="AH290" t="str">
        <f>_xlfn.XLOOKUP(tblMaster[[#This Row],[Attendance_Date]],tblHoliday[Holiday_Date],tblHoliday[Holiday_Name],"Working Day")</f>
        <v>Working Day</v>
      </c>
      <c r="AI290" t="str">
        <f>_xlfn.XLOOKUP(tblMaster[[#This Row],[Attendance_Date]],tblHoliday[Holiday_Date],tblHoliday[Holiday_Type],"Working Day ")</f>
        <v xml:space="preserve">Working Day </v>
      </c>
    </row>
    <row r="291" spans="1:35" hidden="1" x14ac:dyDescent="0.3">
      <c r="A291" t="s">
        <v>477</v>
      </c>
      <c r="B291" s="3">
        <v>45732</v>
      </c>
      <c r="C291" t="s">
        <v>71</v>
      </c>
      <c r="D291" t="s">
        <v>50</v>
      </c>
      <c r="E291" t="s">
        <v>103</v>
      </c>
      <c r="F291" t="s">
        <v>266</v>
      </c>
      <c r="G291" t="s">
        <v>267</v>
      </c>
      <c r="H291" t="s">
        <v>98</v>
      </c>
      <c r="I291" t="s">
        <v>99</v>
      </c>
      <c r="J291" t="s">
        <v>66</v>
      </c>
      <c r="K291" t="s">
        <v>44</v>
      </c>
      <c r="L291" s="2">
        <v>0.375</v>
      </c>
      <c r="M291" s="2">
        <v>0.75</v>
      </c>
      <c r="N291">
        <v>8</v>
      </c>
      <c r="O291">
        <v>0</v>
      </c>
      <c r="P291" t="s">
        <v>32</v>
      </c>
      <c r="R291">
        <v>4</v>
      </c>
      <c r="S291" t="s">
        <v>33</v>
      </c>
      <c r="T291" t="s">
        <v>101</v>
      </c>
      <c r="U291" t="s">
        <v>55</v>
      </c>
      <c r="V291" t="s">
        <v>60</v>
      </c>
      <c r="W291">
        <f>_xlfn.XLOOKUP(F291,tblEmployee[Employee_ID],tblEmployee[Age],"Not Found")</f>
        <v>28</v>
      </c>
      <c r="X291" t="str">
        <f>_xlfn.XLOOKUP(F291,tblEmployee[Employee_ID],tblEmployee[Gender],"Not Found")</f>
        <v>Female</v>
      </c>
      <c r="Y291">
        <f>_xlfn.XLOOKUP(F291,tblEmployee[Employee_ID],tblEmployee[Joining_Date],"")</f>
        <v>45488</v>
      </c>
      <c r="Z291">
        <f>_xlfn.XLOOKUP(H291,tblDepartment[Department],tblDepartment[Annual_Budget_INR],"")</f>
        <v>22000000</v>
      </c>
      <c r="AA291" t="str">
        <f>_xlfn.XLOOKUP(H291,tblDepartment[Department],tblDepartment[Monthly_Target],"")</f>
        <v>2500 Qualified Leads</v>
      </c>
      <c r="AB291">
        <f>_xlfn.XLOOKUP(H291,tblDepartment[Department],tblDepartment[Average_Salary_INR],"")</f>
        <v>590000</v>
      </c>
      <c r="AC291" t="str">
        <f>_xlfn.XLOOKUP(H291,tblDepartment[Department],tblDepartment[Priority_Level],"")</f>
        <v>Medium</v>
      </c>
      <c r="AD291" t="str">
        <f>_xlfn.XLOOKUP(H291,tblDepartment[Department],tblDepartment[Key_KPI],"")</f>
        <v>Lead Generation</v>
      </c>
      <c r="AE291">
        <f>_xlfn.XLOOKUP(tblMaster[[#This Row],[Shift]],tblShift[Shift_Name],tblShift[Login_Time],"")</f>
        <v>0.41666666666666669</v>
      </c>
      <c r="AF291">
        <f>_xlfn.XLOOKUP(tblMaster[[#This Row],[Shift]],tblShift[Shift_Name],tblShift[Logout_Time]," ")</f>
        <v>0.79166666666666663</v>
      </c>
      <c r="AG291">
        <f>_xlfn.XLOOKUP(tblMaster[[#This Row],[Shift]],tblShift[Shift_Name],tblShift[Standard_Working_Hours],"")</f>
        <v>8</v>
      </c>
      <c r="AH291" t="str">
        <f>_xlfn.XLOOKUP(tblMaster[[#This Row],[Attendance_Date]],tblHoliday[Holiday_Date],tblHoliday[Holiday_Name],"Working Day")</f>
        <v>Working Day</v>
      </c>
      <c r="AI291" t="str">
        <f>_xlfn.XLOOKUP(tblMaster[[#This Row],[Attendance_Date]],tblHoliday[Holiday_Date],tblHoliday[Holiday_Type],"Working Day ")</f>
        <v xml:space="preserve">Working Day </v>
      </c>
    </row>
    <row r="292" spans="1:35" hidden="1" x14ac:dyDescent="0.3">
      <c r="A292" t="s">
        <v>478</v>
      </c>
      <c r="B292" s="3">
        <v>45696</v>
      </c>
      <c r="C292" t="s">
        <v>95</v>
      </c>
      <c r="D292" t="s">
        <v>50</v>
      </c>
      <c r="E292" t="s">
        <v>38</v>
      </c>
      <c r="F292" t="s">
        <v>258</v>
      </c>
      <c r="G292" t="s">
        <v>259</v>
      </c>
      <c r="H292" t="s">
        <v>112</v>
      </c>
      <c r="I292" t="s">
        <v>113</v>
      </c>
      <c r="J292" t="s">
        <v>74</v>
      </c>
      <c r="K292" t="s">
        <v>54</v>
      </c>
      <c r="M292" s="2">
        <v>0.75</v>
      </c>
      <c r="N292">
        <v>8</v>
      </c>
      <c r="O292">
        <v>0</v>
      </c>
      <c r="P292" t="s">
        <v>32</v>
      </c>
      <c r="R292">
        <v>4</v>
      </c>
      <c r="S292" t="s">
        <v>45</v>
      </c>
      <c r="T292" t="s">
        <v>114</v>
      </c>
      <c r="U292" t="s">
        <v>55</v>
      </c>
      <c r="V292" t="s">
        <v>69</v>
      </c>
      <c r="W292">
        <f>_xlfn.XLOOKUP(F292,tblEmployee[Employee_ID],tblEmployee[Age],"Not Found")</f>
        <v>39</v>
      </c>
      <c r="X292" t="str">
        <f>_xlfn.XLOOKUP(F292,tblEmployee[Employee_ID],tblEmployee[Gender],"Not Found")</f>
        <v>Male</v>
      </c>
      <c r="Y292">
        <f>_xlfn.XLOOKUP(F292,tblEmployee[Employee_ID],tblEmployee[Joining_Date],"")</f>
        <v>44362</v>
      </c>
      <c r="Z292">
        <f>_xlfn.XLOOKUP(H292,tblDepartment[Department],tblDepartment[Annual_Budget_INR],"")</f>
        <v>42000000</v>
      </c>
      <c r="AA292" t="str">
        <f>_xlfn.XLOOKUP(H292,tblDepartment[Department],tblDepartment[Monthly_Target],"")</f>
        <v>₹2.5 Cr Monthly Sales</v>
      </c>
      <c r="AB292">
        <f>_xlfn.XLOOKUP(H292,tblDepartment[Department],tblDepartment[Average_Salary_INR],"")</f>
        <v>680000</v>
      </c>
      <c r="AC292" t="str">
        <f>_xlfn.XLOOKUP(H292,tblDepartment[Department],tblDepartment[Priority_Level],"")</f>
        <v>High</v>
      </c>
      <c r="AD292" t="str">
        <f>_xlfn.XLOOKUP(H292,tblDepartment[Department],tblDepartment[Key_KPI],"")</f>
        <v>Revenue Achievement</v>
      </c>
      <c r="AE292">
        <f>_xlfn.XLOOKUP(tblMaster[[#This Row],[Shift]],tblShift[Shift_Name],tblShift[Login_Time],"")</f>
        <v>0.58333333333333337</v>
      </c>
      <c r="AF292">
        <f>_xlfn.XLOOKUP(tblMaster[[#This Row],[Shift]],tblShift[Shift_Name],tblShift[Logout_Time]," ")</f>
        <v>0.95833333333333337</v>
      </c>
      <c r="AG292">
        <f>_xlfn.XLOOKUP(tblMaster[[#This Row],[Shift]],tblShift[Shift_Name],tblShift[Standard_Working_Hours],"")</f>
        <v>8</v>
      </c>
      <c r="AH292" t="str">
        <f>_xlfn.XLOOKUP(tblMaster[[#This Row],[Attendance_Date]],tblHoliday[Holiday_Date],tblHoliday[Holiday_Name],"Working Day")</f>
        <v>Working Day</v>
      </c>
      <c r="AI292" t="str">
        <f>_xlfn.XLOOKUP(tblMaster[[#This Row],[Attendance_Date]],tblHoliday[Holiday_Date],tblHoliday[Holiday_Type],"Working Day ")</f>
        <v xml:space="preserve">Working Day </v>
      </c>
    </row>
    <row r="293" spans="1:35" x14ac:dyDescent="0.3">
      <c r="A293" t="s">
        <v>479</v>
      </c>
      <c r="B293" s="3">
        <v>45753</v>
      </c>
      <c r="C293" t="s">
        <v>37</v>
      </c>
      <c r="D293" t="s">
        <v>24</v>
      </c>
      <c r="E293" t="s">
        <v>103</v>
      </c>
      <c r="F293" t="s">
        <v>58</v>
      </c>
      <c r="G293" t="s">
        <v>59</v>
      </c>
      <c r="H293" t="s">
        <v>41</v>
      </c>
      <c r="I293" t="s">
        <v>42</v>
      </c>
      <c r="J293" t="s">
        <v>30</v>
      </c>
      <c r="K293" t="s">
        <v>75</v>
      </c>
      <c r="L293" s="2">
        <v>0.375</v>
      </c>
      <c r="M293" s="2">
        <v>0.75</v>
      </c>
      <c r="N293">
        <v>8</v>
      </c>
      <c r="O293">
        <v>0</v>
      </c>
      <c r="P293" t="s">
        <v>32</v>
      </c>
      <c r="S293" t="s">
        <v>33</v>
      </c>
      <c r="T293" t="s">
        <v>46</v>
      </c>
      <c r="U293" t="str">
        <f>_xlfn.XLOOKUP(tblMaster[[#This Row],[Employee_ID]],tblEmployee[Employee_ID],tblEmployee[Work_Mode]," ")</f>
        <v>Hybrid</v>
      </c>
      <c r="V293" t="s">
        <v>35</v>
      </c>
      <c r="W293">
        <f>_xlfn.XLOOKUP(F293,tblEmployee[Employee_ID],tblEmployee[Age],"Not Found")</f>
        <v>23</v>
      </c>
      <c r="X293" t="str">
        <f>_xlfn.XLOOKUP(F293,tblEmployee[Employee_ID],tblEmployee[Gender],"Not Found")</f>
        <v>Female</v>
      </c>
      <c r="Y293">
        <f>_xlfn.XLOOKUP(F293,tblEmployee[Employee_ID],tblEmployee[Joining_Date],"")</f>
        <v>45153</v>
      </c>
      <c r="Z293">
        <f>_xlfn.XLOOKUP(H293,tblDepartment[Department],tblDepartment[Annual_Budget_INR],"")</f>
        <v>34000000</v>
      </c>
      <c r="AA293" t="str">
        <f>_xlfn.XLOOKUP(H293,tblDepartment[Department],tblDepartment[Monthly_Target],"")</f>
        <v>95% Process Efficiency</v>
      </c>
      <c r="AB293">
        <f>_xlfn.XLOOKUP(H293,tblDepartment[Department],tblDepartment[Average_Salary_INR],"")</f>
        <v>610000</v>
      </c>
      <c r="AC293" t="str">
        <f>_xlfn.XLOOKUP(H293,tblDepartment[Department],tblDepartment[Priority_Level],"")</f>
        <v>High</v>
      </c>
      <c r="AD293" t="str">
        <f>_xlfn.XLOOKUP(H293,tblDepartment[Department],tblDepartment[Key_KPI],"")</f>
        <v>Operational Efficiency</v>
      </c>
      <c r="AE293">
        <f>_xlfn.XLOOKUP(tblMaster[[#This Row],[Shift]],tblShift[Shift_Name],tblShift[Login_Time],"")</f>
        <v>0.375</v>
      </c>
      <c r="AF293">
        <f>_xlfn.XLOOKUP(tblMaster[[#This Row],[Shift]],tblShift[Shift_Name],tblShift[Logout_Time]," ")</f>
        <v>0.75</v>
      </c>
      <c r="AG293">
        <f>_xlfn.XLOOKUP(tblMaster[[#This Row],[Shift]],tblShift[Shift_Name],tblShift[Standard_Working_Hours],"")</f>
        <v>8</v>
      </c>
      <c r="AH293" t="str">
        <f>_xlfn.XLOOKUP(tblMaster[[#This Row],[Attendance_Date]],tblHoliday[Holiday_Date],tblHoliday[Holiday_Name],"Working Day")</f>
        <v>Working Day</v>
      </c>
      <c r="AI293" t="str">
        <f>_xlfn.XLOOKUP(tblMaster[[#This Row],[Attendance_Date]],tblHoliday[Holiday_Date],tblHoliday[Holiday_Type],"Working Day ")</f>
        <v xml:space="preserve">Working Day </v>
      </c>
    </row>
    <row r="294" spans="1:35" hidden="1" x14ac:dyDescent="0.3">
      <c r="A294" t="s">
        <v>480</v>
      </c>
      <c r="B294" s="3">
        <v>45802</v>
      </c>
      <c r="C294" t="s">
        <v>57</v>
      </c>
      <c r="D294" t="s">
        <v>24</v>
      </c>
      <c r="E294" t="s">
        <v>103</v>
      </c>
      <c r="F294" t="s">
        <v>62</v>
      </c>
      <c r="G294" t="s">
        <v>63</v>
      </c>
      <c r="H294" t="s">
        <v>64</v>
      </c>
      <c r="I294" t="s">
        <v>65</v>
      </c>
      <c r="J294" t="s">
        <v>66</v>
      </c>
      <c r="K294" t="s">
        <v>75</v>
      </c>
      <c r="L294" s="2">
        <v>0.375</v>
      </c>
      <c r="M294" s="2">
        <v>0.75</v>
      </c>
      <c r="N294">
        <v>8</v>
      </c>
      <c r="O294">
        <v>0</v>
      </c>
      <c r="P294" t="s">
        <v>32</v>
      </c>
      <c r="R294">
        <v>5</v>
      </c>
      <c r="S294" t="s">
        <v>45</v>
      </c>
      <c r="T294" t="s">
        <v>68</v>
      </c>
      <c r="U294" t="s">
        <v>85</v>
      </c>
      <c r="V294" t="s">
        <v>69</v>
      </c>
      <c r="W294">
        <f>_xlfn.XLOOKUP(F294,tblEmployee[Employee_ID],tblEmployee[Age],"Not Found")</f>
        <v>23</v>
      </c>
      <c r="X294" t="str">
        <f>_xlfn.XLOOKUP(F294,tblEmployee[Employee_ID],tblEmployee[Gender],"Not Found")</f>
        <v>Male</v>
      </c>
      <c r="Y294">
        <f>_xlfn.XLOOKUP(F294,tblEmployee[Employee_ID],tblEmployee[Joining_Date],"")</f>
        <v>43511</v>
      </c>
      <c r="Z294">
        <f>_xlfn.XLOOKUP(H294,tblDepartment[Department],tblDepartment[Annual_Budget_INR],"")</f>
        <v>85000000</v>
      </c>
      <c r="AA294" t="str">
        <f>_xlfn.XLOOKUP(H294,tblDepartment[Department],tblDepartment[Monthly_Target],"")</f>
        <v>99.5% System Uptime</v>
      </c>
      <c r="AB294">
        <f>_xlfn.XLOOKUP(H294,tblDepartment[Department],tblDepartment[Average_Salary_INR],"")</f>
        <v>720000</v>
      </c>
      <c r="AC294" t="str">
        <f>_xlfn.XLOOKUP(H294,tblDepartment[Department],tblDepartment[Priority_Level],"")</f>
        <v>High</v>
      </c>
      <c r="AD294" t="str">
        <f>_xlfn.XLOOKUP(H294,tblDepartment[Department],tblDepartment[Key_KPI],"")</f>
        <v>Project Delivery</v>
      </c>
      <c r="AE294">
        <f>_xlfn.XLOOKUP(tblMaster[[#This Row],[Shift]],tblShift[Shift_Name],tblShift[Login_Time],"")</f>
        <v>0.375</v>
      </c>
      <c r="AF294">
        <f>_xlfn.XLOOKUP(tblMaster[[#This Row],[Shift]],tblShift[Shift_Name],tblShift[Logout_Time]," ")</f>
        <v>0.75</v>
      </c>
      <c r="AG294">
        <f>_xlfn.XLOOKUP(tblMaster[[#This Row],[Shift]],tblShift[Shift_Name],tblShift[Standard_Working_Hours],"")</f>
        <v>8</v>
      </c>
      <c r="AH294" t="str">
        <f>_xlfn.XLOOKUP(tblMaster[[#This Row],[Attendance_Date]],tblHoliday[Holiday_Date],tblHoliday[Holiday_Name],"Working Day")</f>
        <v>Working Day</v>
      </c>
      <c r="AI294" t="str">
        <f>_xlfn.XLOOKUP(tblMaster[[#This Row],[Attendance_Date]],tblHoliday[Holiday_Date],tblHoliday[Holiday_Type],"Working Day ")</f>
        <v xml:space="preserve">Working Day </v>
      </c>
    </row>
    <row r="295" spans="1:35" x14ac:dyDescent="0.3">
      <c r="A295" t="s">
        <v>481</v>
      </c>
      <c r="B295" s="1">
        <v>45722</v>
      </c>
      <c r="C295" t="s">
        <v>71</v>
      </c>
      <c r="D295" t="s">
        <v>50</v>
      </c>
      <c r="E295" t="s">
        <v>25</v>
      </c>
      <c r="F295" t="s">
        <v>52</v>
      </c>
      <c r="G295" t="s">
        <v>53</v>
      </c>
      <c r="H295" t="s">
        <v>41</v>
      </c>
      <c r="I295" t="s">
        <v>42</v>
      </c>
      <c r="J295" t="s">
        <v>43</v>
      </c>
      <c r="K295" t="s">
        <v>31</v>
      </c>
      <c r="L295" s="2">
        <v>0.375</v>
      </c>
      <c r="M295" s="2">
        <v>0.75</v>
      </c>
      <c r="N295">
        <v>8</v>
      </c>
      <c r="O295">
        <v>0</v>
      </c>
      <c r="P295" t="s">
        <v>32</v>
      </c>
      <c r="S295" t="s">
        <v>67</v>
      </c>
      <c r="T295" t="s">
        <v>46</v>
      </c>
      <c r="U295" t="str">
        <f>_xlfn.XLOOKUP(tblMaster[[#This Row],[Employee_ID]],tblEmployee[Employee_ID],tblEmployee[Work_Mode]," ")</f>
        <v>Remote</v>
      </c>
      <c r="W295">
        <f>_xlfn.XLOOKUP(F295,tblEmployee[Employee_ID],tblEmployee[Age],"Not Found")</f>
        <v>27</v>
      </c>
      <c r="X295" t="str">
        <f>_xlfn.XLOOKUP(F295,tblEmployee[Employee_ID],tblEmployee[Gender],"Not Found")</f>
        <v>Male</v>
      </c>
      <c r="Y295">
        <f>_xlfn.XLOOKUP(F295,tblEmployee[Employee_ID],tblEmployee[Joining_Date],"")</f>
        <v>45092</v>
      </c>
      <c r="Z295">
        <f>_xlfn.XLOOKUP(H295,tblDepartment[Department],tblDepartment[Annual_Budget_INR],"")</f>
        <v>34000000</v>
      </c>
      <c r="AA295" t="str">
        <f>_xlfn.XLOOKUP(H295,tblDepartment[Department],tblDepartment[Monthly_Target],"")</f>
        <v>95% Process Efficiency</v>
      </c>
      <c r="AB295">
        <f>_xlfn.XLOOKUP(H295,tblDepartment[Department],tblDepartment[Average_Salary_INR],"")</f>
        <v>610000</v>
      </c>
      <c r="AC295" t="str">
        <f>_xlfn.XLOOKUP(H295,tblDepartment[Department],tblDepartment[Priority_Level],"")</f>
        <v>High</v>
      </c>
      <c r="AD295" t="str">
        <f>_xlfn.XLOOKUP(H295,tblDepartment[Department],tblDepartment[Key_KPI],"")</f>
        <v>Operational Efficiency</v>
      </c>
      <c r="AE295">
        <f>_xlfn.XLOOKUP(tblMaster[[#This Row],[Shift]],tblShift[Shift_Name],tblShift[Login_Time],"")</f>
        <v>0.25</v>
      </c>
      <c r="AF295">
        <f>_xlfn.XLOOKUP(tblMaster[[#This Row],[Shift]],tblShift[Shift_Name],tblShift[Logout_Time]," ")</f>
        <v>0.625</v>
      </c>
      <c r="AG295">
        <f>_xlfn.XLOOKUP(tblMaster[[#This Row],[Shift]],tblShift[Shift_Name],tblShift[Standard_Working_Hours],"")</f>
        <v>8</v>
      </c>
      <c r="AH295" t="str">
        <f>_xlfn.XLOOKUP(tblMaster[[#This Row],[Attendance_Date]],tblHoliday[Holiday_Date],tblHoliday[Holiday_Name],"Working Day")</f>
        <v>Working Day</v>
      </c>
      <c r="AI295" t="str">
        <f>_xlfn.XLOOKUP(tblMaster[[#This Row],[Attendance_Date]],tblHoliday[Holiday_Date],tblHoliday[Holiday_Type],"Working Day ")</f>
        <v xml:space="preserve">Working Day </v>
      </c>
    </row>
    <row r="296" spans="1:35" hidden="1" x14ac:dyDescent="0.3">
      <c r="A296" t="s">
        <v>482</v>
      </c>
      <c r="B296" s="3">
        <v>45658</v>
      </c>
      <c r="C296" t="s">
        <v>49</v>
      </c>
      <c r="D296" t="s">
        <v>50</v>
      </c>
      <c r="E296" t="s">
        <v>51</v>
      </c>
      <c r="F296" t="s">
        <v>204</v>
      </c>
      <c r="G296" t="s">
        <v>205</v>
      </c>
      <c r="H296" t="s">
        <v>90</v>
      </c>
      <c r="I296" t="s">
        <v>91</v>
      </c>
      <c r="J296" t="s">
        <v>74</v>
      </c>
      <c r="K296" t="s">
        <v>54</v>
      </c>
      <c r="L296" s="2">
        <v>0.375</v>
      </c>
      <c r="M296" s="2">
        <v>0.75</v>
      </c>
      <c r="N296">
        <v>8</v>
      </c>
      <c r="O296">
        <v>0</v>
      </c>
      <c r="P296" t="s">
        <v>32</v>
      </c>
      <c r="R296">
        <v>4</v>
      </c>
      <c r="S296" t="s">
        <v>33</v>
      </c>
      <c r="T296" t="s">
        <v>93</v>
      </c>
      <c r="U296" t="s">
        <v>55</v>
      </c>
      <c r="V296" t="s">
        <v>69</v>
      </c>
      <c r="W296">
        <f>_xlfn.XLOOKUP(F296,tblEmployee[Employee_ID],tblEmployee[Age],"Not Found")</f>
        <v>24</v>
      </c>
      <c r="X296" t="str">
        <f>_xlfn.XLOOKUP(F296,tblEmployee[Employee_ID],tblEmployee[Gender],"Not Found")</f>
        <v>Female</v>
      </c>
      <c r="Y296">
        <f>_xlfn.XLOOKUP(F296,tblEmployee[Employee_ID],tblEmployee[Joining_Date],"")</f>
        <v>43905</v>
      </c>
      <c r="Z296">
        <f>_xlfn.XLOOKUP(H296,tblDepartment[Department],tblDepartment[Annual_Budget_INR],"")</f>
        <v>18000000</v>
      </c>
      <c r="AA296" t="str">
        <f>_xlfn.XLOOKUP(H296,tblDepartment[Department],tblDepartment[Monthly_Target],"")</f>
        <v>&lt;30 Days Hiring Cycle</v>
      </c>
      <c r="AB296">
        <f>_xlfn.XLOOKUP(H296,tblDepartment[Department],tblDepartment[Average_Salary_INR],"")</f>
        <v>560000</v>
      </c>
      <c r="AC296" t="str">
        <f>_xlfn.XLOOKUP(H296,tblDepartment[Department],tblDepartment[Priority_Level],"")</f>
        <v>Medium</v>
      </c>
      <c r="AD296" t="str">
        <f>_xlfn.XLOOKUP(H296,tblDepartment[Department],tblDepartment[Key_KPI],"")</f>
        <v>Hiring &amp; Retention</v>
      </c>
      <c r="AE296">
        <f>_xlfn.XLOOKUP(tblMaster[[#This Row],[Shift]],tblShift[Shift_Name],tblShift[Login_Time],"")</f>
        <v>0.58333333333333337</v>
      </c>
      <c r="AF296">
        <f>_xlfn.XLOOKUP(tblMaster[[#This Row],[Shift]],tblShift[Shift_Name],tblShift[Logout_Time]," ")</f>
        <v>0.95833333333333337</v>
      </c>
      <c r="AG296">
        <f>_xlfn.XLOOKUP(tblMaster[[#This Row],[Shift]],tblShift[Shift_Name],tblShift[Standard_Working_Hours],"")</f>
        <v>8</v>
      </c>
      <c r="AH296" t="str">
        <f>_xlfn.XLOOKUP(tblMaster[[#This Row],[Attendance_Date]],tblHoliday[Holiday_Date],tblHoliday[Holiday_Name],"Working Day")</f>
        <v>New Year's Day</v>
      </c>
      <c r="AI296" t="str">
        <f>_xlfn.XLOOKUP(tblMaster[[#This Row],[Attendance_Date]],tblHoliday[Holiday_Date],tblHoliday[Holiday_Type],"Working Day ")</f>
        <v>National</v>
      </c>
    </row>
    <row r="297" spans="1:35" x14ac:dyDescent="0.3">
      <c r="A297" t="s">
        <v>483</v>
      </c>
      <c r="B297" s="3">
        <v>45679</v>
      </c>
      <c r="C297" t="s">
        <v>49</v>
      </c>
      <c r="D297" t="s">
        <v>50</v>
      </c>
      <c r="E297" t="s">
        <v>51</v>
      </c>
      <c r="F297" t="s">
        <v>154</v>
      </c>
      <c r="G297" t="s">
        <v>155</v>
      </c>
      <c r="H297" t="s">
        <v>41</v>
      </c>
      <c r="I297" t="s">
        <v>42</v>
      </c>
      <c r="J297" t="s">
        <v>74</v>
      </c>
      <c r="K297" t="s">
        <v>75</v>
      </c>
      <c r="L297" s="2">
        <v>0.375</v>
      </c>
      <c r="N297">
        <v>8</v>
      </c>
      <c r="O297">
        <v>0</v>
      </c>
      <c r="P297" t="s">
        <v>32</v>
      </c>
      <c r="R297">
        <v>3</v>
      </c>
      <c r="S297" t="s">
        <v>92</v>
      </c>
      <c r="T297" t="s">
        <v>46</v>
      </c>
      <c r="U297" t="str">
        <f>_xlfn.XLOOKUP(tblMaster[[#This Row],[Employee_ID]],tblEmployee[Employee_ID],tblEmployee[Work_Mode]," ")</f>
        <v>Remote</v>
      </c>
      <c r="W297">
        <f>_xlfn.XLOOKUP(F297,tblEmployee[Employee_ID],tblEmployee[Age],"Not Found")</f>
        <v>33</v>
      </c>
      <c r="X297" t="str">
        <f>_xlfn.XLOOKUP(F297,tblEmployee[Employee_ID],tblEmployee[Gender],"Not Found")</f>
        <v>Male</v>
      </c>
      <c r="Y297">
        <f>_xlfn.XLOOKUP(F297,tblEmployee[Employee_ID],tblEmployee[Joining_Date],"")</f>
        <v>45275</v>
      </c>
      <c r="Z297">
        <f>_xlfn.XLOOKUP(H297,tblDepartment[Department],tblDepartment[Annual_Budget_INR],"")</f>
        <v>34000000</v>
      </c>
      <c r="AA297" t="str">
        <f>_xlfn.XLOOKUP(H297,tblDepartment[Department],tblDepartment[Monthly_Target],"")</f>
        <v>95% Process Efficiency</v>
      </c>
      <c r="AB297">
        <f>_xlfn.XLOOKUP(H297,tblDepartment[Department],tblDepartment[Average_Salary_INR],"")</f>
        <v>610000</v>
      </c>
      <c r="AC297" t="str">
        <f>_xlfn.XLOOKUP(H297,tblDepartment[Department],tblDepartment[Priority_Level],"")</f>
        <v>High</v>
      </c>
      <c r="AD297" t="str">
        <f>_xlfn.XLOOKUP(H297,tblDepartment[Department],tblDepartment[Key_KPI],"")</f>
        <v>Operational Efficiency</v>
      </c>
      <c r="AE297">
        <f>_xlfn.XLOOKUP(tblMaster[[#This Row],[Shift]],tblShift[Shift_Name],tblShift[Login_Time],"")</f>
        <v>0.375</v>
      </c>
      <c r="AF297">
        <f>_xlfn.XLOOKUP(tblMaster[[#This Row],[Shift]],tblShift[Shift_Name],tblShift[Logout_Time]," ")</f>
        <v>0.75</v>
      </c>
      <c r="AG297">
        <f>_xlfn.XLOOKUP(tblMaster[[#This Row],[Shift]],tblShift[Shift_Name],tblShift[Standard_Working_Hours],"")</f>
        <v>8</v>
      </c>
      <c r="AH297" t="str">
        <f>_xlfn.XLOOKUP(tblMaster[[#This Row],[Attendance_Date]],tblHoliday[Holiday_Date],tblHoliday[Holiday_Name],"Working Day")</f>
        <v>Working Day</v>
      </c>
      <c r="AI297" t="str">
        <f>_xlfn.XLOOKUP(tblMaster[[#This Row],[Attendance_Date]],tblHoliday[Holiday_Date],tblHoliday[Holiday_Type],"Working Day ")</f>
        <v xml:space="preserve">Working Day </v>
      </c>
    </row>
    <row r="298" spans="1:35" x14ac:dyDescent="0.3">
      <c r="A298" t="s">
        <v>484</v>
      </c>
      <c r="B298" s="1">
        <v>45821</v>
      </c>
      <c r="C298" t="s">
        <v>23</v>
      </c>
      <c r="D298" t="s">
        <v>24</v>
      </c>
      <c r="E298" t="s">
        <v>119</v>
      </c>
      <c r="F298" t="s">
        <v>182</v>
      </c>
      <c r="G298" t="s">
        <v>183</v>
      </c>
      <c r="H298" t="s">
        <v>112</v>
      </c>
      <c r="I298" t="s">
        <v>113</v>
      </c>
      <c r="J298" t="s">
        <v>30</v>
      </c>
      <c r="K298" t="s">
        <v>31</v>
      </c>
      <c r="L298" s="2">
        <v>0.38194444444444442</v>
      </c>
      <c r="M298" s="2">
        <v>0.75</v>
      </c>
      <c r="N298">
        <v>8</v>
      </c>
      <c r="O298">
        <v>0</v>
      </c>
      <c r="P298" t="s">
        <v>32</v>
      </c>
      <c r="R298">
        <v>3</v>
      </c>
      <c r="S298" t="s">
        <v>92</v>
      </c>
      <c r="T298" t="s">
        <v>114</v>
      </c>
      <c r="U298" t="str">
        <f>_xlfn.XLOOKUP(tblMaster[[#This Row],[Employee_ID]],tblEmployee[Employee_ID],tblEmployee[Work_Mode]," ")</f>
        <v>Office</v>
      </c>
      <c r="V298" t="s">
        <v>60</v>
      </c>
      <c r="W298">
        <f>_xlfn.XLOOKUP(F298,tblEmployee[Employee_ID],tblEmployee[Age],"Not Found")</f>
        <v>28</v>
      </c>
      <c r="X298" t="str">
        <f>_xlfn.XLOOKUP(F298,tblEmployee[Employee_ID],tblEmployee[Gender],"Not Found")</f>
        <v>Male</v>
      </c>
      <c r="Y298">
        <f>_xlfn.XLOOKUP(F298,tblEmployee[Employee_ID],tblEmployee[Joining_Date],"")</f>
        <v>44211</v>
      </c>
      <c r="Z298">
        <f>_xlfn.XLOOKUP(H298,tblDepartment[Department],tblDepartment[Annual_Budget_INR],"")</f>
        <v>42000000</v>
      </c>
      <c r="AA298" t="str">
        <f>_xlfn.XLOOKUP(H298,tblDepartment[Department],tblDepartment[Monthly_Target],"")</f>
        <v>₹2.5 Cr Monthly Sales</v>
      </c>
      <c r="AB298">
        <f>_xlfn.XLOOKUP(H298,tblDepartment[Department],tblDepartment[Average_Salary_INR],"")</f>
        <v>680000</v>
      </c>
      <c r="AC298" t="str">
        <f>_xlfn.XLOOKUP(H298,tblDepartment[Department],tblDepartment[Priority_Level],"")</f>
        <v>High</v>
      </c>
      <c r="AD298" t="str">
        <f>_xlfn.XLOOKUP(H298,tblDepartment[Department],tblDepartment[Key_KPI],"")</f>
        <v>Revenue Achievement</v>
      </c>
      <c r="AE298">
        <f>_xlfn.XLOOKUP(tblMaster[[#This Row],[Shift]],tblShift[Shift_Name],tblShift[Login_Time],"")</f>
        <v>0.25</v>
      </c>
      <c r="AF298">
        <f>_xlfn.XLOOKUP(tblMaster[[#This Row],[Shift]],tblShift[Shift_Name],tblShift[Logout_Time]," ")</f>
        <v>0.625</v>
      </c>
      <c r="AG298">
        <f>_xlfn.XLOOKUP(tblMaster[[#This Row],[Shift]],tblShift[Shift_Name],tblShift[Standard_Working_Hours],"")</f>
        <v>8</v>
      </c>
      <c r="AH298" t="str">
        <f>_xlfn.XLOOKUP(tblMaster[[#This Row],[Attendance_Date]],tblHoliday[Holiday_Date],tblHoliday[Holiday_Name],"Working Day")</f>
        <v>Working Day</v>
      </c>
      <c r="AI298" t="str">
        <f>_xlfn.XLOOKUP(tblMaster[[#This Row],[Attendance_Date]],tblHoliday[Holiday_Date],tblHoliday[Holiday_Type],"Working Day ")</f>
        <v xml:space="preserve">Working Day </v>
      </c>
    </row>
    <row r="299" spans="1:35" x14ac:dyDescent="0.3">
      <c r="A299" t="s">
        <v>485</v>
      </c>
      <c r="B299" s="1">
        <v>45838</v>
      </c>
      <c r="C299" t="s">
        <v>23</v>
      </c>
      <c r="D299" t="s">
        <v>24</v>
      </c>
      <c r="E299" t="s">
        <v>109</v>
      </c>
      <c r="F299" t="s">
        <v>185</v>
      </c>
      <c r="G299" t="s">
        <v>186</v>
      </c>
      <c r="H299" t="s">
        <v>79</v>
      </c>
      <c r="I299" t="s">
        <v>80</v>
      </c>
      <c r="J299" t="s">
        <v>66</v>
      </c>
      <c r="K299" t="s">
        <v>75</v>
      </c>
      <c r="L299" s="2">
        <v>0.375</v>
      </c>
      <c r="M299" s="2">
        <v>0.75</v>
      </c>
      <c r="N299">
        <v>8</v>
      </c>
      <c r="O299">
        <v>0</v>
      </c>
      <c r="P299" t="s">
        <v>32</v>
      </c>
      <c r="R299">
        <v>4</v>
      </c>
      <c r="S299" t="s">
        <v>92</v>
      </c>
      <c r="T299" t="s">
        <v>84</v>
      </c>
      <c r="U299" t="str">
        <f>_xlfn.XLOOKUP(tblMaster[[#This Row],[Employee_ID]],tblEmployee[Employee_ID],tblEmployee[Work_Mode]," ")</f>
        <v>Remote</v>
      </c>
      <c r="V299" t="s">
        <v>60</v>
      </c>
      <c r="W299">
        <f>_xlfn.XLOOKUP(F299,tblEmployee[Employee_ID],tblEmployee[Age],"Not Found")</f>
        <v>33</v>
      </c>
      <c r="X299" t="str">
        <f>_xlfn.XLOOKUP(F299,tblEmployee[Employee_ID],tblEmployee[Gender],"Not Found")</f>
        <v>Male</v>
      </c>
      <c r="Y299">
        <f>_xlfn.XLOOKUP(F299,tblEmployee[Employee_ID],tblEmployee[Joining_Date],"")</f>
        <v>44910</v>
      </c>
      <c r="Z299">
        <f>_xlfn.XLOOKUP(H299,tblDepartment[Department],tblDepartment[Annual_Budget_INR],"")</f>
        <v>26000000</v>
      </c>
      <c r="AA299" t="str">
        <f>_xlfn.XLOOKUP(H299,tblDepartment[Department],tblDepartment[Monthly_Target],"")</f>
        <v>100% Payroll Accuracy</v>
      </c>
      <c r="AB299">
        <f>_xlfn.XLOOKUP(H299,tblDepartment[Department],tblDepartment[Average_Salary_INR],"")</f>
        <v>640000</v>
      </c>
      <c r="AC299" t="str">
        <f>_xlfn.XLOOKUP(H299,tblDepartment[Department],tblDepartment[Priority_Level],"")</f>
        <v>High</v>
      </c>
      <c r="AD299" t="str">
        <f>_xlfn.XLOOKUP(H299,tblDepartment[Department],tblDepartment[Key_KPI],"")</f>
        <v>Financial Compliance</v>
      </c>
      <c r="AE299">
        <f>_xlfn.XLOOKUP(tblMaster[[#This Row],[Shift]],tblShift[Shift_Name],tblShift[Login_Time],"")</f>
        <v>0.375</v>
      </c>
      <c r="AF299">
        <f>_xlfn.XLOOKUP(tblMaster[[#This Row],[Shift]],tblShift[Shift_Name],tblShift[Logout_Time]," ")</f>
        <v>0.75</v>
      </c>
      <c r="AG299">
        <f>_xlfn.XLOOKUP(tblMaster[[#This Row],[Shift]],tblShift[Shift_Name],tblShift[Standard_Working_Hours],"")</f>
        <v>8</v>
      </c>
      <c r="AH299" t="str">
        <f>_xlfn.XLOOKUP(tblMaster[[#This Row],[Attendance_Date]],tblHoliday[Holiday_Date],tblHoliday[Holiday_Name],"Working Day")</f>
        <v>Working Day</v>
      </c>
      <c r="AI299" t="str">
        <f>_xlfn.XLOOKUP(tblMaster[[#This Row],[Attendance_Date]],tblHoliday[Holiday_Date],tblHoliday[Holiday_Type],"Working Day ")</f>
        <v xml:space="preserve">Working Day </v>
      </c>
    </row>
    <row r="300" spans="1:35" hidden="1" x14ac:dyDescent="0.3">
      <c r="A300" t="s">
        <v>486</v>
      </c>
      <c r="B300" s="1">
        <v>45767</v>
      </c>
      <c r="C300" t="s">
        <v>37</v>
      </c>
      <c r="D300" t="s">
        <v>24</v>
      </c>
      <c r="E300" t="s">
        <v>103</v>
      </c>
      <c r="F300" t="s">
        <v>148</v>
      </c>
      <c r="G300" t="s">
        <v>149</v>
      </c>
      <c r="H300" t="s">
        <v>112</v>
      </c>
      <c r="I300" t="s">
        <v>113</v>
      </c>
      <c r="J300" t="s">
        <v>43</v>
      </c>
      <c r="K300" t="s">
        <v>54</v>
      </c>
      <c r="L300" s="2">
        <v>0.38194444444444442</v>
      </c>
      <c r="M300" s="2">
        <v>0.75</v>
      </c>
      <c r="N300">
        <v>8</v>
      </c>
      <c r="O300">
        <v>0</v>
      </c>
      <c r="P300" t="s">
        <v>32</v>
      </c>
      <c r="S300" t="s">
        <v>92</v>
      </c>
      <c r="T300" t="s">
        <v>114</v>
      </c>
      <c r="U300" t="s">
        <v>85</v>
      </c>
      <c r="V300" t="s">
        <v>60</v>
      </c>
      <c r="W300">
        <f>_xlfn.XLOOKUP(F300,tblEmployee[Employee_ID],tblEmployee[Age],"Not Found")</f>
        <v>31</v>
      </c>
      <c r="X300" t="str">
        <f>_xlfn.XLOOKUP(F300,tblEmployee[Employee_ID],tblEmployee[Gender],"Not Found")</f>
        <v>Male</v>
      </c>
      <c r="Y300">
        <f>_xlfn.XLOOKUP(F300,tblEmployee[Employee_ID],tblEmployee[Joining_Date],"")</f>
        <v>44484</v>
      </c>
      <c r="Z300">
        <f>_xlfn.XLOOKUP(H300,tblDepartment[Department],tblDepartment[Annual_Budget_INR],"")</f>
        <v>42000000</v>
      </c>
      <c r="AA300" t="str">
        <f>_xlfn.XLOOKUP(H300,tblDepartment[Department],tblDepartment[Monthly_Target],"")</f>
        <v>₹2.5 Cr Monthly Sales</v>
      </c>
      <c r="AB300">
        <f>_xlfn.XLOOKUP(H300,tblDepartment[Department],tblDepartment[Average_Salary_INR],"")</f>
        <v>680000</v>
      </c>
      <c r="AC300" t="str">
        <f>_xlfn.XLOOKUP(H300,tblDepartment[Department],tblDepartment[Priority_Level],"")</f>
        <v>High</v>
      </c>
      <c r="AD300" t="str">
        <f>_xlfn.XLOOKUP(H300,tblDepartment[Department],tblDepartment[Key_KPI],"")</f>
        <v>Revenue Achievement</v>
      </c>
      <c r="AE300">
        <f>_xlfn.XLOOKUP(tblMaster[[#This Row],[Shift]],tblShift[Shift_Name],tblShift[Login_Time],"")</f>
        <v>0.58333333333333337</v>
      </c>
      <c r="AF300">
        <f>_xlfn.XLOOKUP(tblMaster[[#This Row],[Shift]],tblShift[Shift_Name],tblShift[Logout_Time]," ")</f>
        <v>0.95833333333333337</v>
      </c>
      <c r="AG300">
        <f>_xlfn.XLOOKUP(tblMaster[[#This Row],[Shift]],tblShift[Shift_Name],tblShift[Standard_Working_Hours],"")</f>
        <v>8</v>
      </c>
      <c r="AH300" t="str">
        <f>_xlfn.XLOOKUP(tblMaster[[#This Row],[Attendance_Date]],tblHoliday[Holiday_Date],tblHoliday[Holiday_Name],"Working Day")</f>
        <v>Working Day</v>
      </c>
      <c r="AI300" t="str">
        <f>_xlfn.XLOOKUP(tblMaster[[#This Row],[Attendance_Date]],tblHoliday[Holiday_Date],tblHoliday[Holiday_Type],"Working Day ")</f>
        <v xml:space="preserve">Working Day </v>
      </c>
    </row>
    <row r="301" spans="1:35" hidden="1" x14ac:dyDescent="0.3">
      <c r="A301" t="s">
        <v>487</v>
      </c>
      <c r="B301" s="1">
        <v>45725</v>
      </c>
      <c r="C301" t="s">
        <v>71</v>
      </c>
      <c r="D301" t="s">
        <v>50</v>
      </c>
      <c r="E301" t="s">
        <v>103</v>
      </c>
      <c r="F301" t="s">
        <v>195</v>
      </c>
      <c r="G301" t="s">
        <v>196</v>
      </c>
      <c r="H301" t="s">
        <v>98</v>
      </c>
      <c r="I301" t="s">
        <v>99</v>
      </c>
      <c r="J301" t="s">
        <v>43</v>
      </c>
      <c r="K301" t="s">
        <v>44</v>
      </c>
      <c r="L301" s="2">
        <v>0.375</v>
      </c>
      <c r="M301" s="2">
        <v>0.75</v>
      </c>
      <c r="N301">
        <v>8</v>
      </c>
      <c r="O301">
        <v>0</v>
      </c>
      <c r="P301" t="s">
        <v>32</v>
      </c>
      <c r="R301">
        <v>4</v>
      </c>
      <c r="S301" t="s">
        <v>33</v>
      </c>
      <c r="T301" t="s">
        <v>101</v>
      </c>
      <c r="U301" t="s">
        <v>55</v>
      </c>
      <c r="V301" t="s">
        <v>35</v>
      </c>
      <c r="W301">
        <f>_xlfn.XLOOKUP(F301,tblEmployee[Employee_ID],tblEmployee[Age],"Not Found")</f>
        <v>24</v>
      </c>
      <c r="X301" t="str">
        <f>_xlfn.XLOOKUP(F301,tblEmployee[Employee_ID],tblEmployee[Gender],"Not Found")</f>
        <v>Male</v>
      </c>
      <c r="Y301">
        <f>_xlfn.XLOOKUP(F301,tblEmployee[Employee_ID],tblEmployee[Joining_Date],"")</f>
        <v>45550</v>
      </c>
      <c r="Z301">
        <f>_xlfn.XLOOKUP(H301,tblDepartment[Department],tblDepartment[Annual_Budget_INR],"")</f>
        <v>22000000</v>
      </c>
      <c r="AA301" t="str">
        <f>_xlfn.XLOOKUP(H301,tblDepartment[Department],tblDepartment[Monthly_Target],"")</f>
        <v>2500 Qualified Leads</v>
      </c>
      <c r="AB301">
        <f>_xlfn.XLOOKUP(H301,tblDepartment[Department],tblDepartment[Average_Salary_INR],"")</f>
        <v>590000</v>
      </c>
      <c r="AC301" t="str">
        <f>_xlfn.XLOOKUP(H301,tblDepartment[Department],tblDepartment[Priority_Level],"")</f>
        <v>Medium</v>
      </c>
      <c r="AD301" t="str">
        <f>_xlfn.XLOOKUP(H301,tblDepartment[Department],tblDepartment[Key_KPI],"")</f>
        <v>Lead Generation</v>
      </c>
      <c r="AE301">
        <f>_xlfn.XLOOKUP(tblMaster[[#This Row],[Shift]],tblShift[Shift_Name],tblShift[Login_Time],"")</f>
        <v>0.41666666666666669</v>
      </c>
      <c r="AF301">
        <f>_xlfn.XLOOKUP(tblMaster[[#This Row],[Shift]],tblShift[Shift_Name],tblShift[Logout_Time]," ")</f>
        <v>0.79166666666666663</v>
      </c>
      <c r="AG301">
        <f>_xlfn.XLOOKUP(tblMaster[[#This Row],[Shift]],tblShift[Shift_Name],tblShift[Standard_Working_Hours],"")</f>
        <v>8</v>
      </c>
      <c r="AH301" t="str">
        <f>_xlfn.XLOOKUP(tblMaster[[#This Row],[Attendance_Date]],tblHoliday[Holiday_Date],tblHoliday[Holiday_Name],"Working Day")</f>
        <v>Working Day</v>
      </c>
      <c r="AI301" t="str">
        <f>_xlfn.XLOOKUP(tblMaster[[#This Row],[Attendance_Date]],tblHoliday[Holiday_Date],tblHoliday[Holiday_Type],"Working Day ")</f>
        <v xml:space="preserve">Working Day </v>
      </c>
    </row>
    <row r="302" spans="1:35" hidden="1" x14ac:dyDescent="0.3">
      <c r="A302" t="s">
        <v>488</v>
      </c>
      <c r="B302" s="3">
        <v>45723</v>
      </c>
      <c r="C302" t="s">
        <v>71</v>
      </c>
      <c r="D302" t="s">
        <v>50</v>
      </c>
      <c r="E302" t="s">
        <v>119</v>
      </c>
      <c r="F302" t="s">
        <v>39</v>
      </c>
      <c r="G302" t="s">
        <v>40</v>
      </c>
      <c r="H302" t="s">
        <v>41</v>
      </c>
      <c r="I302" t="s">
        <v>42</v>
      </c>
      <c r="J302" t="s">
        <v>43</v>
      </c>
      <c r="K302" t="s">
        <v>31</v>
      </c>
      <c r="L302" s="2">
        <v>0.375</v>
      </c>
      <c r="M302" s="2">
        <v>0.75</v>
      </c>
      <c r="N302">
        <v>8</v>
      </c>
      <c r="O302">
        <v>0</v>
      </c>
      <c r="P302" t="s">
        <v>32</v>
      </c>
      <c r="R302">
        <v>4</v>
      </c>
      <c r="S302" t="s">
        <v>45</v>
      </c>
      <c r="T302" t="s">
        <v>46</v>
      </c>
      <c r="U302" t="s">
        <v>47</v>
      </c>
      <c r="W302">
        <f>_xlfn.XLOOKUP(F302,tblEmployee[Employee_ID],tblEmployee[Age],"Not Found")</f>
        <v>26</v>
      </c>
      <c r="X302" t="str">
        <f>_xlfn.XLOOKUP(F302,tblEmployee[Employee_ID],tblEmployee[Gender],"Not Found")</f>
        <v>Male</v>
      </c>
      <c r="Y302">
        <f>_xlfn.XLOOKUP(F302,tblEmployee[Employee_ID],tblEmployee[Joining_Date],"")</f>
        <v>45061</v>
      </c>
      <c r="Z302">
        <f>_xlfn.XLOOKUP(H302,tblDepartment[Department],tblDepartment[Annual_Budget_INR],"")</f>
        <v>34000000</v>
      </c>
      <c r="AA302" t="str">
        <f>_xlfn.XLOOKUP(H302,tblDepartment[Department],tblDepartment[Monthly_Target],"")</f>
        <v>95% Process Efficiency</v>
      </c>
      <c r="AB302">
        <f>_xlfn.XLOOKUP(H302,tblDepartment[Department],tblDepartment[Average_Salary_INR],"")</f>
        <v>610000</v>
      </c>
      <c r="AC302" t="str">
        <f>_xlfn.XLOOKUP(H302,tblDepartment[Department],tblDepartment[Priority_Level],"")</f>
        <v>High</v>
      </c>
      <c r="AD302" t="str">
        <f>_xlfn.XLOOKUP(H302,tblDepartment[Department],tblDepartment[Key_KPI],"")</f>
        <v>Operational Efficiency</v>
      </c>
      <c r="AE302">
        <f>_xlfn.XLOOKUP(tblMaster[[#This Row],[Shift]],tblShift[Shift_Name],tblShift[Login_Time],"")</f>
        <v>0.25</v>
      </c>
      <c r="AF302">
        <f>_xlfn.XLOOKUP(tblMaster[[#This Row],[Shift]],tblShift[Shift_Name],tblShift[Logout_Time]," ")</f>
        <v>0.625</v>
      </c>
      <c r="AG302">
        <f>_xlfn.XLOOKUP(tblMaster[[#This Row],[Shift]],tblShift[Shift_Name],tblShift[Standard_Working_Hours],"")</f>
        <v>8</v>
      </c>
      <c r="AH302" t="str">
        <f>_xlfn.XLOOKUP(tblMaster[[#This Row],[Attendance_Date]],tblHoliday[Holiday_Date],tblHoliday[Holiday_Name],"Working Day")</f>
        <v>Working Day</v>
      </c>
      <c r="AI302" t="str">
        <f>_xlfn.XLOOKUP(tblMaster[[#This Row],[Attendance_Date]],tblHoliday[Holiday_Date],tblHoliday[Holiday_Type],"Working Day ")</f>
        <v xml:space="preserve">Working Day </v>
      </c>
    </row>
    <row r="303" spans="1:35" x14ac:dyDescent="0.3">
      <c r="A303" t="s">
        <v>489</v>
      </c>
      <c r="B303" s="3">
        <v>45726</v>
      </c>
      <c r="C303" t="s">
        <v>71</v>
      </c>
      <c r="D303" t="s">
        <v>50</v>
      </c>
      <c r="E303" t="s">
        <v>109</v>
      </c>
      <c r="F303" t="s">
        <v>215</v>
      </c>
      <c r="G303" t="s">
        <v>216</v>
      </c>
      <c r="H303" t="s">
        <v>79</v>
      </c>
      <c r="I303" t="s">
        <v>80</v>
      </c>
      <c r="J303" t="s">
        <v>30</v>
      </c>
      <c r="K303" t="s">
        <v>81</v>
      </c>
      <c r="L303" s="2">
        <v>0.91666666666666663</v>
      </c>
      <c r="M303" s="2">
        <v>0.29166666666666669</v>
      </c>
      <c r="N303">
        <v>8.5</v>
      </c>
      <c r="O303">
        <v>0.5</v>
      </c>
      <c r="P303" t="s">
        <v>32</v>
      </c>
      <c r="R303">
        <v>4</v>
      </c>
      <c r="S303" t="s">
        <v>67</v>
      </c>
      <c r="T303" t="s">
        <v>84</v>
      </c>
      <c r="U303" t="str">
        <f>_xlfn.XLOOKUP(tblMaster[[#This Row],[Employee_ID]],tblEmployee[Employee_ID],tblEmployee[Work_Mode]," ")</f>
        <v>Office</v>
      </c>
      <c r="W303">
        <f>_xlfn.XLOOKUP(F303,tblEmployee[Employee_ID],tblEmployee[Age],"Not Found")</f>
        <v>25</v>
      </c>
      <c r="X303" t="str">
        <f>_xlfn.XLOOKUP(F303,tblEmployee[Employee_ID],tblEmployee[Gender],"Not Found")</f>
        <v>Female</v>
      </c>
      <c r="Y303">
        <f>_xlfn.XLOOKUP(F303,tblEmployee[Employee_ID],tblEmployee[Joining_Date],"")</f>
        <v>44666</v>
      </c>
      <c r="Z303">
        <f>_xlfn.XLOOKUP(H303,tblDepartment[Department],tblDepartment[Annual_Budget_INR],"")</f>
        <v>26000000</v>
      </c>
      <c r="AA303" t="str">
        <f>_xlfn.XLOOKUP(H303,tblDepartment[Department],tblDepartment[Monthly_Target],"")</f>
        <v>100% Payroll Accuracy</v>
      </c>
      <c r="AB303">
        <f>_xlfn.XLOOKUP(H303,tblDepartment[Department],tblDepartment[Average_Salary_INR],"")</f>
        <v>640000</v>
      </c>
      <c r="AC303" t="str">
        <f>_xlfn.XLOOKUP(H303,tblDepartment[Department],tblDepartment[Priority_Level],"")</f>
        <v>High</v>
      </c>
      <c r="AD303" t="str">
        <f>_xlfn.XLOOKUP(H303,tblDepartment[Department],tblDepartment[Key_KPI],"")</f>
        <v>Financial Compliance</v>
      </c>
      <c r="AE303">
        <f>_xlfn.XLOOKUP(tblMaster[[#This Row],[Shift]],tblShift[Shift_Name],tblShift[Login_Time],"")</f>
        <v>0.91666666666666663</v>
      </c>
      <c r="AF303">
        <f>_xlfn.XLOOKUP(tblMaster[[#This Row],[Shift]],tblShift[Shift_Name],tblShift[Logout_Time]," ")</f>
        <v>0.29166666666666669</v>
      </c>
      <c r="AG303">
        <f>_xlfn.XLOOKUP(tblMaster[[#This Row],[Shift]],tblShift[Shift_Name],tblShift[Standard_Working_Hours],"")</f>
        <v>8</v>
      </c>
      <c r="AH303" t="str">
        <f>_xlfn.XLOOKUP(tblMaster[[#This Row],[Attendance_Date]],tblHoliday[Holiday_Date],tblHoliday[Holiday_Name],"Working Day")</f>
        <v>Working Day</v>
      </c>
      <c r="AI303" t="str">
        <f>_xlfn.XLOOKUP(tblMaster[[#This Row],[Attendance_Date]],tblHoliday[Holiday_Date],tblHoliday[Holiday_Type],"Working Day ")</f>
        <v xml:space="preserve">Working Day </v>
      </c>
    </row>
    <row r="304" spans="1:35" hidden="1" x14ac:dyDescent="0.3">
      <c r="A304" t="s">
        <v>490</v>
      </c>
      <c r="B304" s="1">
        <v>45760</v>
      </c>
      <c r="C304" t="s">
        <v>37</v>
      </c>
      <c r="D304" t="s">
        <v>24</v>
      </c>
      <c r="E304" t="s">
        <v>103</v>
      </c>
      <c r="F304" t="s">
        <v>170</v>
      </c>
      <c r="G304" t="s">
        <v>171</v>
      </c>
      <c r="H304" t="s">
        <v>64</v>
      </c>
      <c r="I304" t="s">
        <v>65</v>
      </c>
      <c r="J304" t="s">
        <v>43</v>
      </c>
      <c r="K304" t="s">
        <v>81</v>
      </c>
      <c r="L304" s="2">
        <v>0.91666666666666663</v>
      </c>
      <c r="M304" s="2">
        <v>0.29166666666666669</v>
      </c>
      <c r="N304">
        <v>9.5</v>
      </c>
      <c r="O304">
        <v>1.5</v>
      </c>
      <c r="P304" t="s">
        <v>32</v>
      </c>
      <c r="S304" t="s">
        <v>45</v>
      </c>
      <c r="T304" t="s">
        <v>68</v>
      </c>
      <c r="U304" t="s">
        <v>85</v>
      </c>
      <c r="V304" t="s">
        <v>60</v>
      </c>
      <c r="W304">
        <f>_xlfn.XLOOKUP(F304,tblEmployee[Employee_ID],tblEmployee[Age],"Not Found")</f>
        <v>36</v>
      </c>
      <c r="X304" t="str">
        <f>_xlfn.XLOOKUP(F304,tblEmployee[Employee_ID],tblEmployee[Gender],"Not Found")</f>
        <v>Female</v>
      </c>
      <c r="Y304">
        <f>_xlfn.XLOOKUP(F304,tblEmployee[Employee_ID],tblEmployee[Joining_Date],"")</f>
        <v>43539</v>
      </c>
      <c r="Z304">
        <f>_xlfn.XLOOKUP(H304,tblDepartment[Department],tblDepartment[Annual_Budget_INR],"")</f>
        <v>85000000</v>
      </c>
      <c r="AA304" t="str">
        <f>_xlfn.XLOOKUP(H304,tblDepartment[Department],tblDepartment[Monthly_Target],"")</f>
        <v>99.5% System Uptime</v>
      </c>
      <c r="AB304">
        <f>_xlfn.XLOOKUP(H304,tblDepartment[Department],tblDepartment[Average_Salary_INR],"")</f>
        <v>720000</v>
      </c>
      <c r="AC304" t="str">
        <f>_xlfn.XLOOKUP(H304,tblDepartment[Department],tblDepartment[Priority_Level],"")</f>
        <v>High</v>
      </c>
      <c r="AD304" t="str">
        <f>_xlfn.XLOOKUP(H304,tblDepartment[Department],tblDepartment[Key_KPI],"")</f>
        <v>Project Delivery</v>
      </c>
      <c r="AE304">
        <f>_xlfn.XLOOKUP(tblMaster[[#This Row],[Shift]],tblShift[Shift_Name],tblShift[Login_Time],"")</f>
        <v>0.91666666666666663</v>
      </c>
      <c r="AF304">
        <f>_xlfn.XLOOKUP(tblMaster[[#This Row],[Shift]],tblShift[Shift_Name],tblShift[Logout_Time]," ")</f>
        <v>0.29166666666666669</v>
      </c>
      <c r="AG304">
        <f>_xlfn.XLOOKUP(tblMaster[[#This Row],[Shift]],tblShift[Shift_Name],tblShift[Standard_Working_Hours],"")</f>
        <v>8</v>
      </c>
      <c r="AH304" t="str">
        <f>_xlfn.XLOOKUP(tblMaster[[#This Row],[Attendance_Date]],tblHoliday[Holiday_Date],tblHoliday[Holiday_Name],"Working Day")</f>
        <v>Working Day</v>
      </c>
      <c r="AI304" t="str">
        <f>_xlfn.XLOOKUP(tblMaster[[#This Row],[Attendance_Date]],tblHoliday[Holiday_Date],tblHoliday[Holiday_Type],"Working Day ")</f>
        <v xml:space="preserve">Working Day </v>
      </c>
    </row>
    <row r="305" spans="1:35" hidden="1" x14ac:dyDescent="0.3">
      <c r="A305" t="s">
        <v>491</v>
      </c>
      <c r="B305" s="3">
        <v>45806</v>
      </c>
      <c r="C305" t="s">
        <v>57</v>
      </c>
      <c r="D305" t="s">
        <v>24</v>
      </c>
      <c r="E305" t="s">
        <v>25</v>
      </c>
      <c r="F305" t="s">
        <v>52</v>
      </c>
      <c r="G305" t="s">
        <v>53</v>
      </c>
      <c r="H305" t="s">
        <v>41</v>
      </c>
      <c r="I305" t="s">
        <v>42</v>
      </c>
      <c r="J305" t="s">
        <v>43</v>
      </c>
      <c r="K305" t="s">
        <v>81</v>
      </c>
      <c r="P305" t="s">
        <v>82</v>
      </c>
      <c r="Q305" t="s">
        <v>83</v>
      </c>
      <c r="S305" t="s">
        <v>92</v>
      </c>
      <c r="T305" t="s">
        <v>46</v>
      </c>
      <c r="U305" t="s">
        <v>47</v>
      </c>
      <c r="V305" t="s">
        <v>69</v>
      </c>
      <c r="W305">
        <f>_xlfn.XLOOKUP(F305,tblEmployee[Employee_ID],tblEmployee[Age],"Not Found")</f>
        <v>27</v>
      </c>
      <c r="X305" t="str">
        <f>_xlfn.XLOOKUP(F305,tblEmployee[Employee_ID],tblEmployee[Gender],"Not Found")</f>
        <v>Male</v>
      </c>
      <c r="Y305">
        <f>_xlfn.XLOOKUP(F305,tblEmployee[Employee_ID],tblEmployee[Joining_Date],"")</f>
        <v>45092</v>
      </c>
      <c r="Z305">
        <f>_xlfn.XLOOKUP(H305,tblDepartment[Department],tblDepartment[Annual_Budget_INR],"")</f>
        <v>34000000</v>
      </c>
      <c r="AA305" t="str">
        <f>_xlfn.XLOOKUP(H305,tblDepartment[Department],tblDepartment[Monthly_Target],"")</f>
        <v>95% Process Efficiency</v>
      </c>
      <c r="AB305">
        <f>_xlfn.XLOOKUP(H305,tblDepartment[Department],tblDepartment[Average_Salary_INR],"")</f>
        <v>610000</v>
      </c>
      <c r="AC305" t="str">
        <f>_xlfn.XLOOKUP(H305,tblDepartment[Department],tblDepartment[Priority_Level],"")</f>
        <v>High</v>
      </c>
      <c r="AD305" t="str">
        <f>_xlfn.XLOOKUP(H305,tblDepartment[Department],tblDepartment[Key_KPI],"")</f>
        <v>Operational Efficiency</v>
      </c>
      <c r="AE305">
        <f>_xlfn.XLOOKUP(tblMaster[[#This Row],[Shift]],tblShift[Shift_Name],tblShift[Login_Time],"")</f>
        <v>0.91666666666666663</v>
      </c>
      <c r="AF305">
        <f>_xlfn.XLOOKUP(tblMaster[[#This Row],[Shift]],tblShift[Shift_Name],tblShift[Logout_Time]," ")</f>
        <v>0.29166666666666669</v>
      </c>
      <c r="AG305">
        <f>_xlfn.XLOOKUP(tblMaster[[#This Row],[Shift]],tblShift[Shift_Name],tblShift[Standard_Working_Hours],"")</f>
        <v>8</v>
      </c>
      <c r="AH305" t="str">
        <f>_xlfn.XLOOKUP(tblMaster[[#This Row],[Attendance_Date]],tblHoliday[Holiday_Date],tblHoliday[Holiday_Name],"Working Day")</f>
        <v>Working Day</v>
      </c>
      <c r="AI305" t="str">
        <f>_xlfn.XLOOKUP(tblMaster[[#This Row],[Attendance_Date]],tblHoliday[Holiday_Date],tblHoliday[Holiday_Type],"Working Day ")</f>
        <v xml:space="preserve">Working Day </v>
      </c>
    </row>
    <row r="306" spans="1:35" x14ac:dyDescent="0.3">
      <c r="A306" t="s">
        <v>492</v>
      </c>
      <c r="B306" s="3">
        <v>45692</v>
      </c>
      <c r="C306" t="s">
        <v>95</v>
      </c>
      <c r="D306" t="s">
        <v>50</v>
      </c>
      <c r="E306" t="s">
        <v>87</v>
      </c>
      <c r="F306" t="s">
        <v>133</v>
      </c>
      <c r="G306" t="s">
        <v>134</v>
      </c>
      <c r="H306" t="s">
        <v>98</v>
      </c>
      <c r="I306" t="s">
        <v>99</v>
      </c>
      <c r="J306" t="s">
        <v>66</v>
      </c>
      <c r="K306" t="s">
        <v>81</v>
      </c>
      <c r="L306" s="2">
        <v>0.91666666666666663</v>
      </c>
      <c r="M306" s="2">
        <v>0.29166666666666669</v>
      </c>
      <c r="N306">
        <v>9</v>
      </c>
      <c r="O306">
        <v>1</v>
      </c>
      <c r="P306" t="s">
        <v>32</v>
      </c>
      <c r="S306" t="s">
        <v>45</v>
      </c>
      <c r="T306" t="s">
        <v>101</v>
      </c>
      <c r="U306" t="str">
        <f>_xlfn.XLOOKUP(tblMaster[[#This Row],[Employee_ID]],tblEmployee[Employee_ID],tblEmployee[Work_Mode]," ")</f>
        <v>Remote</v>
      </c>
      <c r="V306" t="s">
        <v>35</v>
      </c>
      <c r="W306">
        <f>_xlfn.XLOOKUP(F306,tblEmployee[Employee_ID],tblEmployee[Age],"Not Found")</f>
        <v>27</v>
      </c>
      <c r="X306" t="str">
        <f>_xlfn.XLOOKUP(F306,tblEmployee[Employee_ID],tblEmployee[Gender],"Not Found")</f>
        <v>Male</v>
      </c>
      <c r="Y306">
        <f>_xlfn.XLOOKUP(F306,tblEmployee[Employee_ID],tblEmployee[Joining_Date],"")</f>
        <v>45458</v>
      </c>
      <c r="Z306">
        <f>_xlfn.XLOOKUP(H306,tblDepartment[Department],tblDepartment[Annual_Budget_INR],"")</f>
        <v>22000000</v>
      </c>
      <c r="AA306" t="str">
        <f>_xlfn.XLOOKUP(H306,tblDepartment[Department],tblDepartment[Monthly_Target],"")</f>
        <v>2500 Qualified Leads</v>
      </c>
      <c r="AB306">
        <f>_xlfn.XLOOKUP(H306,tblDepartment[Department],tblDepartment[Average_Salary_INR],"")</f>
        <v>590000</v>
      </c>
      <c r="AC306" t="str">
        <f>_xlfn.XLOOKUP(H306,tblDepartment[Department],tblDepartment[Priority_Level],"")</f>
        <v>Medium</v>
      </c>
      <c r="AD306" t="str">
        <f>_xlfn.XLOOKUP(H306,tblDepartment[Department],tblDepartment[Key_KPI],"")</f>
        <v>Lead Generation</v>
      </c>
      <c r="AE306">
        <f>_xlfn.XLOOKUP(tblMaster[[#This Row],[Shift]],tblShift[Shift_Name],tblShift[Login_Time],"")</f>
        <v>0.91666666666666663</v>
      </c>
      <c r="AF306">
        <f>_xlfn.XLOOKUP(tblMaster[[#This Row],[Shift]],tblShift[Shift_Name],tblShift[Logout_Time]," ")</f>
        <v>0.29166666666666669</v>
      </c>
      <c r="AG306">
        <f>_xlfn.XLOOKUP(tblMaster[[#This Row],[Shift]],tblShift[Shift_Name],tblShift[Standard_Working_Hours],"")</f>
        <v>8</v>
      </c>
      <c r="AH306" t="str">
        <f>_xlfn.XLOOKUP(tblMaster[[#This Row],[Attendance_Date]],tblHoliday[Holiday_Date],tblHoliday[Holiday_Name],"Working Day")</f>
        <v>Working Day</v>
      </c>
      <c r="AI306" t="str">
        <f>_xlfn.XLOOKUP(tblMaster[[#This Row],[Attendance_Date]],tblHoliday[Holiday_Date],tblHoliday[Holiday_Type],"Working Day ")</f>
        <v xml:space="preserve">Working Day </v>
      </c>
    </row>
    <row r="307" spans="1:35" hidden="1" x14ac:dyDescent="0.3">
      <c r="A307" t="s">
        <v>493</v>
      </c>
      <c r="B307" s="3">
        <v>45688</v>
      </c>
      <c r="C307" t="s">
        <v>49</v>
      </c>
      <c r="D307" t="s">
        <v>50</v>
      </c>
      <c r="E307" t="s">
        <v>119</v>
      </c>
      <c r="F307" t="s">
        <v>26</v>
      </c>
      <c r="G307" t="s">
        <v>27</v>
      </c>
      <c r="H307" t="s">
        <v>28</v>
      </c>
      <c r="I307" t="s">
        <v>29</v>
      </c>
      <c r="J307" t="s">
        <v>30</v>
      </c>
      <c r="K307" t="s">
        <v>75</v>
      </c>
      <c r="P307" t="s">
        <v>82</v>
      </c>
      <c r="Q307" t="s">
        <v>225</v>
      </c>
      <c r="S307" t="s">
        <v>92</v>
      </c>
      <c r="T307" t="s">
        <v>34</v>
      </c>
      <c r="U307" t="s">
        <v>47</v>
      </c>
      <c r="V307" t="s">
        <v>69</v>
      </c>
      <c r="W307">
        <f>_xlfn.XLOOKUP(F307,tblEmployee[Employee_ID],tblEmployee[Age],"Not Found")</f>
        <v>36</v>
      </c>
      <c r="X307" t="str">
        <f>_xlfn.XLOOKUP(F307,tblEmployee[Employee_ID],tblEmployee[Gender],"Not Found")</f>
        <v>Female</v>
      </c>
      <c r="Y307">
        <f>_xlfn.XLOOKUP(F307,tblEmployee[Employee_ID],tblEmployee[Joining_Date],"")</f>
        <v>43174</v>
      </c>
      <c r="Z307">
        <f>_xlfn.XLOOKUP(H307,tblDepartment[Department],tblDepartment[Annual_Budget_INR],"")</f>
        <v>24000000</v>
      </c>
      <c r="AA307" t="str">
        <f>_xlfn.XLOOKUP(H307,tblDepartment[Department],tblDepartment[Monthly_Target],"")</f>
        <v>90% Customer Satisfaction</v>
      </c>
      <c r="AB307">
        <f>_xlfn.XLOOKUP(H307,tblDepartment[Department],tblDepartment[Average_Salary_INR],"")</f>
        <v>520000</v>
      </c>
      <c r="AC307" t="str">
        <f>_xlfn.XLOOKUP(H307,tblDepartment[Department],tblDepartment[Priority_Level],"")</f>
        <v>High</v>
      </c>
      <c r="AD307" t="str">
        <f>_xlfn.XLOOKUP(H307,tblDepartment[Department],tblDepartment[Key_KPI],"")</f>
        <v>Customer Satisfaction</v>
      </c>
      <c r="AE307">
        <f>_xlfn.XLOOKUP(tblMaster[[#This Row],[Shift]],tblShift[Shift_Name],tblShift[Login_Time],"")</f>
        <v>0.375</v>
      </c>
      <c r="AF307">
        <f>_xlfn.XLOOKUP(tblMaster[[#This Row],[Shift]],tblShift[Shift_Name],tblShift[Logout_Time]," ")</f>
        <v>0.75</v>
      </c>
      <c r="AG307">
        <f>_xlfn.XLOOKUP(tblMaster[[#This Row],[Shift]],tblShift[Shift_Name],tblShift[Standard_Working_Hours],"")</f>
        <v>8</v>
      </c>
      <c r="AH307" t="str">
        <f>_xlfn.XLOOKUP(tblMaster[[#This Row],[Attendance_Date]],tblHoliday[Holiday_Date],tblHoliday[Holiday_Name],"Working Day")</f>
        <v>Working Day</v>
      </c>
      <c r="AI307" t="str">
        <f>_xlfn.XLOOKUP(tblMaster[[#This Row],[Attendance_Date]],tblHoliday[Holiday_Date],tblHoliday[Holiday_Type],"Working Day ")</f>
        <v xml:space="preserve">Working Day </v>
      </c>
    </row>
    <row r="308" spans="1:35" hidden="1" x14ac:dyDescent="0.3">
      <c r="A308" t="s">
        <v>494</v>
      </c>
      <c r="B308" s="3">
        <v>45789</v>
      </c>
      <c r="C308" t="s">
        <v>57</v>
      </c>
      <c r="D308" t="s">
        <v>24</v>
      </c>
      <c r="E308" t="s">
        <v>109</v>
      </c>
      <c r="F308" t="s">
        <v>185</v>
      </c>
      <c r="G308" t="s">
        <v>186</v>
      </c>
      <c r="H308" t="s">
        <v>79</v>
      </c>
      <c r="I308" t="s">
        <v>80</v>
      </c>
      <c r="J308" t="s">
        <v>66</v>
      </c>
      <c r="K308" t="s">
        <v>54</v>
      </c>
      <c r="L308" s="2">
        <v>0.375</v>
      </c>
      <c r="M308" s="2">
        <v>0.75</v>
      </c>
      <c r="N308">
        <v>8</v>
      </c>
      <c r="O308">
        <v>0</v>
      </c>
      <c r="P308" t="s">
        <v>32</v>
      </c>
      <c r="R308">
        <v>3</v>
      </c>
      <c r="S308" t="s">
        <v>67</v>
      </c>
      <c r="T308" t="s">
        <v>84</v>
      </c>
      <c r="U308" t="s">
        <v>47</v>
      </c>
      <c r="W308">
        <f>_xlfn.XLOOKUP(F308,tblEmployee[Employee_ID],tblEmployee[Age],"Not Found")</f>
        <v>33</v>
      </c>
      <c r="X308" t="str">
        <f>_xlfn.XLOOKUP(F308,tblEmployee[Employee_ID],tblEmployee[Gender],"Not Found")</f>
        <v>Male</v>
      </c>
      <c r="Y308">
        <f>_xlfn.XLOOKUP(F308,tblEmployee[Employee_ID],tblEmployee[Joining_Date],"")</f>
        <v>44910</v>
      </c>
      <c r="Z308">
        <f>_xlfn.XLOOKUP(H308,tblDepartment[Department],tblDepartment[Annual_Budget_INR],"")</f>
        <v>26000000</v>
      </c>
      <c r="AA308" t="str">
        <f>_xlfn.XLOOKUP(H308,tblDepartment[Department],tblDepartment[Monthly_Target],"")</f>
        <v>100% Payroll Accuracy</v>
      </c>
      <c r="AB308">
        <f>_xlfn.XLOOKUP(H308,tblDepartment[Department],tblDepartment[Average_Salary_INR],"")</f>
        <v>640000</v>
      </c>
      <c r="AC308" t="str">
        <f>_xlfn.XLOOKUP(H308,tblDepartment[Department],tblDepartment[Priority_Level],"")</f>
        <v>High</v>
      </c>
      <c r="AD308" t="str">
        <f>_xlfn.XLOOKUP(H308,tblDepartment[Department],tblDepartment[Key_KPI],"")</f>
        <v>Financial Compliance</v>
      </c>
      <c r="AE308">
        <f>_xlfn.XLOOKUP(tblMaster[[#This Row],[Shift]],tblShift[Shift_Name],tblShift[Login_Time],"")</f>
        <v>0.58333333333333337</v>
      </c>
      <c r="AF308">
        <f>_xlfn.XLOOKUP(tblMaster[[#This Row],[Shift]],tblShift[Shift_Name],tblShift[Logout_Time]," ")</f>
        <v>0.95833333333333337</v>
      </c>
      <c r="AG308">
        <f>_xlfn.XLOOKUP(tblMaster[[#This Row],[Shift]],tblShift[Shift_Name],tblShift[Standard_Working_Hours],"")</f>
        <v>8</v>
      </c>
      <c r="AH308" t="str">
        <f>_xlfn.XLOOKUP(tblMaster[[#This Row],[Attendance_Date]],tblHoliday[Holiday_Date],tblHoliday[Holiday_Name],"Working Day")</f>
        <v>Working Day</v>
      </c>
      <c r="AI308" t="str">
        <f>_xlfn.XLOOKUP(tblMaster[[#This Row],[Attendance_Date]],tblHoliday[Holiday_Date],tblHoliday[Holiday_Type],"Working Day ")</f>
        <v xml:space="preserve">Working Day </v>
      </c>
    </row>
    <row r="309" spans="1:35" x14ac:dyDescent="0.3">
      <c r="A309" t="s">
        <v>495</v>
      </c>
      <c r="B309" s="3">
        <v>45734</v>
      </c>
      <c r="C309" t="s">
        <v>71</v>
      </c>
      <c r="D309" t="s">
        <v>50</v>
      </c>
      <c r="E309" t="s">
        <v>87</v>
      </c>
      <c r="F309" t="s">
        <v>305</v>
      </c>
      <c r="G309" t="s">
        <v>306</v>
      </c>
      <c r="H309" t="s">
        <v>79</v>
      </c>
      <c r="I309" t="s">
        <v>80</v>
      </c>
      <c r="J309" t="s">
        <v>74</v>
      </c>
      <c r="K309" t="s">
        <v>31</v>
      </c>
      <c r="L309" s="2">
        <v>0.375</v>
      </c>
      <c r="M309" s="2">
        <v>0.75</v>
      </c>
      <c r="N309">
        <v>8</v>
      </c>
      <c r="O309">
        <v>0</v>
      </c>
      <c r="P309" t="s">
        <v>32</v>
      </c>
      <c r="R309">
        <v>4</v>
      </c>
      <c r="S309" t="s">
        <v>45</v>
      </c>
      <c r="T309" t="s">
        <v>84</v>
      </c>
      <c r="U309" t="str">
        <f>_xlfn.XLOOKUP(tblMaster[[#This Row],[Employee_ID]],tblEmployee[Employee_ID],tblEmployee[Work_Mode]," ")</f>
        <v>Remote</v>
      </c>
      <c r="V309" t="s">
        <v>35</v>
      </c>
      <c r="W309">
        <f>_xlfn.XLOOKUP(F309,tblEmployee[Employee_ID],tblEmployee[Age],"Not Found")</f>
        <v>36</v>
      </c>
      <c r="X309" t="str">
        <f>_xlfn.XLOOKUP(F309,tblEmployee[Employee_ID],tblEmployee[Gender],"Not Found")</f>
        <v>Female</v>
      </c>
      <c r="Y309">
        <f>_xlfn.XLOOKUP(F309,tblEmployee[Employee_ID],tblEmployee[Joining_Date],"")</f>
        <v>44819</v>
      </c>
      <c r="Z309">
        <f>_xlfn.XLOOKUP(H309,tblDepartment[Department],tblDepartment[Annual_Budget_INR],"")</f>
        <v>26000000</v>
      </c>
      <c r="AA309" t="str">
        <f>_xlfn.XLOOKUP(H309,tblDepartment[Department],tblDepartment[Monthly_Target],"")</f>
        <v>100% Payroll Accuracy</v>
      </c>
      <c r="AB309">
        <f>_xlfn.XLOOKUP(H309,tblDepartment[Department],tblDepartment[Average_Salary_INR],"")</f>
        <v>640000</v>
      </c>
      <c r="AC309" t="str">
        <f>_xlfn.XLOOKUP(H309,tblDepartment[Department],tblDepartment[Priority_Level],"")</f>
        <v>High</v>
      </c>
      <c r="AD309" t="str">
        <f>_xlfn.XLOOKUP(H309,tblDepartment[Department],tblDepartment[Key_KPI],"")</f>
        <v>Financial Compliance</v>
      </c>
      <c r="AE309">
        <f>_xlfn.XLOOKUP(tblMaster[[#This Row],[Shift]],tblShift[Shift_Name],tblShift[Login_Time],"")</f>
        <v>0.25</v>
      </c>
      <c r="AF309">
        <f>_xlfn.XLOOKUP(tblMaster[[#This Row],[Shift]],tblShift[Shift_Name],tblShift[Logout_Time]," ")</f>
        <v>0.625</v>
      </c>
      <c r="AG309">
        <f>_xlfn.XLOOKUP(tblMaster[[#This Row],[Shift]],tblShift[Shift_Name],tblShift[Standard_Working_Hours],"")</f>
        <v>8</v>
      </c>
      <c r="AH309" t="str">
        <f>_xlfn.XLOOKUP(tblMaster[[#This Row],[Attendance_Date]],tblHoliday[Holiday_Date],tblHoliday[Holiday_Name],"Working Day")</f>
        <v>Working Day</v>
      </c>
      <c r="AI309" t="str">
        <f>_xlfn.XLOOKUP(tblMaster[[#This Row],[Attendance_Date]],tblHoliday[Holiday_Date],tblHoliday[Holiday_Type],"Working Day ")</f>
        <v xml:space="preserve">Working Day </v>
      </c>
    </row>
    <row r="310" spans="1:35" hidden="1" x14ac:dyDescent="0.3">
      <c r="A310" t="s">
        <v>496</v>
      </c>
      <c r="B310" s="1">
        <v>45683</v>
      </c>
      <c r="C310" t="s">
        <v>49</v>
      </c>
      <c r="D310" t="s">
        <v>50</v>
      </c>
      <c r="E310" t="s">
        <v>103</v>
      </c>
      <c r="F310" t="s">
        <v>258</v>
      </c>
      <c r="G310" t="s">
        <v>259</v>
      </c>
      <c r="H310" t="s">
        <v>112</v>
      </c>
      <c r="I310" t="s">
        <v>113</v>
      </c>
      <c r="J310" t="s">
        <v>74</v>
      </c>
      <c r="K310" t="s">
        <v>44</v>
      </c>
      <c r="L310" s="2">
        <v>0.38194444444444442</v>
      </c>
      <c r="M310" s="2">
        <v>0.75</v>
      </c>
      <c r="N310">
        <v>8</v>
      </c>
      <c r="O310">
        <v>0</v>
      </c>
      <c r="P310" t="s">
        <v>32</v>
      </c>
      <c r="S310" t="s">
        <v>45</v>
      </c>
      <c r="T310" t="s">
        <v>114</v>
      </c>
      <c r="U310" t="s">
        <v>85</v>
      </c>
      <c r="W310">
        <f>_xlfn.XLOOKUP(F310,tblEmployee[Employee_ID],tblEmployee[Age],"Not Found")</f>
        <v>39</v>
      </c>
      <c r="X310" t="str">
        <f>_xlfn.XLOOKUP(F310,tblEmployee[Employee_ID],tblEmployee[Gender],"Not Found")</f>
        <v>Male</v>
      </c>
      <c r="Y310">
        <f>_xlfn.XLOOKUP(F310,tblEmployee[Employee_ID],tblEmployee[Joining_Date],"")</f>
        <v>44362</v>
      </c>
      <c r="Z310">
        <f>_xlfn.XLOOKUP(H310,tblDepartment[Department],tblDepartment[Annual_Budget_INR],"")</f>
        <v>42000000</v>
      </c>
      <c r="AA310" t="str">
        <f>_xlfn.XLOOKUP(H310,tblDepartment[Department],tblDepartment[Monthly_Target],"")</f>
        <v>₹2.5 Cr Monthly Sales</v>
      </c>
      <c r="AB310">
        <f>_xlfn.XLOOKUP(H310,tblDepartment[Department],tblDepartment[Average_Salary_INR],"")</f>
        <v>680000</v>
      </c>
      <c r="AC310" t="str">
        <f>_xlfn.XLOOKUP(H310,tblDepartment[Department],tblDepartment[Priority_Level],"")</f>
        <v>High</v>
      </c>
      <c r="AD310" t="str">
        <f>_xlfn.XLOOKUP(H310,tblDepartment[Department],tblDepartment[Key_KPI],"")</f>
        <v>Revenue Achievement</v>
      </c>
      <c r="AE310">
        <f>_xlfn.XLOOKUP(tblMaster[[#This Row],[Shift]],tblShift[Shift_Name],tblShift[Login_Time],"")</f>
        <v>0.41666666666666669</v>
      </c>
      <c r="AF310">
        <f>_xlfn.XLOOKUP(tblMaster[[#This Row],[Shift]],tblShift[Shift_Name],tblShift[Logout_Time]," ")</f>
        <v>0.79166666666666663</v>
      </c>
      <c r="AG310">
        <f>_xlfn.XLOOKUP(tblMaster[[#This Row],[Shift]],tblShift[Shift_Name],tblShift[Standard_Working_Hours],"")</f>
        <v>8</v>
      </c>
      <c r="AH310" t="str">
        <f>_xlfn.XLOOKUP(tblMaster[[#This Row],[Attendance_Date]],tblHoliday[Holiday_Date],tblHoliday[Holiday_Name],"Working Day")</f>
        <v>Republic Day</v>
      </c>
      <c r="AI310" t="str">
        <f>_xlfn.XLOOKUP(tblMaster[[#This Row],[Attendance_Date]],tblHoliday[Holiday_Date],tblHoliday[Holiday_Type],"Working Day ")</f>
        <v>National</v>
      </c>
    </row>
    <row r="311" spans="1:35" hidden="1" x14ac:dyDescent="0.3">
      <c r="A311" t="s">
        <v>497</v>
      </c>
      <c r="B311" s="1">
        <v>45821</v>
      </c>
      <c r="C311" t="s">
        <v>23</v>
      </c>
      <c r="D311" t="s">
        <v>24</v>
      </c>
      <c r="E311" t="s">
        <v>119</v>
      </c>
      <c r="F311" t="s">
        <v>77</v>
      </c>
      <c r="G311" t="s">
        <v>78</v>
      </c>
      <c r="H311" t="s">
        <v>79</v>
      </c>
      <c r="I311" t="s">
        <v>80</v>
      </c>
      <c r="J311" t="s">
        <v>30</v>
      </c>
      <c r="K311" t="s">
        <v>81</v>
      </c>
      <c r="L311" s="2">
        <v>0.91666666666666663</v>
      </c>
      <c r="M311" s="2">
        <v>0.29166666666666669</v>
      </c>
      <c r="N311">
        <v>9.5</v>
      </c>
      <c r="O311">
        <v>1.5</v>
      </c>
      <c r="P311" t="s">
        <v>32</v>
      </c>
      <c r="R311">
        <v>3</v>
      </c>
      <c r="S311" t="s">
        <v>92</v>
      </c>
      <c r="T311" t="s">
        <v>84</v>
      </c>
      <c r="U311" t="s">
        <v>55</v>
      </c>
      <c r="V311" t="s">
        <v>69</v>
      </c>
      <c r="W311">
        <f>_xlfn.XLOOKUP(F311,tblEmployee[Employee_ID],tblEmployee[Age],"Not Found")</f>
        <v>26</v>
      </c>
      <c r="X311" t="str">
        <f>_xlfn.XLOOKUP(F311,tblEmployee[Employee_ID],tblEmployee[Gender],"Not Found")</f>
        <v>Female</v>
      </c>
      <c r="Y311">
        <f>_xlfn.XLOOKUP(F311,tblEmployee[Employee_ID],tblEmployee[Joining_Date],"")</f>
        <v>44696</v>
      </c>
      <c r="Z311">
        <f>_xlfn.XLOOKUP(H311,tblDepartment[Department],tblDepartment[Annual_Budget_INR],"")</f>
        <v>26000000</v>
      </c>
      <c r="AA311" t="str">
        <f>_xlfn.XLOOKUP(H311,tblDepartment[Department],tblDepartment[Monthly_Target],"")</f>
        <v>100% Payroll Accuracy</v>
      </c>
      <c r="AB311">
        <f>_xlfn.XLOOKUP(H311,tblDepartment[Department],tblDepartment[Average_Salary_INR],"")</f>
        <v>640000</v>
      </c>
      <c r="AC311" t="str">
        <f>_xlfn.XLOOKUP(H311,tblDepartment[Department],tblDepartment[Priority_Level],"")</f>
        <v>High</v>
      </c>
      <c r="AD311" t="str">
        <f>_xlfn.XLOOKUP(H311,tblDepartment[Department],tblDepartment[Key_KPI],"")</f>
        <v>Financial Compliance</v>
      </c>
      <c r="AE311">
        <f>_xlfn.XLOOKUP(tblMaster[[#This Row],[Shift]],tblShift[Shift_Name],tblShift[Login_Time],"")</f>
        <v>0.91666666666666663</v>
      </c>
      <c r="AF311">
        <f>_xlfn.XLOOKUP(tblMaster[[#This Row],[Shift]],tblShift[Shift_Name],tblShift[Logout_Time]," ")</f>
        <v>0.29166666666666669</v>
      </c>
      <c r="AG311">
        <f>_xlfn.XLOOKUP(tblMaster[[#This Row],[Shift]],tblShift[Shift_Name],tblShift[Standard_Working_Hours],"")</f>
        <v>8</v>
      </c>
      <c r="AH311" t="str">
        <f>_xlfn.XLOOKUP(tblMaster[[#This Row],[Attendance_Date]],tblHoliday[Holiday_Date],tblHoliday[Holiday_Name],"Working Day")</f>
        <v>Working Day</v>
      </c>
      <c r="AI311" t="str">
        <f>_xlfn.XLOOKUP(tblMaster[[#This Row],[Attendance_Date]],tblHoliday[Holiday_Date],tblHoliday[Holiday_Type],"Working Day ")</f>
        <v xml:space="preserve">Working Day </v>
      </c>
    </row>
    <row r="312" spans="1:35" hidden="1" x14ac:dyDescent="0.3">
      <c r="A312" t="s">
        <v>498</v>
      </c>
      <c r="B312" s="3">
        <v>45714</v>
      </c>
      <c r="C312" t="s">
        <v>95</v>
      </c>
      <c r="D312" t="s">
        <v>50</v>
      </c>
      <c r="E312" t="s">
        <v>51</v>
      </c>
      <c r="F312" t="s">
        <v>77</v>
      </c>
      <c r="G312" t="s">
        <v>78</v>
      </c>
      <c r="H312" t="s">
        <v>79</v>
      </c>
      <c r="I312" t="s">
        <v>80</v>
      </c>
      <c r="J312" t="s">
        <v>30</v>
      </c>
      <c r="K312" t="s">
        <v>44</v>
      </c>
      <c r="L312" s="2">
        <v>0.375</v>
      </c>
      <c r="M312" s="2">
        <v>0.75</v>
      </c>
      <c r="N312">
        <v>8</v>
      </c>
      <c r="O312">
        <v>0</v>
      </c>
      <c r="P312" t="s">
        <v>32</v>
      </c>
      <c r="R312">
        <v>3</v>
      </c>
      <c r="S312" t="s">
        <v>33</v>
      </c>
      <c r="T312" t="s">
        <v>84</v>
      </c>
      <c r="U312" t="s">
        <v>47</v>
      </c>
      <c r="V312" t="s">
        <v>35</v>
      </c>
      <c r="W312">
        <f>_xlfn.XLOOKUP(F312,tblEmployee[Employee_ID],tblEmployee[Age],"Not Found")</f>
        <v>26</v>
      </c>
      <c r="X312" t="str">
        <f>_xlfn.XLOOKUP(F312,tblEmployee[Employee_ID],tblEmployee[Gender],"Not Found")</f>
        <v>Female</v>
      </c>
      <c r="Y312">
        <f>_xlfn.XLOOKUP(F312,tblEmployee[Employee_ID],tblEmployee[Joining_Date],"")</f>
        <v>44696</v>
      </c>
      <c r="Z312">
        <f>_xlfn.XLOOKUP(H312,tblDepartment[Department],tblDepartment[Annual_Budget_INR],"")</f>
        <v>26000000</v>
      </c>
      <c r="AA312" t="str">
        <f>_xlfn.XLOOKUP(H312,tblDepartment[Department],tblDepartment[Monthly_Target],"")</f>
        <v>100% Payroll Accuracy</v>
      </c>
      <c r="AB312">
        <f>_xlfn.XLOOKUP(H312,tblDepartment[Department],tblDepartment[Average_Salary_INR],"")</f>
        <v>640000</v>
      </c>
      <c r="AC312" t="str">
        <f>_xlfn.XLOOKUP(H312,tblDepartment[Department],tblDepartment[Priority_Level],"")</f>
        <v>High</v>
      </c>
      <c r="AD312" t="str">
        <f>_xlfn.XLOOKUP(H312,tblDepartment[Department],tblDepartment[Key_KPI],"")</f>
        <v>Financial Compliance</v>
      </c>
      <c r="AE312">
        <f>_xlfn.XLOOKUP(tblMaster[[#This Row],[Shift]],tblShift[Shift_Name],tblShift[Login_Time],"")</f>
        <v>0.41666666666666669</v>
      </c>
      <c r="AF312">
        <f>_xlfn.XLOOKUP(tblMaster[[#This Row],[Shift]],tblShift[Shift_Name],tblShift[Logout_Time]," ")</f>
        <v>0.79166666666666663</v>
      </c>
      <c r="AG312">
        <f>_xlfn.XLOOKUP(tblMaster[[#This Row],[Shift]],tblShift[Shift_Name],tblShift[Standard_Working_Hours],"")</f>
        <v>8</v>
      </c>
      <c r="AH312" t="str">
        <f>_xlfn.XLOOKUP(tblMaster[[#This Row],[Attendance_Date]],tblHoliday[Holiday_Date],tblHoliday[Holiday_Name],"Working Day")</f>
        <v>Mahashivratri</v>
      </c>
      <c r="AI312" t="str">
        <f>_xlfn.XLOOKUP(tblMaster[[#This Row],[Attendance_Date]],tblHoliday[Holiday_Date],tblHoliday[Holiday_Type],"Working Day ")</f>
        <v>Restricted</v>
      </c>
    </row>
    <row r="313" spans="1:35" x14ac:dyDescent="0.3">
      <c r="A313" t="s">
        <v>499</v>
      </c>
      <c r="B313" s="1">
        <v>45794</v>
      </c>
      <c r="C313" t="s">
        <v>57</v>
      </c>
      <c r="D313" t="s">
        <v>24</v>
      </c>
      <c r="E313" t="s">
        <v>38</v>
      </c>
      <c r="F313" t="s">
        <v>170</v>
      </c>
      <c r="G313" t="s">
        <v>171</v>
      </c>
      <c r="H313" t="s">
        <v>64</v>
      </c>
      <c r="I313" t="s">
        <v>65</v>
      </c>
      <c r="J313" t="s">
        <v>43</v>
      </c>
      <c r="K313" t="s">
        <v>75</v>
      </c>
      <c r="L313" s="2">
        <v>0.375</v>
      </c>
      <c r="M313" s="2">
        <v>0.75</v>
      </c>
      <c r="N313">
        <v>8</v>
      </c>
      <c r="O313">
        <v>0</v>
      </c>
      <c r="P313" t="s">
        <v>32</v>
      </c>
      <c r="S313" t="s">
        <v>45</v>
      </c>
      <c r="T313" t="s">
        <v>68</v>
      </c>
      <c r="U313" t="str">
        <f>_xlfn.XLOOKUP(tblMaster[[#This Row],[Employee_ID]],tblEmployee[Employee_ID],tblEmployee[Work_Mode]," ")</f>
        <v>Remote</v>
      </c>
      <c r="V313" t="s">
        <v>60</v>
      </c>
      <c r="W313">
        <f>_xlfn.XLOOKUP(F313,tblEmployee[Employee_ID],tblEmployee[Age],"Not Found")</f>
        <v>36</v>
      </c>
      <c r="X313" t="str">
        <f>_xlfn.XLOOKUP(F313,tblEmployee[Employee_ID],tblEmployee[Gender],"Not Found")</f>
        <v>Female</v>
      </c>
      <c r="Y313">
        <f>_xlfn.XLOOKUP(F313,tblEmployee[Employee_ID],tblEmployee[Joining_Date],"")</f>
        <v>43539</v>
      </c>
      <c r="Z313">
        <f>_xlfn.XLOOKUP(H313,tblDepartment[Department],tblDepartment[Annual_Budget_INR],"")</f>
        <v>85000000</v>
      </c>
      <c r="AA313" t="str">
        <f>_xlfn.XLOOKUP(H313,tblDepartment[Department],tblDepartment[Monthly_Target],"")</f>
        <v>99.5% System Uptime</v>
      </c>
      <c r="AB313">
        <f>_xlfn.XLOOKUP(H313,tblDepartment[Department],tblDepartment[Average_Salary_INR],"")</f>
        <v>720000</v>
      </c>
      <c r="AC313" t="str">
        <f>_xlfn.XLOOKUP(H313,tblDepartment[Department],tblDepartment[Priority_Level],"")</f>
        <v>High</v>
      </c>
      <c r="AD313" t="str">
        <f>_xlfn.XLOOKUP(H313,tblDepartment[Department],tblDepartment[Key_KPI],"")</f>
        <v>Project Delivery</v>
      </c>
      <c r="AE313">
        <f>_xlfn.XLOOKUP(tblMaster[[#This Row],[Shift]],tblShift[Shift_Name],tblShift[Login_Time],"")</f>
        <v>0.375</v>
      </c>
      <c r="AF313">
        <f>_xlfn.XLOOKUP(tblMaster[[#This Row],[Shift]],tblShift[Shift_Name],tblShift[Logout_Time]," ")</f>
        <v>0.75</v>
      </c>
      <c r="AG313">
        <f>_xlfn.XLOOKUP(tblMaster[[#This Row],[Shift]],tblShift[Shift_Name],tblShift[Standard_Working_Hours],"")</f>
        <v>8</v>
      </c>
      <c r="AH313" t="str">
        <f>_xlfn.XLOOKUP(tblMaster[[#This Row],[Attendance_Date]],tblHoliday[Holiday_Date],tblHoliday[Holiday_Name],"Working Day")</f>
        <v>Working Day</v>
      </c>
      <c r="AI313" t="str">
        <f>_xlfn.XLOOKUP(tblMaster[[#This Row],[Attendance_Date]],tblHoliday[Holiday_Date],tblHoliday[Holiday_Type],"Working Day ")</f>
        <v xml:space="preserve">Working Day </v>
      </c>
    </row>
    <row r="314" spans="1:35" hidden="1" x14ac:dyDescent="0.3">
      <c r="A314" t="s">
        <v>500</v>
      </c>
      <c r="B314" s="3">
        <v>45739</v>
      </c>
      <c r="C314" t="s">
        <v>71</v>
      </c>
      <c r="D314" t="s">
        <v>50</v>
      </c>
      <c r="E314" t="s">
        <v>103</v>
      </c>
      <c r="F314" t="s">
        <v>240</v>
      </c>
      <c r="G314" t="s">
        <v>241</v>
      </c>
      <c r="H314" t="s">
        <v>41</v>
      </c>
      <c r="I314" t="s">
        <v>42</v>
      </c>
      <c r="J314" t="s">
        <v>66</v>
      </c>
      <c r="K314" t="s">
        <v>54</v>
      </c>
      <c r="L314" s="2">
        <v>0.375</v>
      </c>
      <c r="M314" s="2">
        <v>0.75</v>
      </c>
      <c r="N314">
        <v>8</v>
      </c>
      <c r="O314">
        <v>0</v>
      </c>
      <c r="P314" t="s">
        <v>32</v>
      </c>
      <c r="R314">
        <v>4</v>
      </c>
      <c r="S314" t="s">
        <v>92</v>
      </c>
      <c r="T314" t="s">
        <v>46</v>
      </c>
      <c r="U314" t="s">
        <v>85</v>
      </c>
      <c r="V314" t="s">
        <v>35</v>
      </c>
      <c r="W314">
        <f>_xlfn.XLOOKUP(F314,tblEmployee[Employee_ID],tblEmployee[Age],"Not Found")</f>
        <v>30</v>
      </c>
      <c r="X314" t="str">
        <f>_xlfn.XLOOKUP(F314,tblEmployee[Employee_ID],tblEmployee[Gender],"Not Found")</f>
        <v>Female</v>
      </c>
      <c r="Y314">
        <f>_xlfn.XLOOKUP(F314,tblEmployee[Employee_ID],tblEmployee[Joining_Date],"")</f>
        <v>45000</v>
      </c>
      <c r="Z314">
        <f>_xlfn.XLOOKUP(H314,tblDepartment[Department],tblDepartment[Annual_Budget_INR],"")</f>
        <v>34000000</v>
      </c>
      <c r="AA314" t="str">
        <f>_xlfn.XLOOKUP(H314,tblDepartment[Department],tblDepartment[Monthly_Target],"")</f>
        <v>95% Process Efficiency</v>
      </c>
      <c r="AB314">
        <f>_xlfn.XLOOKUP(H314,tblDepartment[Department],tblDepartment[Average_Salary_INR],"")</f>
        <v>610000</v>
      </c>
      <c r="AC314" t="str">
        <f>_xlfn.XLOOKUP(H314,tblDepartment[Department],tblDepartment[Priority_Level],"")</f>
        <v>High</v>
      </c>
      <c r="AD314" t="str">
        <f>_xlfn.XLOOKUP(H314,tblDepartment[Department],tblDepartment[Key_KPI],"")</f>
        <v>Operational Efficiency</v>
      </c>
      <c r="AE314">
        <f>_xlfn.XLOOKUP(tblMaster[[#This Row],[Shift]],tblShift[Shift_Name],tblShift[Login_Time],"")</f>
        <v>0.58333333333333337</v>
      </c>
      <c r="AF314">
        <f>_xlfn.XLOOKUP(tblMaster[[#This Row],[Shift]],tblShift[Shift_Name],tblShift[Logout_Time]," ")</f>
        <v>0.95833333333333337</v>
      </c>
      <c r="AG314">
        <f>_xlfn.XLOOKUP(tblMaster[[#This Row],[Shift]],tblShift[Shift_Name],tblShift[Standard_Working_Hours],"")</f>
        <v>8</v>
      </c>
      <c r="AH314" t="str">
        <f>_xlfn.XLOOKUP(tblMaster[[#This Row],[Attendance_Date]],tblHoliday[Holiday_Date],tblHoliday[Holiday_Name],"Working Day")</f>
        <v>Working Day</v>
      </c>
      <c r="AI314" t="str">
        <f>_xlfn.XLOOKUP(tblMaster[[#This Row],[Attendance_Date]],tblHoliday[Holiday_Date],tblHoliday[Holiday_Type],"Working Day ")</f>
        <v xml:space="preserve">Working Day </v>
      </c>
    </row>
    <row r="315" spans="1:35" hidden="1" x14ac:dyDescent="0.3">
      <c r="A315" t="s">
        <v>501</v>
      </c>
      <c r="B315" s="3">
        <v>45838</v>
      </c>
      <c r="C315" t="s">
        <v>23</v>
      </c>
      <c r="D315" t="s">
        <v>24</v>
      </c>
      <c r="E315" t="s">
        <v>109</v>
      </c>
      <c r="F315" t="s">
        <v>163</v>
      </c>
      <c r="G315" t="s">
        <v>164</v>
      </c>
      <c r="H315" t="s">
        <v>112</v>
      </c>
      <c r="I315" t="s">
        <v>113</v>
      </c>
      <c r="J315" t="s">
        <v>100</v>
      </c>
      <c r="K315" t="s">
        <v>44</v>
      </c>
      <c r="L315" s="2">
        <v>0.375</v>
      </c>
      <c r="M315" s="2">
        <v>0.75</v>
      </c>
      <c r="N315">
        <v>8</v>
      </c>
      <c r="O315">
        <v>0</v>
      </c>
      <c r="P315" t="s">
        <v>32</v>
      </c>
      <c r="R315">
        <v>4</v>
      </c>
      <c r="S315" t="s">
        <v>45</v>
      </c>
      <c r="T315" t="s">
        <v>114</v>
      </c>
      <c r="U315" t="s">
        <v>55</v>
      </c>
      <c r="V315" t="s">
        <v>60</v>
      </c>
      <c r="W315">
        <f>_xlfn.XLOOKUP(F315,tblEmployee[Employee_ID],tblEmployee[Age],"Not Found")</f>
        <v>25</v>
      </c>
      <c r="X315" t="str">
        <f>_xlfn.XLOOKUP(F315,tblEmployee[Employee_ID],tblEmployee[Gender],"Not Found")</f>
        <v>Male</v>
      </c>
      <c r="Y315">
        <f>_xlfn.XLOOKUP(F315,tblEmployee[Employee_ID],tblEmployee[Joining_Date],"")</f>
        <v>44301</v>
      </c>
      <c r="Z315">
        <f>_xlfn.XLOOKUP(H315,tblDepartment[Department],tblDepartment[Annual_Budget_INR],"")</f>
        <v>42000000</v>
      </c>
      <c r="AA315" t="str">
        <f>_xlfn.XLOOKUP(H315,tblDepartment[Department],tblDepartment[Monthly_Target],"")</f>
        <v>₹2.5 Cr Monthly Sales</v>
      </c>
      <c r="AB315">
        <f>_xlfn.XLOOKUP(H315,tblDepartment[Department],tblDepartment[Average_Salary_INR],"")</f>
        <v>680000</v>
      </c>
      <c r="AC315" t="str">
        <f>_xlfn.XLOOKUP(H315,tblDepartment[Department],tblDepartment[Priority_Level],"")</f>
        <v>High</v>
      </c>
      <c r="AD315" t="str">
        <f>_xlfn.XLOOKUP(H315,tblDepartment[Department],tblDepartment[Key_KPI],"")</f>
        <v>Revenue Achievement</v>
      </c>
      <c r="AE315">
        <f>_xlfn.XLOOKUP(tblMaster[[#This Row],[Shift]],tblShift[Shift_Name],tblShift[Login_Time],"")</f>
        <v>0.41666666666666669</v>
      </c>
      <c r="AF315">
        <f>_xlfn.XLOOKUP(tblMaster[[#This Row],[Shift]],tblShift[Shift_Name],tblShift[Logout_Time]," ")</f>
        <v>0.79166666666666663</v>
      </c>
      <c r="AG315">
        <f>_xlfn.XLOOKUP(tblMaster[[#This Row],[Shift]],tblShift[Shift_Name],tblShift[Standard_Working_Hours],"")</f>
        <v>8</v>
      </c>
      <c r="AH315" t="str">
        <f>_xlfn.XLOOKUP(tblMaster[[#This Row],[Attendance_Date]],tblHoliday[Holiday_Date],tblHoliday[Holiday_Name],"Working Day")</f>
        <v>Working Day</v>
      </c>
      <c r="AI315" t="str">
        <f>_xlfn.XLOOKUP(tblMaster[[#This Row],[Attendance_Date]],tblHoliday[Holiday_Date],tblHoliday[Holiday_Type],"Working Day ")</f>
        <v xml:space="preserve">Working Day </v>
      </c>
    </row>
    <row r="316" spans="1:35" hidden="1" x14ac:dyDescent="0.3">
      <c r="A316" t="s">
        <v>502</v>
      </c>
      <c r="B316" s="1">
        <v>45700</v>
      </c>
      <c r="C316" t="s">
        <v>95</v>
      </c>
      <c r="D316" t="s">
        <v>50</v>
      </c>
      <c r="E316" t="s">
        <v>51</v>
      </c>
      <c r="F316" t="s">
        <v>127</v>
      </c>
      <c r="G316" t="s">
        <v>128</v>
      </c>
      <c r="H316" t="s">
        <v>90</v>
      </c>
      <c r="I316" t="s">
        <v>91</v>
      </c>
      <c r="J316" t="s">
        <v>66</v>
      </c>
      <c r="K316" t="s">
        <v>44</v>
      </c>
      <c r="P316" t="s">
        <v>82</v>
      </c>
      <c r="Q316" t="s">
        <v>225</v>
      </c>
      <c r="S316" t="s">
        <v>45</v>
      </c>
      <c r="T316" t="s">
        <v>93</v>
      </c>
      <c r="U316" t="s">
        <v>55</v>
      </c>
      <c r="V316" t="s">
        <v>60</v>
      </c>
      <c r="W316">
        <f>_xlfn.XLOOKUP(F316,tblEmployee[Employee_ID],tblEmployee[Age],"Not Found")</f>
        <v>38</v>
      </c>
      <c r="X316" t="str">
        <f>_xlfn.XLOOKUP(F316,tblEmployee[Employee_ID],tblEmployee[Gender],"Not Found")</f>
        <v>Female</v>
      </c>
      <c r="Y316">
        <f>_xlfn.XLOOKUP(F316,tblEmployee[Employee_ID],tblEmployee[Joining_Date],"")</f>
        <v>43966</v>
      </c>
      <c r="Z316">
        <f>_xlfn.XLOOKUP(H316,tblDepartment[Department],tblDepartment[Annual_Budget_INR],"")</f>
        <v>18000000</v>
      </c>
      <c r="AA316" t="str">
        <f>_xlfn.XLOOKUP(H316,tblDepartment[Department],tblDepartment[Monthly_Target],"")</f>
        <v>&lt;30 Days Hiring Cycle</v>
      </c>
      <c r="AB316">
        <f>_xlfn.XLOOKUP(H316,tblDepartment[Department],tblDepartment[Average_Salary_INR],"")</f>
        <v>560000</v>
      </c>
      <c r="AC316" t="str">
        <f>_xlfn.XLOOKUP(H316,tblDepartment[Department],tblDepartment[Priority_Level],"")</f>
        <v>Medium</v>
      </c>
      <c r="AD316" t="str">
        <f>_xlfn.XLOOKUP(H316,tblDepartment[Department],tblDepartment[Key_KPI],"")</f>
        <v>Hiring &amp; Retention</v>
      </c>
      <c r="AE316">
        <f>_xlfn.XLOOKUP(tblMaster[[#This Row],[Shift]],tblShift[Shift_Name],tblShift[Login_Time],"")</f>
        <v>0.41666666666666669</v>
      </c>
      <c r="AF316">
        <f>_xlfn.XLOOKUP(tblMaster[[#This Row],[Shift]],tblShift[Shift_Name],tblShift[Logout_Time]," ")</f>
        <v>0.79166666666666663</v>
      </c>
      <c r="AG316">
        <f>_xlfn.XLOOKUP(tblMaster[[#This Row],[Shift]],tblShift[Shift_Name],tblShift[Standard_Working_Hours],"")</f>
        <v>8</v>
      </c>
      <c r="AH316" t="str">
        <f>_xlfn.XLOOKUP(tblMaster[[#This Row],[Attendance_Date]],tblHoliday[Holiday_Date],tblHoliday[Holiday_Name],"Working Day")</f>
        <v>Working Day</v>
      </c>
      <c r="AI316" t="str">
        <f>_xlfn.XLOOKUP(tblMaster[[#This Row],[Attendance_Date]],tblHoliday[Holiday_Date],tblHoliday[Holiday_Type],"Working Day ")</f>
        <v xml:space="preserve">Working Day </v>
      </c>
    </row>
    <row r="317" spans="1:35" hidden="1" x14ac:dyDescent="0.3">
      <c r="A317" t="s">
        <v>503</v>
      </c>
      <c r="B317" s="1">
        <v>45747</v>
      </c>
      <c r="C317" t="s">
        <v>71</v>
      </c>
      <c r="D317" t="s">
        <v>50</v>
      </c>
      <c r="E317" t="s">
        <v>109</v>
      </c>
      <c r="F317" t="s">
        <v>504</v>
      </c>
      <c r="G317" t="s">
        <v>505</v>
      </c>
      <c r="H317" t="s">
        <v>98</v>
      </c>
      <c r="I317" t="s">
        <v>99</v>
      </c>
      <c r="J317" t="s">
        <v>100</v>
      </c>
      <c r="K317" t="s">
        <v>54</v>
      </c>
      <c r="L317" s="2">
        <v>0.375</v>
      </c>
      <c r="M317" s="2">
        <v>0.75</v>
      </c>
      <c r="N317">
        <v>8</v>
      </c>
      <c r="O317">
        <v>0</v>
      </c>
      <c r="P317" t="s">
        <v>32</v>
      </c>
      <c r="R317">
        <v>5</v>
      </c>
      <c r="S317" t="s">
        <v>67</v>
      </c>
      <c r="T317" t="s">
        <v>101</v>
      </c>
      <c r="U317" t="s">
        <v>55</v>
      </c>
      <c r="V317" t="s">
        <v>60</v>
      </c>
      <c r="W317">
        <f>_xlfn.XLOOKUP(F317,tblEmployee[Employee_ID],tblEmployee[Age],"Not Found")</f>
        <v>35</v>
      </c>
      <c r="X317" t="str">
        <f>_xlfn.XLOOKUP(F317,tblEmployee[Employee_ID],tblEmployee[Gender],"Not Found")</f>
        <v>Male</v>
      </c>
      <c r="Y317">
        <f>_xlfn.XLOOKUP(F317,tblEmployee[Employee_ID],tblEmployee[Joining_Date],"")</f>
        <v>45337</v>
      </c>
      <c r="Z317">
        <f>_xlfn.XLOOKUP(H317,tblDepartment[Department],tblDepartment[Annual_Budget_INR],"")</f>
        <v>22000000</v>
      </c>
      <c r="AA317" t="str">
        <f>_xlfn.XLOOKUP(H317,tblDepartment[Department],tblDepartment[Monthly_Target],"")</f>
        <v>2500 Qualified Leads</v>
      </c>
      <c r="AB317">
        <f>_xlfn.XLOOKUP(H317,tblDepartment[Department],tblDepartment[Average_Salary_INR],"")</f>
        <v>590000</v>
      </c>
      <c r="AC317" t="str">
        <f>_xlfn.XLOOKUP(H317,tblDepartment[Department],tblDepartment[Priority_Level],"")</f>
        <v>Medium</v>
      </c>
      <c r="AD317" t="str">
        <f>_xlfn.XLOOKUP(H317,tblDepartment[Department],tblDepartment[Key_KPI],"")</f>
        <v>Lead Generation</v>
      </c>
      <c r="AE317">
        <f>_xlfn.XLOOKUP(tblMaster[[#This Row],[Shift]],tblShift[Shift_Name],tblShift[Login_Time],"")</f>
        <v>0.58333333333333337</v>
      </c>
      <c r="AF317">
        <f>_xlfn.XLOOKUP(tblMaster[[#This Row],[Shift]],tblShift[Shift_Name],tblShift[Logout_Time]," ")</f>
        <v>0.95833333333333337</v>
      </c>
      <c r="AG317">
        <f>_xlfn.XLOOKUP(tblMaster[[#This Row],[Shift]],tblShift[Shift_Name],tblShift[Standard_Working_Hours],"")</f>
        <v>8</v>
      </c>
      <c r="AH317" t="str">
        <f>_xlfn.XLOOKUP(tblMaster[[#This Row],[Attendance_Date]],tblHoliday[Holiday_Date],tblHoliday[Holiday_Name],"Working Day")</f>
        <v>Working Day</v>
      </c>
      <c r="AI317" t="str">
        <f>_xlfn.XLOOKUP(tblMaster[[#This Row],[Attendance_Date]],tblHoliday[Holiday_Date],tblHoliday[Holiday_Type],"Working Day ")</f>
        <v xml:space="preserve">Working Day </v>
      </c>
    </row>
    <row r="318" spans="1:35" x14ac:dyDescent="0.3">
      <c r="A318" t="s">
        <v>506</v>
      </c>
      <c r="B318" s="3">
        <v>45735</v>
      </c>
      <c r="C318" t="s">
        <v>71</v>
      </c>
      <c r="D318" t="s">
        <v>50</v>
      </c>
      <c r="E318" t="s">
        <v>51</v>
      </c>
      <c r="F318" t="s">
        <v>204</v>
      </c>
      <c r="G318" t="s">
        <v>205</v>
      </c>
      <c r="H318" t="s">
        <v>90</v>
      </c>
      <c r="I318" t="s">
        <v>91</v>
      </c>
      <c r="J318" t="s">
        <v>74</v>
      </c>
      <c r="K318" t="s">
        <v>44</v>
      </c>
      <c r="L318" s="2">
        <v>0.375</v>
      </c>
      <c r="M318" s="2">
        <v>0.75</v>
      </c>
      <c r="N318">
        <v>8</v>
      </c>
      <c r="O318">
        <v>0</v>
      </c>
      <c r="P318" t="s">
        <v>32</v>
      </c>
      <c r="S318" t="s">
        <v>33</v>
      </c>
      <c r="T318" t="s">
        <v>93</v>
      </c>
      <c r="U318" t="str">
        <f>_xlfn.XLOOKUP(tblMaster[[#This Row],[Employee_ID]],tblEmployee[Employee_ID],tblEmployee[Work_Mode]," ")</f>
        <v>Remote</v>
      </c>
      <c r="V318" t="s">
        <v>69</v>
      </c>
      <c r="W318">
        <f>_xlfn.XLOOKUP(F318,tblEmployee[Employee_ID],tblEmployee[Age],"Not Found")</f>
        <v>24</v>
      </c>
      <c r="X318" t="str">
        <f>_xlfn.XLOOKUP(F318,tblEmployee[Employee_ID],tblEmployee[Gender],"Not Found")</f>
        <v>Female</v>
      </c>
      <c r="Y318">
        <f>_xlfn.XLOOKUP(F318,tblEmployee[Employee_ID],tblEmployee[Joining_Date],"")</f>
        <v>43905</v>
      </c>
      <c r="Z318">
        <f>_xlfn.XLOOKUP(H318,tblDepartment[Department],tblDepartment[Annual_Budget_INR],"")</f>
        <v>18000000</v>
      </c>
      <c r="AA318" t="str">
        <f>_xlfn.XLOOKUP(H318,tblDepartment[Department],tblDepartment[Monthly_Target],"")</f>
        <v>&lt;30 Days Hiring Cycle</v>
      </c>
      <c r="AB318">
        <f>_xlfn.XLOOKUP(H318,tblDepartment[Department],tblDepartment[Average_Salary_INR],"")</f>
        <v>560000</v>
      </c>
      <c r="AC318" t="str">
        <f>_xlfn.XLOOKUP(H318,tblDepartment[Department],tblDepartment[Priority_Level],"")</f>
        <v>Medium</v>
      </c>
      <c r="AD318" t="str">
        <f>_xlfn.XLOOKUP(H318,tblDepartment[Department],tblDepartment[Key_KPI],"")</f>
        <v>Hiring &amp; Retention</v>
      </c>
      <c r="AE318">
        <f>_xlfn.XLOOKUP(tblMaster[[#This Row],[Shift]],tblShift[Shift_Name],tblShift[Login_Time],"")</f>
        <v>0.41666666666666669</v>
      </c>
      <c r="AF318">
        <f>_xlfn.XLOOKUP(tblMaster[[#This Row],[Shift]],tblShift[Shift_Name],tblShift[Logout_Time]," ")</f>
        <v>0.79166666666666663</v>
      </c>
      <c r="AG318">
        <f>_xlfn.XLOOKUP(tblMaster[[#This Row],[Shift]],tblShift[Shift_Name],tblShift[Standard_Working_Hours],"")</f>
        <v>8</v>
      </c>
      <c r="AH318" t="str">
        <f>_xlfn.XLOOKUP(tblMaster[[#This Row],[Attendance_Date]],tblHoliday[Holiday_Date],tblHoliday[Holiday_Name],"Working Day")</f>
        <v>Working Day</v>
      </c>
      <c r="AI318" t="str">
        <f>_xlfn.XLOOKUP(tblMaster[[#This Row],[Attendance_Date]],tblHoliday[Holiday_Date],tblHoliday[Holiday_Type],"Working Day ")</f>
        <v xml:space="preserve">Working Day </v>
      </c>
    </row>
    <row r="319" spans="1:35" x14ac:dyDescent="0.3">
      <c r="A319" t="s">
        <v>507</v>
      </c>
      <c r="B319" s="3">
        <v>45728</v>
      </c>
      <c r="C319" t="s">
        <v>71</v>
      </c>
      <c r="D319" t="s">
        <v>50</v>
      </c>
      <c r="E319" t="s">
        <v>51</v>
      </c>
      <c r="F319" t="s">
        <v>88</v>
      </c>
      <c r="G319" t="s">
        <v>89</v>
      </c>
      <c r="H319" t="s">
        <v>90</v>
      </c>
      <c r="I319" t="s">
        <v>91</v>
      </c>
      <c r="J319" t="s">
        <v>43</v>
      </c>
      <c r="K319" t="s">
        <v>31</v>
      </c>
      <c r="L319" s="2">
        <v>0.375</v>
      </c>
      <c r="M319" s="2">
        <v>0.75</v>
      </c>
      <c r="N319">
        <v>8</v>
      </c>
      <c r="O319">
        <v>0</v>
      </c>
      <c r="P319" t="s">
        <v>32</v>
      </c>
      <c r="R319">
        <v>4</v>
      </c>
      <c r="S319" t="s">
        <v>92</v>
      </c>
      <c r="T319" t="s">
        <v>93</v>
      </c>
      <c r="U319" t="str">
        <f>_xlfn.XLOOKUP(tblMaster[[#This Row],[Employee_ID]],tblEmployee[Employee_ID],tblEmployee[Work_Mode]," ")</f>
        <v>Office</v>
      </c>
      <c r="V319" t="s">
        <v>60</v>
      </c>
      <c r="W319">
        <f>_xlfn.XLOOKUP(F319,tblEmployee[Employee_ID],tblEmployee[Age],"Not Found")</f>
        <v>34</v>
      </c>
      <c r="X319" t="str">
        <f>_xlfn.XLOOKUP(F319,tblEmployee[Employee_ID],tblEmployee[Gender],"Not Found")</f>
        <v>Female</v>
      </c>
      <c r="Y319">
        <f>_xlfn.XLOOKUP(F319,tblEmployee[Employee_ID],tblEmployee[Joining_Date],"")</f>
        <v>44027</v>
      </c>
      <c r="Z319">
        <f>_xlfn.XLOOKUP(H319,tblDepartment[Department],tblDepartment[Annual_Budget_INR],"")</f>
        <v>18000000</v>
      </c>
      <c r="AA319" t="str">
        <f>_xlfn.XLOOKUP(H319,tblDepartment[Department],tblDepartment[Monthly_Target],"")</f>
        <v>&lt;30 Days Hiring Cycle</v>
      </c>
      <c r="AB319">
        <f>_xlfn.XLOOKUP(H319,tblDepartment[Department],tblDepartment[Average_Salary_INR],"")</f>
        <v>560000</v>
      </c>
      <c r="AC319" t="str">
        <f>_xlfn.XLOOKUP(H319,tblDepartment[Department],tblDepartment[Priority_Level],"")</f>
        <v>Medium</v>
      </c>
      <c r="AD319" t="str">
        <f>_xlfn.XLOOKUP(H319,tblDepartment[Department],tblDepartment[Key_KPI],"")</f>
        <v>Hiring &amp; Retention</v>
      </c>
      <c r="AE319">
        <f>_xlfn.XLOOKUP(tblMaster[[#This Row],[Shift]],tblShift[Shift_Name],tblShift[Login_Time],"")</f>
        <v>0.25</v>
      </c>
      <c r="AF319">
        <f>_xlfn.XLOOKUP(tblMaster[[#This Row],[Shift]],tblShift[Shift_Name],tblShift[Logout_Time]," ")</f>
        <v>0.625</v>
      </c>
      <c r="AG319">
        <f>_xlfn.XLOOKUP(tblMaster[[#This Row],[Shift]],tblShift[Shift_Name],tblShift[Standard_Working_Hours],"")</f>
        <v>8</v>
      </c>
      <c r="AH319" t="str">
        <f>_xlfn.XLOOKUP(tblMaster[[#This Row],[Attendance_Date]],tblHoliday[Holiday_Date],tblHoliday[Holiday_Name],"Working Day")</f>
        <v>Working Day</v>
      </c>
      <c r="AI319" t="str">
        <f>_xlfn.XLOOKUP(tblMaster[[#This Row],[Attendance_Date]],tblHoliday[Holiday_Date],tblHoliday[Holiday_Type],"Working Day ")</f>
        <v xml:space="preserve">Working Day </v>
      </c>
    </row>
    <row r="320" spans="1:35" hidden="1" x14ac:dyDescent="0.3">
      <c r="A320" t="s">
        <v>508</v>
      </c>
      <c r="B320" s="1">
        <v>45706</v>
      </c>
      <c r="C320" t="s">
        <v>95</v>
      </c>
      <c r="D320" t="s">
        <v>50</v>
      </c>
      <c r="E320" t="s">
        <v>87</v>
      </c>
      <c r="F320" t="s">
        <v>62</v>
      </c>
      <c r="G320" t="s">
        <v>63</v>
      </c>
      <c r="H320" t="s">
        <v>64</v>
      </c>
      <c r="I320" t="s">
        <v>65</v>
      </c>
      <c r="J320" t="s">
        <v>66</v>
      </c>
      <c r="K320" t="s">
        <v>44</v>
      </c>
      <c r="L320" s="2">
        <v>0.375</v>
      </c>
      <c r="M320" s="2">
        <v>0.75</v>
      </c>
      <c r="N320">
        <v>8</v>
      </c>
      <c r="O320">
        <v>0</v>
      </c>
      <c r="P320" t="s">
        <v>32</v>
      </c>
      <c r="R320">
        <v>4</v>
      </c>
      <c r="S320" t="s">
        <v>67</v>
      </c>
      <c r="T320" t="s">
        <v>68</v>
      </c>
      <c r="U320" t="s">
        <v>85</v>
      </c>
      <c r="W320">
        <f>_xlfn.XLOOKUP(F320,tblEmployee[Employee_ID],tblEmployee[Age],"Not Found")</f>
        <v>23</v>
      </c>
      <c r="X320" t="str">
        <f>_xlfn.XLOOKUP(F320,tblEmployee[Employee_ID],tblEmployee[Gender],"Not Found")</f>
        <v>Male</v>
      </c>
      <c r="Y320">
        <f>_xlfn.XLOOKUP(F320,tblEmployee[Employee_ID],tblEmployee[Joining_Date],"")</f>
        <v>43511</v>
      </c>
      <c r="Z320">
        <f>_xlfn.XLOOKUP(H320,tblDepartment[Department],tblDepartment[Annual_Budget_INR],"")</f>
        <v>85000000</v>
      </c>
      <c r="AA320" t="str">
        <f>_xlfn.XLOOKUP(H320,tblDepartment[Department],tblDepartment[Monthly_Target],"")</f>
        <v>99.5% System Uptime</v>
      </c>
      <c r="AB320">
        <f>_xlfn.XLOOKUP(H320,tblDepartment[Department],tblDepartment[Average_Salary_INR],"")</f>
        <v>720000</v>
      </c>
      <c r="AC320" t="str">
        <f>_xlfn.XLOOKUP(H320,tblDepartment[Department],tblDepartment[Priority_Level],"")</f>
        <v>High</v>
      </c>
      <c r="AD320" t="str">
        <f>_xlfn.XLOOKUP(H320,tblDepartment[Department],tblDepartment[Key_KPI],"")</f>
        <v>Project Delivery</v>
      </c>
      <c r="AE320">
        <f>_xlfn.XLOOKUP(tblMaster[[#This Row],[Shift]],tblShift[Shift_Name],tblShift[Login_Time],"")</f>
        <v>0.41666666666666669</v>
      </c>
      <c r="AF320">
        <f>_xlfn.XLOOKUP(tblMaster[[#This Row],[Shift]],tblShift[Shift_Name],tblShift[Logout_Time]," ")</f>
        <v>0.79166666666666663</v>
      </c>
      <c r="AG320">
        <f>_xlfn.XLOOKUP(tblMaster[[#This Row],[Shift]],tblShift[Shift_Name],tblShift[Standard_Working_Hours],"")</f>
        <v>8</v>
      </c>
      <c r="AH320" t="str">
        <f>_xlfn.XLOOKUP(tblMaster[[#This Row],[Attendance_Date]],tblHoliday[Holiday_Date],tblHoliday[Holiday_Name],"Working Day")</f>
        <v>Working Day</v>
      </c>
      <c r="AI320" t="str">
        <f>_xlfn.XLOOKUP(tblMaster[[#This Row],[Attendance_Date]],tblHoliday[Holiday_Date],tblHoliday[Holiday_Type],"Working Day ")</f>
        <v xml:space="preserve">Working Day </v>
      </c>
    </row>
    <row r="321" spans="1:35" x14ac:dyDescent="0.3">
      <c r="A321" t="s">
        <v>509</v>
      </c>
      <c r="B321" s="1">
        <v>45676</v>
      </c>
      <c r="C321" t="s">
        <v>49</v>
      </c>
      <c r="D321" t="s">
        <v>50</v>
      </c>
      <c r="E321" t="s">
        <v>103</v>
      </c>
      <c r="F321" t="s">
        <v>275</v>
      </c>
      <c r="G321" t="s">
        <v>276</v>
      </c>
      <c r="H321" t="s">
        <v>64</v>
      </c>
      <c r="I321" t="s">
        <v>65</v>
      </c>
      <c r="J321" t="s">
        <v>100</v>
      </c>
      <c r="K321" t="s">
        <v>81</v>
      </c>
      <c r="M321" s="2">
        <v>0.29166666666666669</v>
      </c>
      <c r="N321">
        <v>9.5</v>
      </c>
      <c r="O321">
        <v>1.5</v>
      </c>
      <c r="P321" t="s">
        <v>32</v>
      </c>
      <c r="R321">
        <v>4</v>
      </c>
      <c r="S321" t="s">
        <v>45</v>
      </c>
      <c r="T321" t="s">
        <v>68</v>
      </c>
      <c r="U321" t="str">
        <f>_xlfn.XLOOKUP(tblMaster[[#This Row],[Employee_ID]],tblEmployee[Employee_ID],tblEmployee[Work_Mode]," ")</f>
        <v>Hybrid</v>
      </c>
      <c r="V321" t="s">
        <v>69</v>
      </c>
      <c r="W321">
        <f>_xlfn.XLOOKUP(F321,tblEmployee[Employee_ID],tblEmployee[Age],"Not Found")</f>
        <v>29</v>
      </c>
      <c r="X321" t="str">
        <f>_xlfn.XLOOKUP(F321,tblEmployee[Employee_ID],tblEmployee[Gender],"Not Found")</f>
        <v>Male</v>
      </c>
      <c r="Y321">
        <f>_xlfn.XLOOKUP(F321,tblEmployee[Employee_ID],tblEmployee[Joining_Date],"")</f>
        <v>43692</v>
      </c>
      <c r="Z321">
        <f>_xlfn.XLOOKUP(H321,tblDepartment[Department],tblDepartment[Annual_Budget_INR],"")</f>
        <v>85000000</v>
      </c>
      <c r="AA321" t="str">
        <f>_xlfn.XLOOKUP(H321,tblDepartment[Department],tblDepartment[Monthly_Target],"")</f>
        <v>99.5% System Uptime</v>
      </c>
      <c r="AB321">
        <f>_xlfn.XLOOKUP(H321,tblDepartment[Department],tblDepartment[Average_Salary_INR],"")</f>
        <v>720000</v>
      </c>
      <c r="AC321" t="str">
        <f>_xlfn.XLOOKUP(H321,tblDepartment[Department],tblDepartment[Priority_Level],"")</f>
        <v>High</v>
      </c>
      <c r="AD321" t="str">
        <f>_xlfn.XLOOKUP(H321,tblDepartment[Department],tblDepartment[Key_KPI],"")</f>
        <v>Project Delivery</v>
      </c>
      <c r="AE321">
        <f>_xlfn.XLOOKUP(tblMaster[[#This Row],[Shift]],tblShift[Shift_Name],tblShift[Login_Time],"")</f>
        <v>0.91666666666666663</v>
      </c>
      <c r="AF321">
        <f>_xlfn.XLOOKUP(tblMaster[[#This Row],[Shift]],tblShift[Shift_Name],tblShift[Logout_Time]," ")</f>
        <v>0.29166666666666669</v>
      </c>
      <c r="AG321">
        <f>_xlfn.XLOOKUP(tblMaster[[#This Row],[Shift]],tblShift[Shift_Name],tblShift[Standard_Working_Hours],"")</f>
        <v>8</v>
      </c>
      <c r="AH321" t="str">
        <f>_xlfn.XLOOKUP(tblMaster[[#This Row],[Attendance_Date]],tblHoliday[Holiday_Date],tblHoliday[Holiday_Name],"Working Day")</f>
        <v>Working Day</v>
      </c>
      <c r="AI321" t="str">
        <f>_xlfn.XLOOKUP(tblMaster[[#This Row],[Attendance_Date]],tblHoliday[Holiday_Date],tblHoliday[Holiday_Type],"Working Day ")</f>
        <v xml:space="preserve">Working Day </v>
      </c>
    </row>
    <row r="322" spans="1:35" hidden="1" x14ac:dyDescent="0.3">
      <c r="A322" t="s">
        <v>510</v>
      </c>
      <c r="B322" s="3">
        <v>45729</v>
      </c>
      <c r="C322" t="s">
        <v>71</v>
      </c>
      <c r="D322" t="s">
        <v>50</v>
      </c>
      <c r="E322" t="s">
        <v>25</v>
      </c>
      <c r="F322" t="s">
        <v>204</v>
      </c>
      <c r="G322" t="s">
        <v>205</v>
      </c>
      <c r="H322" t="s">
        <v>90</v>
      </c>
      <c r="I322" t="s">
        <v>91</v>
      </c>
      <c r="J322" t="s">
        <v>74</v>
      </c>
      <c r="K322" t="s">
        <v>31</v>
      </c>
      <c r="L322" s="2">
        <v>0.375</v>
      </c>
      <c r="M322" s="2">
        <v>0.75</v>
      </c>
      <c r="N322">
        <v>8</v>
      </c>
      <c r="O322">
        <v>0</v>
      </c>
      <c r="P322" t="s">
        <v>32</v>
      </c>
      <c r="R322">
        <v>3</v>
      </c>
      <c r="S322" t="s">
        <v>33</v>
      </c>
      <c r="T322" t="s">
        <v>93</v>
      </c>
      <c r="U322" t="s">
        <v>47</v>
      </c>
      <c r="W322">
        <f>_xlfn.XLOOKUP(F322,tblEmployee[Employee_ID],tblEmployee[Age],"Not Found")</f>
        <v>24</v>
      </c>
      <c r="X322" t="str">
        <f>_xlfn.XLOOKUP(F322,tblEmployee[Employee_ID],tblEmployee[Gender],"Not Found")</f>
        <v>Female</v>
      </c>
      <c r="Y322">
        <f>_xlfn.XLOOKUP(F322,tblEmployee[Employee_ID],tblEmployee[Joining_Date],"")</f>
        <v>43905</v>
      </c>
      <c r="Z322">
        <f>_xlfn.XLOOKUP(H322,tblDepartment[Department],tblDepartment[Annual_Budget_INR],"")</f>
        <v>18000000</v>
      </c>
      <c r="AA322" t="str">
        <f>_xlfn.XLOOKUP(H322,tblDepartment[Department],tblDepartment[Monthly_Target],"")</f>
        <v>&lt;30 Days Hiring Cycle</v>
      </c>
      <c r="AB322">
        <f>_xlfn.XLOOKUP(H322,tblDepartment[Department],tblDepartment[Average_Salary_INR],"")</f>
        <v>560000</v>
      </c>
      <c r="AC322" t="str">
        <f>_xlfn.XLOOKUP(H322,tblDepartment[Department],tblDepartment[Priority_Level],"")</f>
        <v>Medium</v>
      </c>
      <c r="AD322" t="str">
        <f>_xlfn.XLOOKUP(H322,tblDepartment[Department],tblDepartment[Key_KPI],"")</f>
        <v>Hiring &amp; Retention</v>
      </c>
      <c r="AE322">
        <f>_xlfn.XLOOKUP(tblMaster[[#This Row],[Shift]],tblShift[Shift_Name],tblShift[Login_Time],"")</f>
        <v>0.25</v>
      </c>
      <c r="AF322">
        <f>_xlfn.XLOOKUP(tblMaster[[#This Row],[Shift]],tblShift[Shift_Name],tblShift[Logout_Time]," ")</f>
        <v>0.625</v>
      </c>
      <c r="AG322">
        <f>_xlfn.XLOOKUP(tblMaster[[#This Row],[Shift]],tblShift[Shift_Name],tblShift[Standard_Working_Hours],"")</f>
        <v>8</v>
      </c>
      <c r="AH322" t="str">
        <f>_xlfn.XLOOKUP(tblMaster[[#This Row],[Attendance_Date]],tblHoliday[Holiday_Date],tblHoliday[Holiday_Name],"Working Day")</f>
        <v>Working Day</v>
      </c>
      <c r="AI322" t="str">
        <f>_xlfn.XLOOKUP(tblMaster[[#This Row],[Attendance_Date]],tblHoliday[Holiday_Date],tblHoliday[Holiday_Type],"Working Day ")</f>
        <v xml:space="preserve">Working Day </v>
      </c>
    </row>
    <row r="323" spans="1:35" hidden="1" x14ac:dyDescent="0.3">
      <c r="A323" t="s">
        <v>511</v>
      </c>
      <c r="B323" s="3">
        <v>45810</v>
      </c>
      <c r="C323" t="s">
        <v>23</v>
      </c>
      <c r="D323" t="s">
        <v>24</v>
      </c>
      <c r="E323" t="s">
        <v>109</v>
      </c>
      <c r="F323" t="s">
        <v>228</v>
      </c>
      <c r="G323" t="s">
        <v>229</v>
      </c>
      <c r="H323" t="s">
        <v>79</v>
      </c>
      <c r="I323" t="s">
        <v>80</v>
      </c>
      <c r="J323" t="s">
        <v>43</v>
      </c>
      <c r="K323" t="s">
        <v>44</v>
      </c>
      <c r="L323" s="2">
        <v>0.375</v>
      </c>
      <c r="M323" s="2">
        <v>0.75</v>
      </c>
      <c r="N323">
        <v>8</v>
      </c>
      <c r="O323">
        <v>0</v>
      </c>
      <c r="P323" t="s">
        <v>32</v>
      </c>
      <c r="R323">
        <v>5</v>
      </c>
      <c r="S323" t="s">
        <v>67</v>
      </c>
      <c r="T323" t="s">
        <v>84</v>
      </c>
      <c r="U323" t="s">
        <v>47</v>
      </c>
      <c r="V323" t="s">
        <v>35</v>
      </c>
      <c r="W323">
        <f>_xlfn.XLOOKUP(F323,tblEmployee[Employee_ID],tblEmployee[Age],"Not Found")</f>
        <v>29</v>
      </c>
      <c r="X323" t="str">
        <f>_xlfn.XLOOKUP(F323,tblEmployee[Employee_ID],tblEmployee[Gender],"Not Found")</f>
        <v>Female</v>
      </c>
      <c r="Y323">
        <f>_xlfn.XLOOKUP(F323,tblEmployee[Employee_ID],tblEmployee[Joining_Date],"")</f>
        <v>44607</v>
      </c>
      <c r="Z323">
        <f>_xlfn.XLOOKUP(H323,tblDepartment[Department],tblDepartment[Annual_Budget_INR],"")</f>
        <v>26000000</v>
      </c>
      <c r="AA323" t="str">
        <f>_xlfn.XLOOKUP(H323,tblDepartment[Department],tblDepartment[Monthly_Target],"")</f>
        <v>100% Payroll Accuracy</v>
      </c>
      <c r="AB323">
        <f>_xlfn.XLOOKUP(H323,tblDepartment[Department],tblDepartment[Average_Salary_INR],"")</f>
        <v>640000</v>
      </c>
      <c r="AC323" t="str">
        <f>_xlfn.XLOOKUP(H323,tblDepartment[Department],tblDepartment[Priority_Level],"")</f>
        <v>High</v>
      </c>
      <c r="AD323" t="str">
        <f>_xlfn.XLOOKUP(H323,tblDepartment[Department],tblDepartment[Key_KPI],"")</f>
        <v>Financial Compliance</v>
      </c>
      <c r="AE323">
        <f>_xlfn.XLOOKUP(tblMaster[[#This Row],[Shift]],tblShift[Shift_Name],tblShift[Login_Time],"")</f>
        <v>0.41666666666666669</v>
      </c>
      <c r="AF323">
        <f>_xlfn.XLOOKUP(tblMaster[[#This Row],[Shift]],tblShift[Shift_Name],tblShift[Logout_Time]," ")</f>
        <v>0.79166666666666663</v>
      </c>
      <c r="AG323">
        <f>_xlfn.XLOOKUP(tblMaster[[#This Row],[Shift]],tblShift[Shift_Name],tblShift[Standard_Working_Hours],"")</f>
        <v>8</v>
      </c>
      <c r="AH323" t="str">
        <f>_xlfn.XLOOKUP(tblMaster[[#This Row],[Attendance_Date]],tblHoliday[Holiday_Date],tblHoliday[Holiday_Name],"Working Day")</f>
        <v>Working Day</v>
      </c>
      <c r="AI323" t="str">
        <f>_xlfn.XLOOKUP(tblMaster[[#This Row],[Attendance_Date]],tblHoliday[Holiday_Date],tblHoliday[Holiday_Type],"Working Day ")</f>
        <v xml:space="preserve">Working Day </v>
      </c>
    </row>
    <row r="324" spans="1:35" hidden="1" x14ac:dyDescent="0.3">
      <c r="A324" t="s">
        <v>512</v>
      </c>
      <c r="B324" s="1">
        <v>45723</v>
      </c>
      <c r="C324" t="s">
        <v>71</v>
      </c>
      <c r="D324" t="s">
        <v>50</v>
      </c>
      <c r="E324" t="s">
        <v>119</v>
      </c>
      <c r="F324" t="s">
        <v>195</v>
      </c>
      <c r="G324" t="s">
        <v>196</v>
      </c>
      <c r="H324" t="s">
        <v>98</v>
      </c>
      <c r="I324" t="s">
        <v>99</v>
      </c>
      <c r="J324" t="s">
        <v>43</v>
      </c>
      <c r="K324" t="s">
        <v>75</v>
      </c>
      <c r="P324" t="s">
        <v>135</v>
      </c>
      <c r="S324" t="s">
        <v>67</v>
      </c>
      <c r="T324" t="s">
        <v>101</v>
      </c>
      <c r="U324" t="s">
        <v>85</v>
      </c>
      <c r="W324">
        <f>_xlfn.XLOOKUP(F324,tblEmployee[Employee_ID],tblEmployee[Age],"Not Found")</f>
        <v>24</v>
      </c>
      <c r="X324" t="str">
        <f>_xlfn.XLOOKUP(F324,tblEmployee[Employee_ID],tblEmployee[Gender],"Not Found")</f>
        <v>Male</v>
      </c>
      <c r="Y324">
        <f>_xlfn.XLOOKUP(F324,tblEmployee[Employee_ID],tblEmployee[Joining_Date],"")</f>
        <v>45550</v>
      </c>
      <c r="Z324">
        <f>_xlfn.XLOOKUP(H324,tblDepartment[Department],tblDepartment[Annual_Budget_INR],"")</f>
        <v>22000000</v>
      </c>
      <c r="AA324" t="str">
        <f>_xlfn.XLOOKUP(H324,tblDepartment[Department],tblDepartment[Monthly_Target],"")</f>
        <v>2500 Qualified Leads</v>
      </c>
      <c r="AB324">
        <f>_xlfn.XLOOKUP(H324,tblDepartment[Department],tblDepartment[Average_Salary_INR],"")</f>
        <v>590000</v>
      </c>
      <c r="AC324" t="str">
        <f>_xlfn.XLOOKUP(H324,tblDepartment[Department],tblDepartment[Priority_Level],"")</f>
        <v>Medium</v>
      </c>
      <c r="AD324" t="str">
        <f>_xlfn.XLOOKUP(H324,tblDepartment[Department],tblDepartment[Key_KPI],"")</f>
        <v>Lead Generation</v>
      </c>
      <c r="AE324">
        <f>_xlfn.XLOOKUP(tblMaster[[#This Row],[Shift]],tblShift[Shift_Name],tblShift[Login_Time],"")</f>
        <v>0.375</v>
      </c>
      <c r="AF324">
        <f>_xlfn.XLOOKUP(tblMaster[[#This Row],[Shift]],tblShift[Shift_Name],tblShift[Logout_Time]," ")</f>
        <v>0.75</v>
      </c>
      <c r="AG324">
        <f>_xlfn.XLOOKUP(tblMaster[[#This Row],[Shift]],tblShift[Shift_Name],tblShift[Standard_Working_Hours],"")</f>
        <v>8</v>
      </c>
      <c r="AH324" t="str">
        <f>_xlfn.XLOOKUP(tblMaster[[#This Row],[Attendance_Date]],tblHoliday[Holiday_Date],tblHoliday[Holiday_Name],"Working Day")</f>
        <v>Working Day</v>
      </c>
      <c r="AI324" t="str">
        <f>_xlfn.XLOOKUP(tblMaster[[#This Row],[Attendance_Date]],tblHoliday[Holiday_Date],tblHoliday[Holiday_Type],"Working Day ")</f>
        <v xml:space="preserve">Working Day </v>
      </c>
    </row>
    <row r="325" spans="1:35" hidden="1" x14ac:dyDescent="0.3">
      <c r="A325" t="s">
        <v>513</v>
      </c>
      <c r="B325" s="3">
        <v>45676</v>
      </c>
      <c r="C325" t="s">
        <v>49</v>
      </c>
      <c r="D325" t="s">
        <v>50</v>
      </c>
      <c r="E325" t="s">
        <v>103</v>
      </c>
      <c r="F325" t="s">
        <v>77</v>
      </c>
      <c r="G325" t="s">
        <v>78</v>
      </c>
      <c r="H325" t="s">
        <v>79</v>
      </c>
      <c r="I325" t="s">
        <v>80</v>
      </c>
      <c r="J325" t="s">
        <v>30</v>
      </c>
      <c r="K325" t="s">
        <v>54</v>
      </c>
      <c r="L325" s="2">
        <v>0.375</v>
      </c>
      <c r="M325" s="2">
        <v>0.75</v>
      </c>
      <c r="N325">
        <v>8</v>
      </c>
      <c r="O325">
        <v>0</v>
      </c>
      <c r="P325" t="s">
        <v>32</v>
      </c>
      <c r="R325">
        <v>5</v>
      </c>
      <c r="S325" t="s">
        <v>45</v>
      </c>
      <c r="T325" t="s">
        <v>84</v>
      </c>
      <c r="U325" t="s">
        <v>55</v>
      </c>
      <c r="V325" t="s">
        <v>60</v>
      </c>
      <c r="W325">
        <f>_xlfn.XLOOKUP(F325,tblEmployee[Employee_ID],tblEmployee[Age],"Not Found")</f>
        <v>26</v>
      </c>
      <c r="X325" t="str">
        <f>_xlfn.XLOOKUP(F325,tblEmployee[Employee_ID],tblEmployee[Gender],"Not Found")</f>
        <v>Female</v>
      </c>
      <c r="Y325">
        <f>_xlfn.XLOOKUP(F325,tblEmployee[Employee_ID],tblEmployee[Joining_Date],"")</f>
        <v>44696</v>
      </c>
      <c r="Z325">
        <f>_xlfn.XLOOKUP(H325,tblDepartment[Department],tblDepartment[Annual_Budget_INR],"")</f>
        <v>26000000</v>
      </c>
      <c r="AA325" t="str">
        <f>_xlfn.XLOOKUP(H325,tblDepartment[Department],tblDepartment[Monthly_Target],"")</f>
        <v>100% Payroll Accuracy</v>
      </c>
      <c r="AB325">
        <f>_xlfn.XLOOKUP(H325,tblDepartment[Department],tblDepartment[Average_Salary_INR],"")</f>
        <v>640000</v>
      </c>
      <c r="AC325" t="str">
        <f>_xlfn.XLOOKUP(H325,tblDepartment[Department],tblDepartment[Priority_Level],"")</f>
        <v>High</v>
      </c>
      <c r="AD325" t="str">
        <f>_xlfn.XLOOKUP(H325,tblDepartment[Department],tblDepartment[Key_KPI],"")</f>
        <v>Financial Compliance</v>
      </c>
      <c r="AE325">
        <f>_xlfn.XLOOKUP(tblMaster[[#This Row],[Shift]],tblShift[Shift_Name],tblShift[Login_Time],"")</f>
        <v>0.58333333333333337</v>
      </c>
      <c r="AF325">
        <f>_xlfn.XLOOKUP(tblMaster[[#This Row],[Shift]],tblShift[Shift_Name],tblShift[Logout_Time]," ")</f>
        <v>0.95833333333333337</v>
      </c>
      <c r="AG325">
        <f>_xlfn.XLOOKUP(tblMaster[[#This Row],[Shift]],tblShift[Shift_Name],tblShift[Standard_Working_Hours],"")</f>
        <v>8</v>
      </c>
      <c r="AH325" t="str">
        <f>_xlfn.XLOOKUP(tblMaster[[#This Row],[Attendance_Date]],tblHoliday[Holiday_Date],tblHoliday[Holiday_Name],"Working Day")</f>
        <v>Working Day</v>
      </c>
      <c r="AI325" t="str">
        <f>_xlfn.XLOOKUP(tblMaster[[#This Row],[Attendance_Date]],tblHoliday[Holiday_Date],tblHoliday[Holiday_Type],"Working Day ")</f>
        <v xml:space="preserve">Working Day </v>
      </c>
    </row>
    <row r="326" spans="1:35" x14ac:dyDescent="0.3">
      <c r="A326" t="s">
        <v>514</v>
      </c>
      <c r="B326" s="3">
        <v>45819</v>
      </c>
      <c r="C326" t="s">
        <v>23</v>
      </c>
      <c r="D326" t="s">
        <v>24</v>
      </c>
      <c r="E326" t="s">
        <v>51</v>
      </c>
      <c r="F326" t="s">
        <v>215</v>
      </c>
      <c r="G326" t="s">
        <v>216</v>
      </c>
      <c r="H326" t="s">
        <v>79</v>
      </c>
      <c r="I326" t="s">
        <v>80</v>
      </c>
      <c r="J326" t="s">
        <v>30</v>
      </c>
      <c r="K326" t="s">
        <v>75</v>
      </c>
      <c r="P326" t="s">
        <v>135</v>
      </c>
      <c r="S326" t="s">
        <v>92</v>
      </c>
      <c r="T326" t="s">
        <v>84</v>
      </c>
      <c r="U326" t="str">
        <f>_xlfn.XLOOKUP(tblMaster[[#This Row],[Employee_ID]],tblEmployee[Employee_ID],tblEmployee[Work_Mode]," ")</f>
        <v>Office</v>
      </c>
      <c r="V326" t="s">
        <v>35</v>
      </c>
      <c r="W326">
        <f>_xlfn.XLOOKUP(F326,tblEmployee[Employee_ID],tblEmployee[Age],"Not Found")</f>
        <v>25</v>
      </c>
      <c r="X326" t="str">
        <f>_xlfn.XLOOKUP(F326,tblEmployee[Employee_ID],tblEmployee[Gender],"Not Found")</f>
        <v>Female</v>
      </c>
      <c r="Y326">
        <f>_xlfn.XLOOKUP(F326,tblEmployee[Employee_ID],tblEmployee[Joining_Date],"")</f>
        <v>44666</v>
      </c>
      <c r="Z326">
        <f>_xlfn.XLOOKUP(H326,tblDepartment[Department],tblDepartment[Annual_Budget_INR],"")</f>
        <v>26000000</v>
      </c>
      <c r="AA326" t="str">
        <f>_xlfn.XLOOKUP(H326,tblDepartment[Department],tblDepartment[Monthly_Target],"")</f>
        <v>100% Payroll Accuracy</v>
      </c>
      <c r="AB326">
        <f>_xlfn.XLOOKUP(H326,tblDepartment[Department],tblDepartment[Average_Salary_INR],"")</f>
        <v>640000</v>
      </c>
      <c r="AC326" t="str">
        <f>_xlfn.XLOOKUP(H326,tblDepartment[Department],tblDepartment[Priority_Level],"")</f>
        <v>High</v>
      </c>
      <c r="AD326" t="str">
        <f>_xlfn.XLOOKUP(H326,tblDepartment[Department],tblDepartment[Key_KPI],"")</f>
        <v>Financial Compliance</v>
      </c>
      <c r="AE326">
        <f>_xlfn.XLOOKUP(tblMaster[[#This Row],[Shift]],tblShift[Shift_Name],tblShift[Login_Time],"")</f>
        <v>0.375</v>
      </c>
      <c r="AF326">
        <f>_xlfn.XLOOKUP(tblMaster[[#This Row],[Shift]],tblShift[Shift_Name],tblShift[Logout_Time]," ")</f>
        <v>0.75</v>
      </c>
      <c r="AG326">
        <f>_xlfn.XLOOKUP(tblMaster[[#This Row],[Shift]],tblShift[Shift_Name],tblShift[Standard_Working_Hours],"")</f>
        <v>8</v>
      </c>
      <c r="AH326" t="str">
        <f>_xlfn.XLOOKUP(tblMaster[[#This Row],[Attendance_Date]],tblHoliday[Holiday_Date],tblHoliday[Holiday_Name],"Working Day")</f>
        <v>Working Day</v>
      </c>
      <c r="AI326" t="str">
        <f>_xlfn.XLOOKUP(tblMaster[[#This Row],[Attendance_Date]],tblHoliday[Holiday_Date],tblHoliday[Holiday_Type],"Working Day ")</f>
        <v xml:space="preserve">Working Day </v>
      </c>
    </row>
    <row r="327" spans="1:35" hidden="1" x14ac:dyDescent="0.3">
      <c r="A327" t="s">
        <v>515</v>
      </c>
      <c r="B327" s="1">
        <v>45690</v>
      </c>
      <c r="C327" t="s">
        <v>95</v>
      </c>
      <c r="D327" t="s">
        <v>50</v>
      </c>
      <c r="E327" t="s">
        <v>103</v>
      </c>
      <c r="F327" t="s">
        <v>133</v>
      </c>
      <c r="G327" t="s">
        <v>134</v>
      </c>
      <c r="H327" t="s">
        <v>98</v>
      </c>
      <c r="I327" t="s">
        <v>99</v>
      </c>
      <c r="J327" t="s">
        <v>66</v>
      </c>
      <c r="K327" t="s">
        <v>44</v>
      </c>
      <c r="M327" s="2">
        <v>0.75</v>
      </c>
      <c r="N327">
        <v>8</v>
      </c>
      <c r="O327">
        <v>0</v>
      </c>
      <c r="P327" t="s">
        <v>32</v>
      </c>
      <c r="R327">
        <v>3</v>
      </c>
      <c r="S327" t="s">
        <v>45</v>
      </c>
      <c r="T327" t="s">
        <v>101</v>
      </c>
      <c r="U327" t="s">
        <v>55</v>
      </c>
      <c r="W327">
        <f>_xlfn.XLOOKUP(F327,tblEmployee[Employee_ID],tblEmployee[Age],"Not Found")</f>
        <v>27</v>
      </c>
      <c r="X327" t="str">
        <f>_xlfn.XLOOKUP(F327,tblEmployee[Employee_ID],tblEmployee[Gender],"Not Found")</f>
        <v>Male</v>
      </c>
      <c r="Y327">
        <f>_xlfn.XLOOKUP(F327,tblEmployee[Employee_ID],tblEmployee[Joining_Date],"")</f>
        <v>45458</v>
      </c>
      <c r="Z327">
        <f>_xlfn.XLOOKUP(H327,tblDepartment[Department],tblDepartment[Annual_Budget_INR],"")</f>
        <v>22000000</v>
      </c>
      <c r="AA327" t="str">
        <f>_xlfn.XLOOKUP(H327,tblDepartment[Department],tblDepartment[Monthly_Target],"")</f>
        <v>2500 Qualified Leads</v>
      </c>
      <c r="AB327">
        <f>_xlfn.XLOOKUP(H327,tblDepartment[Department],tblDepartment[Average_Salary_INR],"")</f>
        <v>590000</v>
      </c>
      <c r="AC327" t="str">
        <f>_xlfn.XLOOKUP(H327,tblDepartment[Department],tblDepartment[Priority_Level],"")</f>
        <v>Medium</v>
      </c>
      <c r="AD327" t="str">
        <f>_xlfn.XLOOKUP(H327,tblDepartment[Department],tblDepartment[Key_KPI],"")</f>
        <v>Lead Generation</v>
      </c>
      <c r="AE327">
        <f>_xlfn.XLOOKUP(tblMaster[[#This Row],[Shift]],tblShift[Shift_Name],tblShift[Login_Time],"")</f>
        <v>0.41666666666666669</v>
      </c>
      <c r="AF327">
        <f>_xlfn.XLOOKUP(tblMaster[[#This Row],[Shift]],tblShift[Shift_Name],tblShift[Logout_Time]," ")</f>
        <v>0.79166666666666663</v>
      </c>
      <c r="AG327">
        <f>_xlfn.XLOOKUP(tblMaster[[#This Row],[Shift]],tblShift[Shift_Name],tblShift[Standard_Working_Hours],"")</f>
        <v>8</v>
      </c>
      <c r="AH327" t="str">
        <f>_xlfn.XLOOKUP(tblMaster[[#This Row],[Attendance_Date]],tblHoliday[Holiday_Date],tblHoliday[Holiday_Name],"Working Day")</f>
        <v>Working Day</v>
      </c>
      <c r="AI327" t="str">
        <f>_xlfn.XLOOKUP(tblMaster[[#This Row],[Attendance_Date]],tblHoliday[Holiday_Date],tblHoliday[Holiday_Type],"Working Day ")</f>
        <v xml:space="preserve">Working Day </v>
      </c>
    </row>
    <row r="328" spans="1:35" hidden="1" x14ac:dyDescent="0.3">
      <c r="A328" t="s">
        <v>516</v>
      </c>
      <c r="B328" s="3">
        <v>45745</v>
      </c>
      <c r="C328" t="s">
        <v>71</v>
      </c>
      <c r="D328" t="s">
        <v>50</v>
      </c>
      <c r="E328" t="s">
        <v>38</v>
      </c>
      <c r="F328" t="s">
        <v>124</v>
      </c>
      <c r="G328" t="s">
        <v>125</v>
      </c>
      <c r="H328" t="s">
        <v>28</v>
      </c>
      <c r="I328" t="s">
        <v>29</v>
      </c>
      <c r="J328" t="s">
        <v>66</v>
      </c>
      <c r="K328" t="s">
        <v>75</v>
      </c>
      <c r="L328" s="2">
        <v>0.375</v>
      </c>
      <c r="M328" s="2">
        <v>0.75</v>
      </c>
      <c r="N328">
        <v>8</v>
      </c>
      <c r="O328">
        <v>0</v>
      </c>
      <c r="P328" t="s">
        <v>32</v>
      </c>
      <c r="R328">
        <v>4</v>
      </c>
      <c r="S328" t="s">
        <v>33</v>
      </c>
      <c r="T328" t="s">
        <v>34</v>
      </c>
      <c r="U328" t="s">
        <v>55</v>
      </c>
      <c r="V328" t="s">
        <v>35</v>
      </c>
      <c r="W328">
        <f>_xlfn.XLOOKUP(F328,tblEmployee[Employee_ID],tblEmployee[Age],"Not Found")</f>
        <v>25</v>
      </c>
      <c r="X328" t="str">
        <f>_xlfn.XLOOKUP(F328,tblEmployee[Employee_ID],tblEmployee[Gender],"Not Found")</f>
        <v>Male</v>
      </c>
      <c r="Y328">
        <f>_xlfn.XLOOKUP(F328,tblEmployee[Employee_ID],tblEmployee[Joining_Date],"")</f>
        <v>43388</v>
      </c>
      <c r="Z328">
        <f>_xlfn.XLOOKUP(H328,tblDepartment[Department],tblDepartment[Annual_Budget_INR],"")</f>
        <v>24000000</v>
      </c>
      <c r="AA328" t="str">
        <f>_xlfn.XLOOKUP(H328,tblDepartment[Department],tblDepartment[Monthly_Target],"")</f>
        <v>90% Customer Satisfaction</v>
      </c>
      <c r="AB328">
        <f>_xlfn.XLOOKUP(H328,tblDepartment[Department],tblDepartment[Average_Salary_INR],"")</f>
        <v>520000</v>
      </c>
      <c r="AC328" t="str">
        <f>_xlfn.XLOOKUP(H328,tblDepartment[Department],tblDepartment[Priority_Level],"")</f>
        <v>High</v>
      </c>
      <c r="AD328" t="str">
        <f>_xlfn.XLOOKUP(H328,tblDepartment[Department],tblDepartment[Key_KPI],"")</f>
        <v>Customer Satisfaction</v>
      </c>
      <c r="AE328">
        <f>_xlfn.XLOOKUP(tblMaster[[#This Row],[Shift]],tblShift[Shift_Name],tblShift[Login_Time],"")</f>
        <v>0.375</v>
      </c>
      <c r="AF328">
        <f>_xlfn.XLOOKUP(tblMaster[[#This Row],[Shift]],tblShift[Shift_Name],tblShift[Logout_Time]," ")</f>
        <v>0.75</v>
      </c>
      <c r="AG328">
        <f>_xlfn.XLOOKUP(tblMaster[[#This Row],[Shift]],tblShift[Shift_Name],tblShift[Standard_Working_Hours],"")</f>
        <v>8</v>
      </c>
      <c r="AH328" t="str">
        <f>_xlfn.XLOOKUP(tblMaster[[#This Row],[Attendance_Date]],tblHoliday[Holiday_Date],tblHoliday[Holiday_Name],"Working Day")</f>
        <v>Working Day</v>
      </c>
      <c r="AI328" t="str">
        <f>_xlfn.XLOOKUP(tblMaster[[#This Row],[Attendance_Date]],tblHoliday[Holiday_Date],tblHoliday[Holiday_Type],"Working Day ")</f>
        <v xml:space="preserve">Working Day </v>
      </c>
    </row>
    <row r="329" spans="1:35" hidden="1" x14ac:dyDescent="0.3">
      <c r="A329" t="s">
        <v>517</v>
      </c>
      <c r="B329" s="3">
        <v>45757</v>
      </c>
      <c r="C329" t="s">
        <v>37</v>
      </c>
      <c r="D329" t="s">
        <v>24</v>
      </c>
      <c r="E329" t="s">
        <v>25</v>
      </c>
      <c r="F329" t="s">
        <v>266</v>
      </c>
      <c r="G329" t="s">
        <v>267</v>
      </c>
      <c r="H329" t="s">
        <v>98</v>
      </c>
      <c r="I329" t="s">
        <v>99</v>
      </c>
      <c r="J329" t="s">
        <v>66</v>
      </c>
      <c r="K329" t="s">
        <v>31</v>
      </c>
      <c r="L329" s="2">
        <v>0.375</v>
      </c>
      <c r="M329" s="2">
        <v>0.75</v>
      </c>
      <c r="N329">
        <v>8</v>
      </c>
      <c r="O329">
        <v>0</v>
      </c>
      <c r="P329" t="s">
        <v>32</v>
      </c>
      <c r="R329">
        <v>4</v>
      </c>
      <c r="S329" t="s">
        <v>92</v>
      </c>
      <c r="T329" t="s">
        <v>101</v>
      </c>
      <c r="U329" t="s">
        <v>55</v>
      </c>
      <c r="V329" t="s">
        <v>35</v>
      </c>
      <c r="W329">
        <f>_xlfn.XLOOKUP(F329,tblEmployee[Employee_ID],tblEmployee[Age],"Not Found")</f>
        <v>28</v>
      </c>
      <c r="X329" t="str">
        <f>_xlfn.XLOOKUP(F329,tblEmployee[Employee_ID],tblEmployee[Gender],"Not Found")</f>
        <v>Female</v>
      </c>
      <c r="Y329">
        <f>_xlfn.XLOOKUP(F329,tblEmployee[Employee_ID],tblEmployee[Joining_Date],"")</f>
        <v>45488</v>
      </c>
      <c r="Z329">
        <f>_xlfn.XLOOKUP(H329,tblDepartment[Department],tblDepartment[Annual_Budget_INR],"")</f>
        <v>22000000</v>
      </c>
      <c r="AA329" t="str">
        <f>_xlfn.XLOOKUP(H329,tblDepartment[Department],tblDepartment[Monthly_Target],"")</f>
        <v>2500 Qualified Leads</v>
      </c>
      <c r="AB329">
        <f>_xlfn.XLOOKUP(H329,tblDepartment[Department],tblDepartment[Average_Salary_INR],"")</f>
        <v>590000</v>
      </c>
      <c r="AC329" t="str">
        <f>_xlfn.XLOOKUP(H329,tblDepartment[Department],tblDepartment[Priority_Level],"")</f>
        <v>Medium</v>
      </c>
      <c r="AD329" t="str">
        <f>_xlfn.XLOOKUP(H329,tblDepartment[Department],tblDepartment[Key_KPI],"")</f>
        <v>Lead Generation</v>
      </c>
      <c r="AE329">
        <f>_xlfn.XLOOKUP(tblMaster[[#This Row],[Shift]],tblShift[Shift_Name],tblShift[Login_Time],"")</f>
        <v>0.25</v>
      </c>
      <c r="AF329">
        <f>_xlfn.XLOOKUP(tblMaster[[#This Row],[Shift]],tblShift[Shift_Name],tblShift[Logout_Time]," ")</f>
        <v>0.625</v>
      </c>
      <c r="AG329">
        <f>_xlfn.XLOOKUP(tblMaster[[#This Row],[Shift]],tblShift[Shift_Name],tblShift[Standard_Working_Hours],"")</f>
        <v>8</v>
      </c>
      <c r="AH329" t="str">
        <f>_xlfn.XLOOKUP(tblMaster[[#This Row],[Attendance_Date]],tblHoliday[Holiday_Date],tblHoliday[Holiday_Name],"Working Day")</f>
        <v>Working Day</v>
      </c>
      <c r="AI329" t="str">
        <f>_xlfn.XLOOKUP(tblMaster[[#This Row],[Attendance_Date]],tblHoliday[Holiday_Date],tblHoliday[Holiday_Type],"Working Day ")</f>
        <v xml:space="preserve">Working Day </v>
      </c>
    </row>
    <row r="330" spans="1:35" hidden="1" x14ac:dyDescent="0.3">
      <c r="A330" t="s">
        <v>518</v>
      </c>
      <c r="B330" s="3">
        <v>45744</v>
      </c>
      <c r="C330" t="s">
        <v>71</v>
      </c>
      <c r="D330" t="s">
        <v>50</v>
      </c>
      <c r="E330" t="s">
        <v>119</v>
      </c>
      <c r="F330" t="s">
        <v>163</v>
      </c>
      <c r="G330" t="s">
        <v>164</v>
      </c>
      <c r="H330" t="s">
        <v>112</v>
      </c>
      <c r="I330" t="s">
        <v>113</v>
      </c>
      <c r="J330" t="s">
        <v>100</v>
      </c>
      <c r="K330" t="s">
        <v>75</v>
      </c>
      <c r="L330" s="2">
        <v>0.39930555555555558</v>
      </c>
      <c r="M330" s="2">
        <v>0.75</v>
      </c>
      <c r="N330">
        <v>8</v>
      </c>
      <c r="O330">
        <v>0</v>
      </c>
      <c r="P330" t="s">
        <v>32</v>
      </c>
      <c r="S330" t="s">
        <v>33</v>
      </c>
      <c r="T330" t="s">
        <v>114</v>
      </c>
      <c r="U330" t="s">
        <v>47</v>
      </c>
      <c r="V330" t="s">
        <v>35</v>
      </c>
      <c r="W330">
        <f>_xlfn.XLOOKUP(F330,tblEmployee[Employee_ID],tblEmployee[Age],"Not Found")</f>
        <v>25</v>
      </c>
      <c r="X330" t="str">
        <f>_xlfn.XLOOKUP(F330,tblEmployee[Employee_ID],tblEmployee[Gender],"Not Found")</f>
        <v>Male</v>
      </c>
      <c r="Y330">
        <f>_xlfn.XLOOKUP(F330,tblEmployee[Employee_ID],tblEmployee[Joining_Date],"")</f>
        <v>44301</v>
      </c>
      <c r="Z330">
        <f>_xlfn.XLOOKUP(H330,tblDepartment[Department],tblDepartment[Annual_Budget_INR],"")</f>
        <v>42000000</v>
      </c>
      <c r="AA330" t="str">
        <f>_xlfn.XLOOKUP(H330,tblDepartment[Department],tblDepartment[Monthly_Target],"")</f>
        <v>₹2.5 Cr Monthly Sales</v>
      </c>
      <c r="AB330">
        <f>_xlfn.XLOOKUP(H330,tblDepartment[Department],tblDepartment[Average_Salary_INR],"")</f>
        <v>680000</v>
      </c>
      <c r="AC330" t="str">
        <f>_xlfn.XLOOKUP(H330,tblDepartment[Department],tblDepartment[Priority_Level],"")</f>
        <v>High</v>
      </c>
      <c r="AD330" t="str">
        <f>_xlfn.XLOOKUP(H330,tblDepartment[Department],tblDepartment[Key_KPI],"")</f>
        <v>Revenue Achievement</v>
      </c>
      <c r="AE330">
        <f>_xlfn.XLOOKUP(tblMaster[[#This Row],[Shift]],tblShift[Shift_Name],tblShift[Login_Time],"")</f>
        <v>0.375</v>
      </c>
      <c r="AF330">
        <f>_xlfn.XLOOKUP(tblMaster[[#This Row],[Shift]],tblShift[Shift_Name],tblShift[Logout_Time]," ")</f>
        <v>0.75</v>
      </c>
      <c r="AG330">
        <f>_xlfn.XLOOKUP(tblMaster[[#This Row],[Shift]],tblShift[Shift_Name],tblShift[Standard_Working_Hours],"")</f>
        <v>8</v>
      </c>
      <c r="AH330" t="str">
        <f>_xlfn.XLOOKUP(tblMaster[[#This Row],[Attendance_Date]],tblHoliday[Holiday_Date],tblHoliday[Holiday_Name],"Working Day")</f>
        <v>Working Day</v>
      </c>
      <c r="AI330" t="str">
        <f>_xlfn.XLOOKUP(tblMaster[[#This Row],[Attendance_Date]],tblHoliday[Holiday_Date],tblHoliday[Holiday_Type],"Working Day ")</f>
        <v xml:space="preserve">Working Day </v>
      </c>
    </row>
    <row r="331" spans="1:35" hidden="1" x14ac:dyDescent="0.3">
      <c r="A331" t="s">
        <v>519</v>
      </c>
      <c r="B331" s="3">
        <v>45662</v>
      </c>
      <c r="C331" t="s">
        <v>49</v>
      </c>
      <c r="D331" t="s">
        <v>50</v>
      </c>
      <c r="E331" t="s">
        <v>103</v>
      </c>
      <c r="F331" t="s">
        <v>275</v>
      </c>
      <c r="G331" t="s">
        <v>276</v>
      </c>
      <c r="H331" t="s">
        <v>64</v>
      </c>
      <c r="I331" t="s">
        <v>65</v>
      </c>
      <c r="J331" t="s">
        <v>100</v>
      </c>
      <c r="K331" t="s">
        <v>75</v>
      </c>
      <c r="L331" s="2">
        <v>0.375</v>
      </c>
      <c r="M331" s="2">
        <v>0.75</v>
      </c>
      <c r="N331">
        <v>10</v>
      </c>
      <c r="O331">
        <v>2</v>
      </c>
      <c r="P331" t="s">
        <v>32</v>
      </c>
      <c r="R331">
        <v>4</v>
      </c>
      <c r="S331" t="s">
        <v>67</v>
      </c>
      <c r="T331" t="s">
        <v>68</v>
      </c>
      <c r="U331" t="s">
        <v>85</v>
      </c>
      <c r="V331" t="s">
        <v>35</v>
      </c>
      <c r="W331">
        <f>_xlfn.XLOOKUP(F331,tblEmployee[Employee_ID],tblEmployee[Age],"Not Found")</f>
        <v>29</v>
      </c>
      <c r="X331" t="str">
        <f>_xlfn.XLOOKUP(F331,tblEmployee[Employee_ID],tblEmployee[Gender],"Not Found")</f>
        <v>Male</v>
      </c>
      <c r="Y331">
        <f>_xlfn.XLOOKUP(F331,tblEmployee[Employee_ID],tblEmployee[Joining_Date],"")</f>
        <v>43692</v>
      </c>
      <c r="Z331">
        <f>_xlfn.XLOOKUP(H331,tblDepartment[Department],tblDepartment[Annual_Budget_INR],"")</f>
        <v>85000000</v>
      </c>
      <c r="AA331" t="str">
        <f>_xlfn.XLOOKUP(H331,tblDepartment[Department],tblDepartment[Monthly_Target],"")</f>
        <v>99.5% System Uptime</v>
      </c>
      <c r="AB331">
        <f>_xlfn.XLOOKUP(H331,tblDepartment[Department],tblDepartment[Average_Salary_INR],"")</f>
        <v>720000</v>
      </c>
      <c r="AC331" t="str">
        <f>_xlfn.XLOOKUP(H331,tblDepartment[Department],tblDepartment[Priority_Level],"")</f>
        <v>High</v>
      </c>
      <c r="AD331" t="str">
        <f>_xlfn.XLOOKUP(H331,tblDepartment[Department],tblDepartment[Key_KPI],"")</f>
        <v>Project Delivery</v>
      </c>
      <c r="AE331">
        <f>_xlfn.XLOOKUP(tblMaster[[#This Row],[Shift]],tblShift[Shift_Name],tblShift[Login_Time],"")</f>
        <v>0.375</v>
      </c>
      <c r="AF331">
        <f>_xlfn.XLOOKUP(tblMaster[[#This Row],[Shift]],tblShift[Shift_Name],tblShift[Logout_Time]," ")</f>
        <v>0.75</v>
      </c>
      <c r="AG331">
        <f>_xlfn.XLOOKUP(tblMaster[[#This Row],[Shift]],tblShift[Shift_Name],tblShift[Standard_Working_Hours],"")</f>
        <v>8</v>
      </c>
      <c r="AH331" t="str">
        <f>_xlfn.XLOOKUP(tblMaster[[#This Row],[Attendance_Date]],tblHoliday[Holiday_Date],tblHoliday[Holiday_Name],"Working Day")</f>
        <v>Working Day</v>
      </c>
      <c r="AI331" t="str">
        <f>_xlfn.XLOOKUP(tblMaster[[#This Row],[Attendance_Date]],tblHoliday[Holiday_Date],tblHoliday[Holiday_Type],"Working Day ")</f>
        <v xml:space="preserve">Working Day </v>
      </c>
    </row>
    <row r="332" spans="1:35" hidden="1" x14ac:dyDescent="0.3">
      <c r="A332" t="s">
        <v>520</v>
      </c>
      <c r="B332" s="3">
        <v>45692</v>
      </c>
      <c r="C332" t="s">
        <v>95</v>
      </c>
      <c r="D332" t="s">
        <v>50</v>
      </c>
      <c r="E332" t="s">
        <v>87</v>
      </c>
      <c r="F332" t="s">
        <v>192</v>
      </c>
      <c r="G332" t="s">
        <v>193</v>
      </c>
      <c r="H332" t="s">
        <v>79</v>
      </c>
      <c r="I332" t="s">
        <v>80</v>
      </c>
      <c r="J332" t="s">
        <v>66</v>
      </c>
      <c r="K332" t="s">
        <v>44</v>
      </c>
      <c r="P332" t="s">
        <v>82</v>
      </c>
      <c r="Q332" t="s">
        <v>225</v>
      </c>
      <c r="S332" t="s">
        <v>45</v>
      </c>
      <c r="T332" t="s">
        <v>84</v>
      </c>
      <c r="U332" t="s">
        <v>55</v>
      </c>
      <c r="V332" t="s">
        <v>35</v>
      </c>
      <c r="W332">
        <f>_xlfn.XLOOKUP(F332,tblEmployee[Employee_ID],tblEmployee[Age],"Not Found")</f>
        <v>32</v>
      </c>
      <c r="X332" t="str">
        <f>_xlfn.XLOOKUP(F332,tblEmployee[Employee_ID],tblEmployee[Gender],"Not Found")</f>
        <v>Female</v>
      </c>
      <c r="Y332">
        <f>_xlfn.XLOOKUP(F332,tblEmployee[Employee_ID],tblEmployee[Joining_Date],"")</f>
        <v>44880</v>
      </c>
      <c r="Z332">
        <f>_xlfn.XLOOKUP(H332,tblDepartment[Department],tblDepartment[Annual_Budget_INR],"")</f>
        <v>26000000</v>
      </c>
      <c r="AA332" t="str">
        <f>_xlfn.XLOOKUP(H332,tblDepartment[Department],tblDepartment[Monthly_Target],"")</f>
        <v>100% Payroll Accuracy</v>
      </c>
      <c r="AB332">
        <f>_xlfn.XLOOKUP(H332,tblDepartment[Department],tblDepartment[Average_Salary_INR],"")</f>
        <v>640000</v>
      </c>
      <c r="AC332" t="str">
        <f>_xlfn.XLOOKUP(H332,tblDepartment[Department],tblDepartment[Priority_Level],"")</f>
        <v>High</v>
      </c>
      <c r="AD332" t="str">
        <f>_xlfn.XLOOKUP(H332,tblDepartment[Department],tblDepartment[Key_KPI],"")</f>
        <v>Financial Compliance</v>
      </c>
      <c r="AE332">
        <f>_xlfn.XLOOKUP(tblMaster[[#This Row],[Shift]],tblShift[Shift_Name],tblShift[Login_Time],"")</f>
        <v>0.41666666666666669</v>
      </c>
      <c r="AF332">
        <f>_xlfn.XLOOKUP(tblMaster[[#This Row],[Shift]],tblShift[Shift_Name],tblShift[Logout_Time]," ")</f>
        <v>0.79166666666666663</v>
      </c>
      <c r="AG332">
        <f>_xlfn.XLOOKUP(tblMaster[[#This Row],[Shift]],tblShift[Shift_Name],tblShift[Standard_Working_Hours],"")</f>
        <v>8</v>
      </c>
      <c r="AH332" t="str">
        <f>_xlfn.XLOOKUP(tblMaster[[#This Row],[Attendance_Date]],tblHoliday[Holiday_Date],tblHoliday[Holiday_Name],"Working Day")</f>
        <v>Working Day</v>
      </c>
      <c r="AI332" t="str">
        <f>_xlfn.XLOOKUP(tblMaster[[#This Row],[Attendance_Date]],tblHoliday[Holiday_Date],tblHoliday[Holiday_Type],"Working Day ")</f>
        <v xml:space="preserve">Working Day </v>
      </c>
    </row>
    <row r="333" spans="1:35" x14ac:dyDescent="0.3">
      <c r="A333" t="s">
        <v>521</v>
      </c>
      <c r="B333" s="1">
        <v>45678</v>
      </c>
      <c r="C333" t="s">
        <v>49</v>
      </c>
      <c r="D333" t="s">
        <v>50</v>
      </c>
      <c r="E333" t="s">
        <v>87</v>
      </c>
      <c r="F333" t="s">
        <v>148</v>
      </c>
      <c r="G333" t="s">
        <v>149</v>
      </c>
      <c r="H333" t="s">
        <v>112</v>
      </c>
      <c r="I333" t="s">
        <v>113</v>
      </c>
      <c r="J333" t="s">
        <v>43</v>
      </c>
      <c r="K333" t="s">
        <v>44</v>
      </c>
      <c r="L333" s="2">
        <v>0.3888888888888889</v>
      </c>
      <c r="M333" s="2">
        <v>0.75</v>
      </c>
      <c r="N333">
        <v>8</v>
      </c>
      <c r="O333">
        <v>0</v>
      </c>
      <c r="P333" t="s">
        <v>32</v>
      </c>
      <c r="S333" t="s">
        <v>92</v>
      </c>
      <c r="T333" t="s">
        <v>114</v>
      </c>
      <c r="U333" t="str">
        <f>_xlfn.XLOOKUP(tblMaster[[#This Row],[Employee_ID]],tblEmployee[Employee_ID],tblEmployee[Work_Mode]," ")</f>
        <v>Office</v>
      </c>
      <c r="V333" t="s">
        <v>60</v>
      </c>
      <c r="W333">
        <f>_xlfn.XLOOKUP(F333,tblEmployee[Employee_ID],tblEmployee[Age],"Not Found")</f>
        <v>31</v>
      </c>
      <c r="X333" t="str">
        <f>_xlfn.XLOOKUP(F333,tblEmployee[Employee_ID],tblEmployee[Gender],"Not Found")</f>
        <v>Male</v>
      </c>
      <c r="Y333">
        <f>_xlfn.XLOOKUP(F333,tblEmployee[Employee_ID],tblEmployee[Joining_Date],"")</f>
        <v>44484</v>
      </c>
      <c r="Z333">
        <f>_xlfn.XLOOKUP(H333,tblDepartment[Department],tblDepartment[Annual_Budget_INR],"")</f>
        <v>42000000</v>
      </c>
      <c r="AA333" t="str">
        <f>_xlfn.XLOOKUP(H333,tblDepartment[Department],tblDepartment[Monthly_Target],"")</f>
        <v>₹2.5 Cr Monthly Sales</v>
      </c>
      <c r="AB333">
        <f>_xlfn.XLOOKUP(H333,tblDepartment[Department],tblDepartment[Average_Salary_INR],"")</f>
        <v>680000</v>
      </c>
      <c r="AC333" t="str">
        <f>_xlfn.XLOOKUP(H333,tblDepartment[Department],tblDepartment[Priority_Level],"")</f>
        <v>High</v>
      </c>
      <c r="AD333" t="str">
        <f>_xlfn.XLOOKUP(H333,tblDepartment[Department],tblDepartment[Key_KPI],"")</f>
        <v>Revenue Achievement</v>
      </c>
      <c r="AE333">
        <f>_xlfn.XLOOKUP(tblMaster[[#This Row],[Shift]],tblShift[Shift_Name],tblShift[Login_Time],"")</f>
        <v>0.41666666666666669</v>
      </c>
      <c r="AF333">
        <f>_xlfn.XLOOKUP(tblMaster[[#This Row],[Shift]],tblShift[Shift_Name],tblShift[Logout_Time]," ")</f>
        <v>0.79166666666666663</v>
      </c>
      <c r="AG333">
        <f>_xlfn.XLOOKUP(tblMaster[[#This Row],[Shift]],tblShift[Shift_Name],tblShift[Standard_Working_Hours],"")</f>
        <v>8</v>
      </c>
      <c r="AH333" t="str">
        <f>_xlfn.XLOOKUP(tblMaster[[#This Row],[Attendance_Date]],tblHoliday[Holiday_Date],tblHoliday[Holiday_Name],"Working Day")</f>
        <v>Working Day</v>
      </c>
      <c r="AI333" t="str">
        <f>_xlfn.XLOOKUP(tblMaster[[#This Row],[Attendance_Date]],tblHoliday[Holiday_Date],tblHoliday[Holiday_Type],"Working Day ")</f>
        <v xml:space="preserve">Working Day </v>
      </c>
    </row>
    <row r="334" spans="1:35" hidden="1" x14ac:dyDescent="0.3">
      <c r="A334" t="s">
        <v>522</v>
      </c>
      <c r="B334" s="3">
        <v>45797</v>
      </c>
      <c r="C334" t="s">
        <v>57</v>
      </c>
      <c r="D334" t="s">
        <v>24</v>
      </c>
      <c r="E334" t="s">
        <v>87</v>
      </c>
      <c r="F334" t="s">
        <v>124</v>
      </c>
      <c r="G334" t="s">
        <v>125</v>
      </c>
      <c r="H334" t="s">
        <v>28</v>
      </c>
      <c r="I334" t="s">
        <v>29</v>
      </c>
      <c r="J334" t="s">
        <v>66</v>
      </c>
      <c r="K334" t="s">
        <v>75</v>
      </c>
      <c r="L334" s="2">
        <v>0.375</v>
      </c>
      <c r="M334" s="2">
        <v>0.75</v>
      </c>
      <c r="N334">
        <v>8</v>
      </c>
      <c r="O334">
        <v>0</v>
      </c>
      <c r="P334" t="s">
        <v>32</v>
      </c>
      <c r="R334">
        <v>4</v>
      </c>
      <c r="S334" t="s">
        <v>67</v>
      </c>
      <c r="T334" t="s">
        <v>34</v>
      </c>
      <c r="U334" t="s">
        <v>85</v>
      </c>
      <c r="V334" t="s">
        <v>69</v>
      </c>
      <c r="W334">
        <f>_xlfn.XLOOKUP(F334,tblEmployee[Employee_ID],tblEmployee[Age],"Not Found")</f>
        <v>25</v>
      </c>
      <c r="X334" t="str">
        <f>_xlfn.XLOOKUP(F334,tblEmployee[Employee_ID],tblEmployee[Gender],"Not Found")</f>
        <v>Male</v>
      </c>
      <c r="Y334">
        <f>_xlfn.XLOOKUP(F334,tblEmployee[Employee_ID],tblEmployee[Joining_Date],"")</f>
        <v>43388</v>
      </c>
      <c r="Z334">
        <f>_xlfn.XLOOKUP(H334,tblDepartment[Department],tblDepartment[Annual_Budget_INR],"")</f>
        <v>24000000</v>
      </c>
      <c r="AA334" t="str">
        <f>_xlfn.XLOOKUP(H334,tblDepartment[Department],tblDepartment[Monthly_Target],"")</f>
        <v>90% Customer Satisfaction</v>
      </c>
      <c r="AB334">
        <f>_xlfn.XLOOKUP(H334,tblDepartment[Department],tblDepartment[Average_Salary_INR],"")</f>
        <v>520000</v>
      </c>
      <c r="AC334" t="str">
        <f>_xlfn.XLOOKUP(H334,tblDepartment[Department],tblDepartment[Priority_Level],"")</f>
        <v>High</v>
      </c>
      <c r="AD334" t="str">
        <f>_xlfn.XLOOKUP(H334,tblDepartment[Department],tblDepartment[Key_KPI],"")</f>
        <v>Customer Satisfaction</v>
      </c>
      <c r="AE334">
        <f>_xlfn.XLOOKUP(tblMaster[[#This Row],[Shift]],tblShift[Shift_Name],tblShift[Login_Time],"")</f>
        <v>0.375</v>
      </c>
      <c r="AF334">
        <f>_xlfn.XLOOKUP(tblMaster[[#This Row],[Shift]],tblShift[Shift_Name],tblShift[Logout_Time]," ")</f>
        <v>0.75</v>
      </c>
      <c r="AG334">
        <f>_xlfn.XLOOKUP(tblMaster[[#This Row],[Shift]],tblShift[Shift_Name],tblShift[Standard_Working_Hours],"")</f>
        <v>8</v>
      </c>
      <c r="AH334" t="str">
        <f>_xlfn.XLOOKUP(tblMaster[[#This Row],[Attendance_Date]],tblHoliday[Holiday_Date],tblHoliday[Holiday_Name],"Working Day")</f>
        <v>Working Day</v>
      </c>
      <c r="AI334" t="str">
        <f>_xlfn.XLOOKUP(tblMaster[[#This Row],[Attendance_Date]],tblHoliday[Holiday_Date],tblHoliday[Holiday_Type],"Working Day ")</f>
        <v xml:space="preserve">Working Day </v>
      </c>
    </row>
    <row r="335" spans="1:35" x14ac:dyDescent="0.3">
      <c r="A335" t="s">
        <v>523</v>
      </c>
      <c r="B335" s="3">
        <v>45722</v>
      </c>
      <c r="C335" t="s">
        <v>71</v>
      </c>
      <c r="D335" t="s">
        <v>50</v>
      </c>
      <c r="E335" t="s">
        <v>25</v>
      </c>
      <c r="F335" t="s">
        <v>39</v>
      </c>
      <c r="G335" t="s">
        <v>40</v>
      </c>
      <c r="H335" t="s">
        <v>41</v>
      </c>
      <c r="I335" t="s">
        <v>42</v>
      </c>
      <c r="J335" t="s">
        <v>43</v>
      </c>
      <c r="K335" t="s">
        <v>81</v>
      </c>
      <c r="L335" s="2">
        <v>0.91666666666666663</v>
      </c>
      <c r="M335" s="2">
        <v>0.29166666666666669</v>
      </c>
      <c r="N335">
        <v>8.5</v>
      </c>
      <c r="O335">
        <v>0.5</v>
      </c>
      <c r="P335" t="s">
        <v>32</v>
      </c>
      <c r="R335">
        <v>5</v>
      </c>
      <c r="S335" t="s">
        <v>45</v>
      </c>
      <c r="T335" t="s">
        <v>46</v>
      </c>
      <c r="U335" t="str">
        <f>_xlfn.XLOOKUP(tblMaster[[#This Row],[Employee_ID]],tblEmployee[Employee_ID],tblEmployee[Work_Mode]," ")</f>
        <v>Hybrid</v>
      </c>
      <c r="V335" t="s">
        <v>35</v>
      </c>
      <c r="W335">
        <f>_xlfn.XLOOKUP(F335,tblEmployee[Employee_ID],tblEmployee[Age],"Not Found")</f>
        <v>26</v>
      </c>
      <c r="X335" t="str">
        <f>_xlfn.XLOOKUP(F335,tblEmployee[Employee_ID],tblEmployee[Gender],"Not Found")</f>
        <v>Male</v>
      </c>
      <c r="Y335">
        <f>_xlfn.XLOOKUP(F335,tblEmployee[Employee_ID],tblEmployee[Joining_Date],"")</f>
        <v>45061</v>
      </c>
      <c r="Z335">
        <f>_xlfn.XLOOKUP(H335,tblDepartment[Department],tblDepartment[Annual_Budget_INR],"")</f>
        <v>34000000</v>
      </c>
      <c r="AA335" t="str">
        <f>_xlfn.XLOOKUP(H335,tblDepartment[Department],tblDepartment[Monthly_Target],"")</f>
        <v>95% Process Efficiency</v>
      </c>
      <c r="AB335">
        <f>_xlfn.XLOOKUP(H335,tblDepartment[Department],tblDepartment[Average_Salary_INR],"")</f>
        <v>610000</v>
      </c>
      <c r="AC335" t="str">
        <f>_xlfn.XLOOKUP(H335,tblDepartment[Department],tblDepartment[Priority_Level],"")</f>
        <v>High</v>
      </c>
      <c r="AD335" t="str">
        <f>_xlfn.XLOOKUP(H335,tblDepartment[Department],tblDepartment[Key_KPI],"")</f>
        <v>Operational Efficiency</v>
      </c>
      <c r="AE335">
        <f>_xlfn.XLOOKUP(tblMaster[[#This Row],[Shift]],tblShift[Shift_Name],tblShift[Login_Time],"")</f>
        <v>0.91666666666666663</v>
      </c>
      <c r="AF335">
        <f>_xlfn.XLOOKUP(tblMaster[[#This Row],[Shift]],tblShift[Shift_Name],tblShift[Logout_Time]," ")</f>
        <v>0.29166666666666669</v>
      </c>
      <c r="AG335">
        <f>_xlfn.XLOOKUP(tblMaster[[#This Row],[Shift]],tblShift[Shift_Name],tblShift[Standard_Working_Hours],"")</f>
        <v>8</v>
      </c>
      <c r="AH335" t="str">
        <f>_xlfn.XLOOKUP(tblMaster[[#This Row],[Attendance_Date]],tblHoliday[Holiday_Date],tblHoliday[Holiday_Name],"Working Day")</f>
        <v>Working Day</v>
      </c>
      <c r="AI335" t="str">
        <f>_xlfn.XLOOKUP(tblMaster[[#This Row],[Attendance_Date]],tblHoliday[Holiday_Date],tblHoliday[Holiday_Type],"Working Day ")</f>
        <v xml:space="preserve">Working Day </v>
      </c>
    </row>
    <row r="336" spans="1:35" hidden="1" x14ac:dyDescent="0.3">
      <c r="A336" t="s">
        <v>524</v>
      </c>
      <c r="B336" s="3">
        <v>45794</v>
      </c>
      <c r="C336" t="s">
        <v>57</v>
      </c>
      <c r="D336" t="s">
        <v>24</v>
      </c>
      <c r="E336" t="s">
        <v>38</v>
      </c>
      <c r="F336" t="s">
        <v>182</v>
      </c>
      <c r="G336" t="s">
        <v>183</v>
      </c>
      <c r="H336" t="s">
        <v>112</v>
      </c>
      <c r="I336" t="s">
        <v>113</v>
      </c>
      <c r="J336" t="s">
        <v>30</v>
      </c>
      <c r="K336" t="s">
        <v>75</v>
      </c>
      <c r="L336" s="2">
        <v>0.375</v>
      </c>
      <c r="M336" s="2">
        <v>0.75</v>
      </c>
      <c r="N336">
        <v>8</v>
      </c>
      <c r="O336">
        <v>0</v>
      </c>
      <c r="P336" t="s">
        <v>32</v>
      </c>
      <c r="S336" t="s">
        <v>45</v>
      </c>
      <c r="T336" t="s">
        <v>114</v>
      </c>
      <c r="U336" t="s">
        <v>47</v>
      </c>
      <c r="V336" t="s">
        <v>60</v>
      </c>
      <c r="W336">
        <f>_xlfn.XLOOKUP(F336,tblEmployee[Employee_ID],tblEmployee[Age],"Not Found")</f>
        <v>28</v>
      </c>
      <c r="X336" t="str">
        <f>_xlfn.XLOOKUP(F336,tblEmployee[Employee_ID],tblEmployee[Gender],"Not Found")</f>
        <v>Male</v>
      </c>
      <c r="Y336">
        <f>_xlfn.XLOOKUP(F336,tblEmployee[Employee_ID],tblEmployee[Joining_Date],"")</f>
        <v>44211</v>
      </c>
      <c r="Z336">
        <f>_xlfn.XLOOKUP(H336,tblDepartment[Department],tblDepartment[Annual_Budget_INR],"")</f>
        <v>42000000</v>
      </c>
      <c r="AA336" t="str">
        <f>_xlfn.XLOOKUP(H336,tblDepartment[Department],tblDepartment[Monthly_Target],"")</f>
        <v>₹2.5 Cr Monthly Sales</v>
      </c>
      <c r="AB336">
        <f>_xlfn.XLOOKUP(H336,tblDepartment[Department],tblDepartment[Average_Salary_INR],"")</f>
        <v>680000</v>
      </c>
      <c r="AC336" t="str">
        <f>_xlfn.XLOOKUP(H336,tblDepartment[Department],tblDepartment[Priority_Level],"")</f>
        <v>High</v>
      </c>
      <c r="AD336" t="str">
        <f>_xlfn.XLOOKUP(H336,tblDepartment[Department],tblDepartment[Key_KPI],"")</f>
        <v>Revenue Achievement</v>
      </c>
      <c r="AE336">
        <f>_xlfn.XLOOKUP(tblMaster[[#This Row],[Shift]],tblShift[Shift_Name],tblShift[Login_Time],"")</f>
        <v>0.375</v>
      </c>
      <c r="AF336">
        <f>_xlfn.XLOOKUP(tblMaster[[#This Row],[Shift]],tblShift[Shift_Name],tblShift[Logout_Time]," ")</f>
        <v>0.75</v>
      </c>
      <c r="AG336">
        <f>_xlfn.XLOOKUP(tblMaster[[#This Row],[Shift]],tblShift[Shift_Name],tblShift[Standard_Working_Hours],"")</f>
        <v>8</v>
      </c>
      <c r="AH336" t="str">
        <f>_xlfn.XLOOKUP(tblMaster[[#This Row],[Attendance_Date]],tblHoliday[Holiday_Date],tblHoliday[Holiday_Name],"Working Day")</f>
        <v>Working Day</v>
      </c>
      <c r="AI336" t="str">
        <f>_xlfn.XLOOKUP(tblMaster[[#This Row],[Attendance_Date]],tblHoliday[Holiday_Date],tblHoliday[Holiday_Type],"Working Day ")</f>
        <v xml:space="preserve">Working Day </v>
      </c>
    </row>
    <row r="337" spans="1:35" hidden="1" x14ac:dyDescent="0.3">
      <c r="A337" t="s">
        <v>525</v>
      </c>
      <c r="B337" s="3">
        <v>45774</v>
      </c>
      <c r="C337" t="s">
        <v>37</v>
      </c>
      <c r="D337" t="s">
        <v>24</v>
      </c>
      <c r="E337" t="s">
        <v>103</v>
      </c>
      <c r="F337" t="s">
        <v>231</v>
      </c>
      <c r="G337" t="s">
        <v>232</v>
      </c>
      <c r="H337" t="s">
        <v>98</v>
      </c>
      <c r="I337" t="s">
        <v>99</v>
      </c>
      <c r="J337" t="s">
        <v>74</v>
      </c>
      <c r="K337" t="s">
        <v>54</v>
      </c>
      <c r="L337" s="2">
        <v>0.375</v>
      </c>
      <c r="M337" s="2">
        <v>0.75</v>
      </c>
      <c r="N337">
        <v>8</v>
      </c>
      <c r="O337">
        <v>0</v>
      </c>
      <c r="P337" t="s">
        <v>32</v>
      </c>
      <c r="R337">
        <v>4</v>
      </c>
      <c r="S337" t="s">
        <v>92</v>
      </c>
      <c r="T337" t="s">
        <v>101</v>
      </c>
      <c r="U337" t="s">
        <v>55</v>
      </c>
      <c r="W337">
        <f>_xlfn.XLOOKUP(F337,tblEmployee[Employee_ID],tblEmployee[Age],"Not Found")</f>
        <v>31</v>
      </c>
      <c r="X337" t="str">
        <f>_xlfn.XLOOKUP(F337,tblEmployee[Employee_ID],tblEmployee[Gender],"Not Found")</f>
        <v>Male</v>
      </c>
      <c r="Y337">
        <f>_xlfn.XLOOKUP(F337,tblEmployee[Employee_ID],tblEmployee[Joining_Date],"")</f>
        <v>45397</v>
      </c>
      <c r="Z337">
        <f>_xlfn.XLOOKUP(H337,tblDepartment[Department],tblDepartment[Annual_Budget_INR],"")</f>
        <v>22000000</v>
      </c>
      <c r="AA337" t="str">
        <f>_xlfn.XLOOKUP(H337,tblDepartment[Department],tblDepartment[Monthly_Target],"")</f>
        <v>2500 Qualified Leads</v>
      </c>
      <c r="AB337">
        <f>_xlfn.XLOOKUP(H337,tblDepartment[Department],tblDepartment[Average_Salary_INR],"")</f>
        <v>590000</v>
      </c>
      <c r="AC337" t="str">
        <f>_xlfn.XLOOKUP(H337,tblDepartment[Department],tblDepartment[Priority_Level],"")</f>
        <v>Medium</v>
      </c>
      <c r="AD337" t="str">
        <f>_xlfn.XLOOKUP(H337,tblDepartment[Department],tblDepartment[Key_KPI],"")</f>
        <v>Lead Generation</v>
      </c>
      <c r="AE337">
        <f>_xlfn.XLOOKUP(tblMaster[[#This Row],[Shift]],tblShift[Shift_Name],tblShift[Login_Time],"")</f>
        <v>0.58333333333333337</v>
      </c>
      <c r="AF337">
        <f>_xlfn.XLOOKUP(tblMaster[[#This Row],[Shift]],tblShift[Shift_Name],tblShift[Logout_Time]," ")</f>
        <v>0.95833333333333337</v>
      </c>
      <c r="AG337">
        <f>_xlfn.XLOOKUP(tblMaster[[#This Row],[Shift]],tblShift[Shift_Name],tblShift[Standard_Working_Hours],"")</f>
        <v>8</v>
      </c>
      <c r="AH337" t="str">
        <f>_xlfn.XLOOKUP(tblMaster[[#This Row],[Attendance_Date]],tblHoliday[Holiday_Date],tblHoliday[Holiday_Name],"Working Day")</f>
        <v>Working Day</v>
      </c>
      <c r="AI337" t="str">
        <f>_xlfn.XLOOKUP(tblMaster[[#This Row],[Attendance_Date]],tblHoliday[Holiday_Date],tblHoliday[Holiday_Type],"Working Day ")</f>
        <v xml:space="preserve">Working Day </v>
      </c>
    </row>
    <row r="338" spans="1:35" hidden="1" x14ac:dyDescent="0.3">
      <c r="A338" t="s">
        <v>526</v>
      </c>
      <c r="B338" s="3">
        <v>45673</v>
      </c>
      <c r="C338" t="s">
        <v>49</v>
      </c>
      <c r="D338" t="s">
        <v>50</v>
      </c>
      <c r="E338" t="s">
        <v>25</v>
      </c>
      <c r="F338" t="s">
        <v>240</v>
      </c>
      <c r="G338" t="s">
        <v>241</v>
      </c>
      <c r="H338" t="s">
        <v>41</v>
      </c>
      <c r="I338" t="s">
        <v>42</v>
      </c>
      <c r="J338" t="s">
        <v>66</v>
      </c>
      <c r="K338" t="s">
        <v>75</v>
      </c>
      <c r="L338" s="2">
        <v>0.375</v>
      </c>
      <c r="M338" s="2">
        <v>0.75</v>
      </c>
      <c r="N338">
        <v>8</v>
      </c>
      <c r="O338">
        <v>0</v>
      </c>
      <c r="P338" t="s">
        <v>32</v>
      </c>
      <c r="S338" t="s">
        <v>92</v>
      </c>
      <c r="T338" t="s">
        <v>46</v>
      </c>
      <c r="U338" t="s">
        <v>47</v>
      </c>
      <c r="V338" t="s">
        <v>69</v>
      </c>
      <c r="W338">
        <f>_xlfn.XLOOKUP(F338,tblEmployee[Employee_ID],tblEmployee[Age],"Not Found")</f>
        <v>30</v>
      </c>
      <c r="X338" t="str">
        <f>_xlfn.XLOOKUP(F338,tblEmployee[Employee_ID],tblEmployee[Gender],"Not Found")</f>
        <v>Female</v>
      </c>
      <c r="Y338">
        <f>_xlfn.XLOOKUP(F338,tblEmployee[Employee_ID],tblEmployee[Joining_Date],"")</f>
        <v>45000</v>
      </c>
      <c r="Z338">
        <f>_xlfn.XLOOKUP(H338,tblDepartment[Department],tblDepartment[Annual_Budget_INR],"")</f>
        <v>34000000</v>
      </c>
      <c r="AA338" t="str">
        <f>_xlfn.XLOOKUP(H338,tblDepartment[Department],tblDepartment[Monthly_Target],"")</f>
        <v>95% Process Efficiency</v>
      </c>
      <c r="AB338">
        <f>_xlfn.XLOOKUP(H338,tblDepartment[Department],tblDepartment[Average_Salary_INR],"")</f>
        <v>610000</v>
      </c>
      <c r="AC338" t="str">
        <f>_xlfn.XLOOKUP(H338,tblDepartment[Department],tblDepartment[Priority_Level],"")</f>
        <v>High</v>
      </c>
      <c r="AD338" t="str">
        <f>_xlfn.XLOOKUP(H338,tblDepartment[Department],tblDepartment[Key_KPI],"")</f>
        <v>Operational Efficiency</v>
      </c>
      <c r="AE338">
        <f>_xlfn.XLOOKUP(tblMaster[[#This Row],[Shift]],tblShift[Shift_Name],tblShift[Login_Time],"")</f>
        <v>0.375</v>
      </c>
      <c r="AF338">
        <f>_xlfn.XLOOKUP(tblMaster[[#This Row],[Shift]],tblShift[Shift_Name],tblShift[Logout_Time]," ")</f>
        <v>0.75</v>
      </c>
      <c r="AG338">
        <f>_xlfn.XLOOKUP(tblMaster[[#This Row],[Shift]],tblShift[Shift_Name],tblShift[Standard_Working_Hours],"")</f>
        <v>8</v>
      </c>
      <c r="AH338" t="str">
        <f>_xlfn.XLOOKUP(tblMaster[[#This Row],[Attendance_Date]],tblHoliday[Holiday_Date],tblHoliday[Holiday_Name],"Working Day")</f>
        <v>Working Day</v>
      </c>
      <c r="AI338" t="str">
        <f>_xlfn.XLOOKUP(tblMaster[[#This Row],[Attendance_Date]],tblHoliday[Holiday_Date],tblHoliday[Holiday_Type],"Working Day ")</f>
        <v xml:space="preserve">Working Day </v>
      </c>
    </row>
    <row r="339" spans="1:35" hidden="1" x14ac:dyDescent="0.3">
      <c r="A339" t="s">
        <v>527</v>
      </c>
      <c r="B339" s="3">
        <v>45732</v>
      </c>
      <c r="C339" t="s">
        <v>71</v>
      </c>
      <c r="D339" t="s">
        <v>50</v>
      </c>
      <c r="E339" t="s">
        <v>103</v>
      </c>
      <c r="F339" t="s">
        <v>72</v>
      </c>
      <c r="G339" t="s">
        <v>73</v>
      </c>
      <c r="H339" t="s">
        <v>28</v>
      </c>
      <c r="I339" t="s">
        <v>29</v>
      </c>
      <c r="J339" t="s">
        <v>74</v>
      </c>
      <c r="K339" t="s">
        <v>54</v>
      </c>
      <c r="L339" s="2">
        <v>0.375</v>
      </c>
      <c r="M339" s="2">
        <v>0.75</v>
      </c>
      <c r="N339">
        <v>8</v>
      </c>
      <c r="O339">
        <v>0</v>
      </c>
      <c r="P339" t="s">
        <v>32</v>
      </c>
      <c r="R339">
        <v>4</v>
      </c>
      <c r="S339" t="s">
        <v>67</v>
      </c>
      <c r="T339" t="s">
        <v>34</v>
      </c>
      <c r="U339" t="s">
        <v>55</v>
      </c>
      <c r="V339" t="s">
        <v>35</v>
      </c>
      <c r="W339">
        <f>_xlfn.XLOOKUP(F339,tblEmployee[Employee_ID],tblEmployee[Age],"Not Found")</f>
        <v>28</v>
      </c>
      <c r="X339" t="str">
        <f>_xlfn.XLOOKUP(F339,tblEmployee[Employee_ID],tblEmployee[Gender],"Not Found")</f>
        <v>Female</v>
      </c>
      <c r="Y339">
        <f>_xlfn.XLOOKUP(F339,tblEmployee[Employee_ID],tblEmployee[Joining_Date],"")</f>
        <v>43296</v>
      </c>
      <c r="Z339">
        <f>_xlfn.XLOOKUP(H339,tblDepartment[Department],tblDepartment[Annual_Budget_INR],"")</f>
        <v>24000000</v>
      </c>
      <c r="AA339" t="str">
        <f>_xlfn.XLOOKUP(H339,tblDepartment[Department],tblDepartment[Monthly_Target],"")</f>
        <v>90% Customer Satisfaction</v>
      </c>
      <c r="AB339">
        <f>_xlfn.XLOOKUP(H339,tblDepartment[Department],tblDepartment[Average_Salary_INR],"")</f>
        <v>520000</v>
      </c>
      <c r="AC339" t="str">
        <f>_xlfn.XLOOKUP(H339,tblDepartment[Department],tblDepartment[Priority_Level],"")</f>
        <v>High</v>
      </c>
      <c r="AD339" t="str">
        <f>_xlfn.XLOOKUP(H339,tblDepartment[Department],tblDepartment[Key_KPI],"")</f>
        <v>Customer Satisfaction</v>
      </c>
      <c r="AE339">
        <f>_xlfn.XLOOKUP(tblMaster[[#This Row],[Shift]],tblShift[Shift_Name],tblShift[Login_Time],"")</f>
        <v>0.58333333333333337</v>
      </c>
      <c r="AF339">
        <f>_xlfn.XLOOKUP(tblMaster[[#This Row],[Shift]],tblShift[Shift_Name],tblShift[Logout_Time]," ")</f>
        <v>0.95833333333333337</v>
      </c>
      <c r="AG339">
        <f>_xlfn.XLOOKUP(tblMaster[[#This Row],[Shift]],tblShift[Shift_Name],tblShift[Standard_Working_Hours],"")</f>
        <v>8</v>
      </c>
      <c r="AH339" t="str">
        <f>_xlfn.XLOOKUP(tblMaster[[#This Row],[Attendance_Date]],tblHoliday[Holiday_Date],tblHoliday[Holiday_Name],"Working Day")</f>
        <v>Working Day</v>
      </c>
      <c r="AI339" t="str">
        <f>_xlfn.XLOOKUP(tblMaster[[#This Row],[Attendance_Date]],tblHoliday[Holiday_Date],tblHoliday[Holiday_Type],"Working Day ")</f>
        <v xml:space="preserve">Working Day </v>
      </c>
    </row>
    <row r="340" spans="1:35" hidden="1" x14ac:dyDescent="0.3">
      <c r="A340" t="s">
        <v>528</v>
      </c>
      <c r="B340" s="3">
        <v>45672</v>
      </c>
      <c r="C340" t="s">
        <v>49</v>
      </c>
      <c r="D340" t="s">
        <v>50</v>
      </c>
      <c r="E340" t="s">
        <v>51</v>
      </c>
      <c r="F340" t="s">
        <v>145</v>
      </c>
      <c r="G340" t="s">
        <v>146</v>
      </c>
      <c r="H340" t="s">
        <v>90</v>
      </c>
      <c r="I340" t="s">
        <v>91</v>
      </c>
      <c r="J340" t="s">
        <v>100</v>
      </c>
      <c r="K340" t="s">
        <v>54</v>
      </c>
      <c r="L340" s="2">
        <v>0.375</v>
      </c>
      <c r="M340" s="2">
        <v>0.75</v>
      </c>
      <c r="N340">
        <v>8</v>
      </c>
      <c r="O340">
        <v>0</v>
      </c>
      <c r="P340" t="s">
        <v>32</v>
      </c>
      <c r="R340">
        <v>4</v>
      </c>
      <c r="S340" t="s">
        <v>45</v>
      </c>
      <c r="T340" t="s">
        <v>93</v>
      </c>
      <c r="U340" t="s">
        <v>47</v>
      </c>
      <c r="V340" t="s">
        <v>60</v>
      </c>
      <c r="W340">
        <f>_xlfn.XLOOKUP(F340,tblEmployee[Employee_ID],tblEmployee[Age],"Not Found")</f>
        <v>27</v>
      </c>
      <c r="X340" t="str">
        <f>_xlfn.XLOOKUP(F340,tblEmployee[Employee_ID],tblEmployee[Gender],"Not Found")</f>
        <v>Male</v>
      </c>
      <c r="Y340">
        <f>_xlfn.XLOOKUP(F340,tblEmployee[Employee_ID],tblEmployee[Joining_Date],"")</f>
        <v>44180</v>
      </c>
      <c r="Z340">
        <f>_xlfn.XLOOKUP(H340,tblDepartment[Department],tblDepartment[Annual_Budget_INR],"")</f>
        <v>18000000</v>
      </c>
      <c r="AA340" t="str">
        <f>_xlfn.XLOOKUP(H340,tblDepartment[Department],tblDepartment[Monthly_Target],"")</f>
        <v>&lt;30 Days Hiring Cycle</v>
      </c>
      <c r="AB340">
        <f>_xlfn.XLOOKUP(H340,tblDepartment[Department],tblDepartment[Average_Salary_INR],"")</f>
        <v>560000</v>
      </c>
      <c r="AC340" t="str">
        <f>_xlfn.XLOOKUP(H340,tblDepartment[Department],tblDepartment[Priority_Level],"")</f>
        <v>Medium</v>
      </c>
      <c r="AD340" t="str">
        <f>_xlfn.XLOOKUP(H340,tblDepartment[Department],tblDepartment[Key_KPI],"")</f>
        <v>Hiring &amp; Retention</v>
      </c>
      <c r="AE340">
        <f>_xlfn.XLOOKUP(tblMaster[[#This Row],[Shift]],tblShift[Shift_Name],tblShift[Login_Time],"")</f>
        <v>0.58333333333333337</v>
      </c>
      <c r="AF340">
        <f>_xlfn.XLOOKUP(tblMaster[[#This Row],[Shift]],tblShift[Shift_Name],tblShift[Logout_Time]," ")</f>
        <v>0.95833333333333337</v>
      </c>
      <c r="AG340">
        <f>_xlfn.XLOOKUP(tblMaster[[#This Row],[Shift]],tblShift[Shift_Name],tblShift[Standard_Working_Hours],"")</f>
        <v>8</v>
      </c>
      <c r="AH340" t="str">
        <f>_xlfn.XLOOKUP(tblMaster[[#This Row],[Attendance_Date]],tblHoliday[Holiday_Date],tblHoliday[Holiday_Name],"Working Day")</f>
        <v>Working Day</v>
      </c>
      <c r="AI340" t="str">
        <f>_xlfn.XLOOKUP(tblMaster[[#This Row],[Attendance_Date]],tblHoliday[Holiday_Date],tblHoliday[Holiday_Type],"Working Day ")</f>
        <v xml:space="preserve">Working Day </v>
      </c>
    </row>
    <row r="341" spans="1:35" hidden="1" x14ac:dyDescent="0.3">
      <c r="A341" t="s">
        <v>529</v>
      </c>
      <c r="B341" s="1">
        <v>45688</v>
      </c>
      <c r="C341" t="s">
        <v>49</v>
      </c>
      <c r="D341" t="s">
        <v>50</v>
      </c>
      <c r="E341" t="s">
        <v>119</v>
      </c>
      <c r="F341" t="s">
        <v>120</v>
      </c>
      <c r="G341" t="s">
        <v>121</v>
      </c>
      <c r="H341" t="s">
        <v>41</v>
      </c>
      <c r="I341" t="s">
        <v>42</v>
      </c>
      <c r="J341" t="s">
        <v>74</v>
      </c>
      <c r="K341" t="s">
        <v>31</v>
      </c>
      <c r="P341" t="s">
        <v>135</v>
      </c>
      <c r="S341" t="s">
        <v>33</v>
      </c>
      <c r="T341" t="s">
        <v>46</v>
      </c>
      <c r="U341" t="s">
        <v>55</v>
      </c>
      <c r="W341">
        <f>_xlfn.XLOOKUP(F341,tblEmployee[Employee_ID],tblEmployee[Age],"Not Found")</f>
        <v>34</v>
      </c>
      <c r="X341" t="str">
        <f>_xlfn.XLOOKUP(F341,tblEmployee[Employee_ID],tblEmployee[Gender],"Not Found")</f>
        <v>Female</v>
      </c>
      <c r="Y341">
        <f>_xlfn.XLOOKUP(F341,tblEmployee[Employee_ID],tblEmployee[Joining_Date],"")</f>
        <v>44941</v>
      </c>
      <c r="Z341">
        <f>_xlfn.XLOOKUP(H341,tblDepartment[Department],tblDepartment[Annual_Budget_INR],"")</f>
        <v>34000000</v>
      </c>
      <c r="AA341" t="str">
        <f>_xlfn.XLOOKUP(H341,tblDepartment[Department],tblDepartment[Monthly_Target],"")</f>
        <v>95% Process Efficiency</v>
      </c>
      <c r="AB341">
        <f>_xlfn.XLOOKUP(H341,tblDepartment[Department],tblDepartment[Average_Salary_INR],"")</f>
        <v>610000</v>
      </c>
      <c r="AC341" t="str">
        <f>_xlfn.XLOOKUP(H341,tblDepartment[Department],tblDepartment[Priority_Level],"")</f>
        <v>High</v>
      </c>
      <c r="AD341" t="str">
        <f>_xlfn.XLOOKUP(H341,tblDepartment[Department],tblDepartment[Key_KPI],"")</f>
        <v>Operational Efficiency</v>
      </c>
      <c r="AE341">
        <f>_xlfn.XLOOKUP(tblMaster[[#This Row],[Shift]],tblShift[Shift_Name],tblShift[Login_Time],"")</f>
        <v>0.25</v>
      </c>
      <c r="AF341">
        <f>_xlfn.XLOOKUP(tblMaster[[#This Row],[Shift]],tblShift[Shift_Name],tblShift[Logout_Time]," ")</f>
        <v>0.625</v>
      </c>
      <c r="AG341">
        <f>_xlfn.XLOOKUP(tblMaster[[#This Row],[Shift]],tblShift[Shift_Name],tblShift[Standard_Working_Hours],"")</f>
        <v>8</v>
      </c>
      <c r="AH341" t="str">
        <f>_xlfn.XLOOKUP(tblMaster[[#This Row],[Attendance_Date]],tblHoliday[Holiday_Date],tblHoliday[Holiday_Name],"Working Day")</f>
        <v>Working Day</v>
      </c>
      <c r="AI341" t="str">
        <f>_xlfn.XLOOKUP(tblMaster[[#This Row],[Attendance_Date]],tblHoliday[Holiday_Date],tblHoliday[Holiday_Type],"Working Day ")</f>
        <v xml:space="preserve">Working Day </v>
      </c>
    </row>
    <row r="342" spans="1:35" hidden="1" x14ac:dyDescent="0.3">
      <c r="A342" t="s">
        <v>530</v>
      </c>
      <c r="B342" s="3">
        <v>45751</v>
      </c>
      <c r="C342" t="s">
        <v>37</v>
      </c>
      <c r="D342" t="s">
        <v>24</v>
      </c>
      <c r="E342" t="s">
        <v>119</v>
      </c>
      <c r="F342" t="s">
        <v>96</v>
      </c>
      <c r="G342" t="s">
        <v>97</v>
      </c>
      <c r="H342" t="s">
        <v>98</v>
      </c>
      <c r="I342" t="s">
        <v>99</v>
      </c>
      <c r="J342" t="s">
        <v>100</v>
      </c>
      <c r="K342" t="s">
        <v>44</v>
      </c>
      <c r="L342" s="2">
        <v>0.375</v>
      </c>
      <c r="M342" s="2">
        <v>0.75</v>
      </c>
      <c r="N342">
        <v>8</v>
      </c>
      <c r="O342">
        <v>0</v>
      </c>
      <c r="P342" t="s">
        <v>32</v>
      </c>
      <c r="R342">
        <v>4</v>
      </c>
      <c r="S342" t="s">
        <v>33</v>
      </c>
      <c r="T342" t="s">
        <v>101</v>
      </c>
      <c r="U342" t="s">
        <v>55</v>
      </c>
      <c r="V342" t="s">
        <v>69</v>
      </c>
      <c r="W342">
        <f>_xlfn.XLOOKUP(F342,tblEmployee[Employee_ID],tblEmployee[Age],"Not Found")</f>
        <v>34</v>
      </c>
      <c r="X342" t="str">
        <f>_xlfn.XLOOKUP(F342,tblEmployee[Employee_ID],tblEmployee[Gender],"Not Found")</f>
        <v>Female</v>
      </c>
      <c r="Y342">
        <f>_xlfn.XLOOKUP(F342,tblEmployee[Employee_ID],tblEmployee[Joining_Date],"")</f>
        <v>45306</v>
      </c>
      <c r="Z342">
        <f>_xlfn.XLOOKUP(H342,tblDepartment[Department],tblDepartment[Annual_Budget_INR],"")</f>
        <v>22000000</v>
      </c>
      <c r="AA342" t="str">
        <f>_xlfn.XLOOKUP(H342,tblDepartment[Department],tblDepartment[Monthly_Target],"")</f>
        <v>2500 Qualified Leads</v>
      </c>
      <c r="AB342">
        <f>_xlfn.XLOOKUP(H342,tblDepartment[Department],tblDepartment[Average_Salary_INR],"")</f>
        <v>590000</v>
      </c>
      <c r="AC342" t="str">
        <f>_xlfn.XLOOKUP(H342,tblDepartment[Department],tblDepartment[Priority_Level],"")</f>
        <v>Medium</v>
      </c>
      <c r="AD342" t="str">
        <f>_xlfn.XLOOKUP(H342,tblDepartment[Department],tblDepartment[Key_KPI],"")</f>
        <v>Lead Generation</v>
      </c>
      <c r="AE342">
        <f>_xlfn.XLOOKUP(tblMaster[[#This Row],[Shift]],tblShift[Shift_Name],tblShift[Login_Time],"")</f>
        <v>0.41666666666666669</v>
      </c>
      <c r="AF342">
        <f>_xlfn.XLOOKUP(tblMaster[[#This Row],[Shift]],tblShift[Shift_Name],tblShift[Logout_Time]," ")</f>
        <v>0.79166666666666663</v>
      </c>
      <c r="AG342">
        <f>_xlfn.XLOOKUP(tblMaster[[#This Row],[Shift]],tblShift[Shift_Name],tblShift[Standard_Working_Hours],"")</f>
        <v>8</v>
      </c>
      <c r="AH342" t="str">
        <f>_xlfn.XLOOKUP(tblMaster[[#This Row],[Attendance_Date]],tblHoliday[Holiday_Date],tblHoliday[Holiday_Name],"Working Day")</f>
        <v>Working Day</v>
      </c>
      <c r="AI342" t="str">
        <f>_xlfn.XLOOKUP(tblMaster[[#This Row],[Attendance_Date]],tblHoliday[Holiday_Date],tblHoliday[Holiday_Type],"Working Day ")</f>
        <v xml:space="preserve">Working Day </v>
      </c>
    </row>
    <row r="343" spans="1:35" hidden="1" x14ac:dyDescent="0.3">
      <c r="A343" t="s">
        <v>531</v>
      </c>
      <c r="B343" s="3">
        <v>45683</v>
      </c>
      <c r="C343" t="s">
        <v>49</v>
      </c>
      <c r="D343" t="s">
        <v>50</v>
      </c>
      <c r="E343" t="s">
        <v>103</v>
      </c>
      <c r="F343" t="s">
        <v>243</v>
      </c>
      <c r="G343" t="s">
        <v>244</v>
      </c>
      <c r="H343" t="s">
        <v>90</v>
      </c>
      <c r="I343" t="s">
        <v>91</v>
      </c>
      <c r="J343" t="s">
        <v>30</v>
      </c>
      <c r="K343" t="s">
        <v>31</v>
      </c>
      <c r="L343" s="2">
        <v>0.375</v>
      </c>
      <c r="M343" s="2">
        <v>0.75</v>
      </c>
      <c r="N343">
        <v>8</v>
      </c>
      <c r="O343">
        <v>0</v>
      </c>
      <c r="P343" t="s">
        <v>32</v>
      </c>
      <c r="R343">
        <v>5</v>
      </c>
      <c r="S343" t="s">
        <v>67</v>
      </c>
      <c r="T343" t="s">
        <v>93</v>
      </c>
      <c r="U343" t="s">
        <v>85</v>
      </c>
      <c r="V343" t="s">
        <v>60</v>
      </c>
      <c r="W343">
        <f>_xlfn.XLOOKUP(F343,tblEmployee[Employee_ID],tblEmployee[Age],"Not Found")</f>
        <v>30</v>
      </c>
      <c r="X343" t="str">
        <f>_xlfn.XLOOKUP(F343,tblEmployee[Employee_ID],tblEmployee[Gender],"Not Found")</f>
        <v>Female</v>
      </c>
      <c r="Y343">
        <f>_xlfn.XLOOKUP(F343,tblEmployee[Employee_ID],tblEmployee[Joining_Date],"")</f>
        <v>44089</v>
      </c>
      <c r="Z343">
        <f>_xlfn.XLOOKUP(H343,tblDepartment[Department],tblDepartment[Annual_Budget_INR],"")</f>
        <v>18000000</v>
      </c>
      <c r="AA343" t="str">
        <f>_xlfn.XLOOKUP(H343,tblDepartment[Department],tblDepartment[Monthly_Target],"")</f>
        <v>&lt;30 Days Hiring Cycle</v>
      </c>
      <c r="AB343">
        <f>_xlfn.XLOOKUP(H343,tblDepartment[Department],tblDepartment[Average_Salary_INR],"")</f>
        <v>560000</v>
      </c>
      <c r="AC343" t="str">
        <f>_xlfn.XLOOKUP(H343,tblDepartment[Department],tblDepartment[Priority_Level],"")</f>
        <v>Medium</v>
      </c>
      <c r="AD343" t="str">
        <f>_xlfn.XLOOKUP(H343,tblDepartment[Department],tblDepartment[Key_KPI],"")</f>
        <v>Hiring &amp; Retention</v>
      </c>
      <c r="AE343">
        <f>_xlfn.XLOOKUP(tblMaster[[#This Row],[Shift]],tblShift[Shift_Name],tblShift[Login_Time],"")</f>
        <v>0.25</v>
      </c>
      <c r="AF343">
        <f>_xlfn.XLOOKUP(tblMaster[[#This Row],[Shift]],tblShift[Shift_Name],tblShift[Logout_Time]," ")</f>
        <v>0.625</v>
      </c>
      <c r="AG343">
        <f>_xlfn.XLOOKUP(tblMaster[[#This Row],[Shift]],tblShift[Shift_Name],tblShift[Standard_Working_Hours],"")</f>
        <v>8</v>
      </c>
      <c r="AH343" t="str">
        <f>_xlfn.XLOOKUP(tblMaster[[#This Row],[Attendance_Date]],tblHoliday[Holiday_Date],tblHoliday[Holiday_Name],"Working Day")</f>
        <v>Republic Day</v>
      </c>
      <c r="AI343" t="str">
        <f>_xlfn.XLOOKUP(tblMaster[[#This Row],[Attendance_Date]],tblHoliday[Holiday_Date],tblHoliday[Holiday_Type],"Working Day ")</f>
        <v>National</v>
      </c>
    </row>
    <row r="344" spans="1:35" hidden="1" x14ac:dyDescent="0.3">
      <c r="A344" t="s">
        <v>532</v>
      </c>
      <c r="B344" s="3">
        <v>45689</v>
      </c>
      <c r="C344" t="s">
        <v>95</v>
      </c>
      <c r="D344" t="s">
        <v>50</v>
      </c>
      <c r="E344" t="s">
        <v>38</v>
      </c>
      <c r="F344" t="s">
        <v>215</v>
      </c>
      <c r="G344" t="s">
        <v>216</v>
      </c>
      <c r="H344" t="s">
        <v>79</v>
      </c>
      <c r="I344" t="s">
        <v>80</v>
      </c>
      <c r="J344" t="s">
        <v>30</v>
      </c>
      <c r="K344" t="s">
        <v>81</v>
      </c>
      <c r="L344" s="2">
        <v>0.91666666666666663</v>
      </c>
      <c r="M344" s="2">
        <v>0.29166666666666669</v>
      </c>
      <c r="N344">
        <v>9</v>
      </c>
      <c r="O344">
        <v>1</v>
      </c>
      <c r="P344" t="s">
        <v>32</v>
      </c>
      <c r="S344" t="s">
        <v>92</v>
      </c>
      <c r="T344" t="s">
        <v>84</v>
      </c>
      <c r="U344" t="s">
        <v>55</v>
      </c>
      <c r="V344" t="s">
        <v>69</v>
      </c>
      <c r="W344">
        <f>_xlfn.XLOOKUP(F344,tblEmployee[Employee_ID],tblEmployee[Age],"Not Found")</f>
        <v>25</v>
      </c>
      <c r="X344" t="str">
        <f>_xlfn.XLOOKUP(F344,tblEmployee[Employee_ID],tblEmployee[Gender],"Not Found")</f>
        <v>Female</v>
      </c>
      <c r="Y344">
        <f>_xlfn.XLOOKUP(F344,tblEmployee[Employee_ID],tblEmployee[Joining_Date],"")</f>
        <v>44666</v>
      </c>
      <c r="Z344">
        <f>_xlfn.XLOOKUP(H344,tblDepartment[Department],tblDepartment[Annual_Budget_INR],"")</f>
        <v>26000000</v>
      </c>
      <c r="AA344" t="str">
        <f>_xlfn.XLOOKUP(H344,tblDepartment[Department],tblDepartment[Monthly_Target],"")</f>
        <v>100% Payroll Accuracy</v>
      </c>
      <c r="AB344">
        <f>_xlfn.XLOOKUP(H344,tblDepartment[Department],tblDepartment[Average_Salary_INR],"")</f>
        <v>640000</v>
      </c>
      <c r="AC344" t="str">
        <f>_xlfn.XLOOKUP(H344,tblDepartment[Department],tblDepartment[Priority_Level],"")</f>
        <v>High</v>
      </c>
      <c r="AD344" t="str">
        <f>_xlfn.XLOOKUP(H344,tblDepartment[Department],tblDepartment[Key_KPI],"")</f>
        <v>Financial Compliance</v>
      </c>
      <c r="AE344">
        <f>_xlfn.XLOOKUP(tblMaster[[#This Row],[Shift]],tblShift[Shift_Name],tblShift[Login_Time],"")</f>
        <v>0.91666666666666663</v>
      </c>
      <c r="AF344">
        <f>_xlfn.XLOOKUP(tblMaster[[#This Row],[Shift]],tblShift[Shift_Name],tblShift[Logout_Time]," ")</f>
        <v>0.29166666666666669</v>
      </c>
      <c r="AG344">
        <f>_xlfn.XLOOKUP(tblMaster[[#This Row],[Shift]],tblShift[Shift_Name],tblShift[Standard_Working_Hours],"")</f>
        <v>8</v>
      </c>
      <c r="AH344" t="str">
        <f>_xlfn.XLOOKUP(tblMaster[[#This Row],[Attendance_Date]],tblHoliday[Holiday_Date],tblHoliday[Holiday_Name],"Working Day")</f>
        <v>Working Day</v>
      </c>
      <c r="AI344" t="str">
        <f>_xlfn.XLOOKUP(tblMaster[[#This Row],[Attendance_Date]],tblHoliday[Holiday_Date],tblHoliday[Holiday_Type],"Working Day ")</f>
        <v xml:space="preserve">Working Day </v>
      </c>
    </row>
    <row r="345" spans="1:35" hidden="1" x14ac:dyDescent="0.3">
      <c r="A345" t="s">
        <v>533</v>
      </c>
      <c r="B345" s="3">
        <v>45774</v>
      </c>
      <c r="C345" t="s">
        <v>37</v>
      </c>
      <c r="D345" t="s">
        <v>24</v>
      </c>
      <c r="E345" t="s">
        <v>103</v>
      </c>
      <c r="F345" t="s">
        <v>151</v>
      </c>
      <c r="G345" t="s">
        <v>152</v>
      </c>
      <c r="H345" t="s">
        <v>98</v>
      </c>
      <c r="I345" t="s">
        <v>99</v>
      </c>
      <c r="J345" t="s">
        <v>30</v>
      </c>
      <c r="K345" t="s">
        <v>54</v>
      </c>
      <c r="P345" t="s">
        <v>82</v>
      </c>
      <c r="Q345" t="s">
        <v>122</v>
      </c>
      <c r="S345" t="s">
        <v>92</v>
      </c>
      <c r="T345" t="s">
        <v>101</v>
      </c>
      <c r="U345" t="s">
        <v>85</v>
      </c>
      <c r="W345">
        <f>_xlfn.XLOOKUP(F345,tblEmployee[Employee_ID],tblEmployee[Age],"Not Found")</f>
        <v>38</v>
      </c>
      <c r="X345" t="str">
        <f>_xlfn.XLOOKUP(F345,tblEmployee[Employee_ID],tblEmployee[Gender],"Not Found")</f>
        <v>Female</v>
      </c>
      <c r="Y345">
        <f>_xlfn.XLOOKUP(F345,tblEmployee[Employee_ID],tblEmployee[Joining_Date],"")</f>
        <v>45611</v>
      </c>
      <c r="Z345">
        <f>_xlfn.XLOOKUP(H345,tblDepartment[Department],tblDepartment[Annual_Budget_INR],"")</f>
        <v>22000000</v>
      </c>
      <c r="AA345" t="str">
        <f>_xlfn.XLOOKUP(H345,tblDepartment[Department],tblDepartment[Monthly_Target],"")</f>
        <v>2500 Qualified Leads</v>
      </c>
      <c r="AB345">
        <f>_xlfn.XLOOKUP(H345,tblDepartment[Department],tblDepartment[Average_Salary_INR],"")</f>
        <v>590000</v>
      </c>
      <c r="AC345" t="str">
        <f>_xlfn.XLOOKUP(H345,tblDepartment[Department],tblDepartment[Priority_Level],"")</f>
        <v>Medium</v>
      </c>
      <c r="AD345" t="str">
        <f>_xlfn.XLOOKUP(H345,tblDepartment[Department],tblDepartment[Key_KPI],"")</f>
        <v>Lead Generation</v>
      </c>
      <c r="AE345">
        <f>_xlfn.XLOOKUP(tblMaster[[#This Row],[Shift]],tblShift[Shift_Name],tblShift[Login_Time],"")</f>
        <v>0.58333333333333337</v>
      </c>
      <c r="AF345">
        <f>_xlfn.XLOOKUP(tblMaster[[#This Row],[Shift]],tblShift[Shift_Name],tblShift[Logout_Time]," ")</f>
        <v>0.95833333333333337</v>
      </c>
      <c r="AG345">
        <f>_xlfn.XLOOKUP(tblMaster[[#This Row],[Shift]],tblShift[Shift_Name],tblShift[Standard_Working_Hours],"")</f>
        <v>8</v>
      </c>
      <c r="AH345" t="str">
        <f>_xlfn.XLOOKUP(tblMaster[[#This Row],[Attendance_Date]],tblHoliday[Holiday_Date],tblHoliday[Holiday_Name],"Working Day")</f>
        <v>Working Day</v>
      </c>
      <c r="AI345" t="str">
        <f>_xlfn.XLOOKUP(tblMaster[[#This Row],[Attendance_Date]],tblHoliday[Holiday_Date],tblHoliday[Holiday_Type],"Working Day ")</f>
        <v xml:space="preserve">Working Day </v>
      </c>
    </row>
    <row r="346" spans="1:35" hidden="1" x14ac:dyDescent="0.3">
      <c r="A346" t="s">
        <v>534</v>
      </c>
      <c r="B346" s="3">
        <v>45661</v>
      </c>
      <c r="C346" t="s">
        <v>49</v>
      </c>
      <c r="D346" t="s">
        <v>50</v>
      </c>
      <c r="E346" t="s">
        <v>38</v>
      </c>
      <c r="F346" t="s">
        <v>207</v>
      </c>
      <c r="G346" t="s">
        <v>208</v>
      </c>
      <c r="H346" t="s">
        <v>64</v>
      </c>
      <c r="I346" t="s">
        <v>65</v>
      </c>
      <c r="J346" t="s">
        <v>30</v>
      </c>
      <c r="K346" t="s">
        <v>81</v>
      </c>
      <c r="L346" s="2">
        <v>0.91666666666666663</v>
      </c>
      <c r="M346" s="2">
        <v>0.29166666666666669</v>
      </c>
      <c r="N346">
        <v>9.5</v>
      </c>
      <c r="O346">
        <v>1.5</v>
      </c>
      <c r="P346" t="s">
        <v>32</v>
      </c>
      <c r="R346">
        <v>4</v>
      </c>
      <c r="S346" t="s">
        <v>67</v>
      </c>
      <c r="T346" t="s">
        <v>68</v>
      </c>
      <c r="U346" t="s">
        <v>47</v>
      </c>
      <c r="V346" t="s">
        <v>35</v>
      </c>
      <c r="W346">
        <f>_xlfn.XLOOKUP(F346,tblEmployee[Employee_ID],tblEmployee[Age],"Not Found")</f>
        <v>33</v>
      </c>
      <c r="X346" t="str">
        <f>_xlfn.XLOOKUP(F346,tblEmployee[Employee_ID],tblEmployee[Gender],"Not Found")</f>
        <v>Male</v>
      </c>
      <c r="Y346">
        <f>_xlfn.XLOOKUP(F346,tblEmployee[Employee_ID],tblEmployee[Joining_Date],"")</f>
        <v>43631</v>
      </c>
      <c r="Z346">
        <f>_xlfn.XLOOKUP(H346,tblDepartment[Department],tblDepartment[Annual_Budget_INR],"")</f>
        <v>85000000</v>
      </c>
      <c r="AA346" t="str">
        <f>_xlfn.XLOOKUP(H346,tblDepartment[Department],tblDepartment[Monthly_Target],"")</f>
        <v>99.5% System Uptime</v>
      </c>
      <c r="AB346">
        <f>_xlfn.XLOOKUP(H346,tblDepartment[Department],tblDepartment[Average_Salary_INR],"")</f>
        <v>720000</v>
      </c>
      <c r="AC346" t="str">
        <f>_xlfn.XLOOKUP(H346,tblDepartment[Department],tblDepartment[Priority_Level],"")</f>
        <v>High</v>
      </c>
      <c r="AD346" t="str">
        <f>_xlfn.XLOOKUP(H346,tblDepartment[Department],tblDepartment[Key_KPI],"")</f>
        <v>Project Delivery</v>
      </c>
      <c r="AE346">
        <f>_xlfn.XLOOKUP(tblMaster[[#This Row],[Shift]],tblShift[Shift_Name],tblShift[Login_Time],"")</f>
        <v>0.91666666666666663</v>
      </c>
      <c r="AF346">
        <f>_xlfn.XLOOKUP(tblMaster[[#This Row],[Shift]],tblShift[Shift_Name],tblShift[Logout_Time]," ")</f>
        <v>0.29166666666666669</v>
      </c>
      <c r="AG346">
        <f>_xlfn.XLOOKUP(tblMaster[[#This Row],[Shift]],tblShift[Shift_Name],tblShift[Standard_Working_Hours],"")</f>
        <v>8</v>
      </c>
      <c r="AH346" t="str">
        <f>_xlfn.XLOOKUP(tblMaster[[#This Row],[Attendance_Date]],tblHoliday[Holiday_Date],tblHoliday[Holiday_Name],"Working Day")</f>
        <v>Working Day</v>
      </c>
      <c r="AI346" t="str">
        <f>_xlfn.XLOOKUP(tblMaster[[#This Row],[Attendance_Date]],tblHoliday[Holiday_Date],tblHoliday[Holiday_Type],"Working Day ")</f>
        <v xml:space="preserve">Working Day </v>
      </c>
    </row>
    <row r="347" spans="1:35" hidden="1" x14ac:dyDescent="0.3">
      <c r="A347" t="s">
        <v>535</v>
      </c>
      <c r="B347" s="1">
        <v>45694</v>
      </c>
      <c r="C347" t="s">
        <v>95</v>
      </c>
      <c r="D347" t="s">
        <v>50</v>
      </c>
      <c r="E347" t="s">
        <v>25</v>
      </c>
      <c r="F347" t="s">
        <v>281</v>
      </c>
      <c r="G347" t="s">
        <v>282</v>
      </c>
      <c r="H347" t="s">
        <v>90</v>
      </c>
      <c r="I347" t="s">
        <v>91</v>
      </c>
      <c r="J347" t="s">
        <v>30</v>
      </c>
      <c r="K347" t="s">
        <v>75</v>
      </c>
      <c r="L347" s="2">
        <v>0.375</v>
      </c>
      <c r="M347" s="2">
        <v>0.75</v>
      </c>
      <c r="N347">
        <v>8</v>
      </c>
      <c r="O347">
        <v>0</v>
      </c>
      <c r="P347" t="s">
        <v>32</v>
      </c>
      <c r="R347">
        <v>3</v>
      </c>
      <c r="S347" t="s">
        <v>45</v>
      </c>
      <c r="T347" t="s">
        <v>93</v>
      </c>
      <c r="U347" t="s">
        <v>55</v>
      </c>
      <c r="V347" t="s">
        <v>69</v>
      </c>
      <c r="W347">
        <f>_xlfn.XLOOKUP(F347,tblEmployee[Employee_ID],tblEmployee[Age],"Not Found")</f>
        <v>31</v>
      </c>
      <c r="X347" t="str">
        <f>_xlfn.XLOOKUP(F347,tblEmployee[Employee_ID],tblEmployee[Gender],"Not Found")</f>
        <v>Male</v>
      </c>
      <c r="Y347">
        <f>_xlfn.XLOOKUP(F347,tblEmployee[Employee_ID],tblEmployee[Joining_Date],"")</f>
        <v>44119</v>
      </c>
      <c r="Z347">
        <f>_xlfn.XLOOKUP(H347,tblDepartment[Department],tblDepartment[Annual_Budget_INR],"")</f>
        <v>18000000</v>
      </c>
      <c r="AA347" t="str">
        <f>_xlfn.XLOOKUP(H347,tblDepartment[Department],tblDepartment[Monthly_Target],"")</f>
        <v>&lt;30 Days Hiring Cycle</v>
      </c>
      <c r="AB347">
        <f>_xlfn.XLOOKUP(H347,tblDepartment[Department],tblDepartment[Average_Salary_INR],"")</f>
        <v>560000</v>
      </c>
      <c r="AC347" t="str">
        <f>_xlfn.XLOOKUP(H347,tblDepartment[Department],tblDepartment[Priority_Level],"")</f>
        <v>Medium</v>
      </c>
      <c r="AD347" t="str">
        <f>_xlfn.XLOOKUP(H347,tblDepartment[Department],tblDepartment[Key_KPI],"")</f>
        <v>Hiring &amp; Retention</v>
      </c>
      <c r="AE347">
        <f>_xlfn.XLOOKUP(tblMaster[[#This Row],[Shift]],tblShift[Shift_Name],tblShift[Login_Time],"")</f>
        <v>0.375</v>
      </c>
      <c r="AF347">
        <f>_xlfn.XLOOKUP(tblMaster[[#This Row],[Shift]],tblShift[Shift_Name],tblShift[Logout_Time]," ")</f>
        <v>0.75</v>
      </c>
      <c r="AG347">
        <f>_xlfn.XLOOKUP(tblMaster[[#This Row],[Shift]],tblShift[Shift_Name],tblShift[Standard_Working_Hours],"")</f>
        <v>8</v>
      </c>
      <c r="AH347" t="str">
        <f>_xlfn.XLOOKUP(tblMaster[[#This Row],[Attendance_Date]],tblHoliday[Holiday_Date],tblHoliday[Holiday_Name],"Working Day")</f>
        <v>Working Day</v>
      </c>
      <c r="AI347" t="str">
        <f>_xlfn.XLOOKUP(tblMaster[[#This Row],[Attendance_Date]],tblHoliday[Holiday_Date],tblHoliday[Holiday_Type],"Working Day ")</f>
        <v xml:space="preserve">Working Day </v>
      </c>
    </row>
    <row r="348" spans="1:35" hidden="1" x14ac:dyDescent="0.3">
      <c r="A348" t="s">
        <v>536</v>
      </c>
      <c r="B348" s="3">
        <v>45716</v>
      </c>
      <c r="C348" t="s">
        <v>95</v>
      </c>
      <c r="D348" t="s">
        <v>50</v>
      </c>
      <c r="E348" t="s">
        <v>119</v>
      </c>
      <c r="F348" t="s">
        <v>116</v>
      </c>
      <c r="G348" t="s">
        <v>117</v>
      </c>
      <c r="H348" t="s">
        <v>112</v>
      </c>
      <c r="I348" t="s">
        <v>113</v>
      </c>
      <c r="J348" t="s">
        <v>100</v>
      </c>
      <c r="K348" t="s">
        <v>81</v>
      </c>
      <c r="M348" s="2">
        <v>0.29166666666666669</v>
      </c>
      <c r="N348">
        <v>9.5</v>
      </c>
      <c r="O348">
        <v>1.5</v>
      </c>
      <c r="P348" t="s">
        <v>32</v>
      </c>
      <c r="R348">
        <v>3</v>
      </c>
      <c r="S348" t="s">
        <v>45</v>
      </c>
      <c r="T348" t="s">
        <v>114</v>
      </c>
      <c r="U348" t="s">
        <v>85</v>
      </c>
      <c r="V348" t="s">
        <v>35</v>
      </c>
      <c r="W348">
        <f>_xlfn.XLOOKUP(F348,tblEmployee[Employee_ID],tblEmployee[Age],"Not Found")</f>
        <v>24</v>
      </c>
      <c r="X348" t="str">
        <f>_xlfn.XLOOKUP(F348,tblEmployee[Employee_ID],tblEmployee[Gender],"Not Found")</f>
        <v>Male</v>
      </c>
      <c r="Y348">
        <f>_xlfn.XLOOKUP(F348,tblEmployee[Employee_ID],tblEmployee[Joining_Date],"")</f>
        <v>44270</v>
      </c>
      <c r="Z348">
        <f>_xlfn.XLOOKUP(H348,tblDepartment[Department],tblDepartment[Annual_Budget_INR],"")</f>
        <v>42000000</v>
      </c>
      <c r="AA348" t="str">
        <f>_xlfn.XLOOKUP(H348,tblDepartment[Department],tblDepartment[Monthly_Target],"")</f>
        <v>₹2.5 Cr Monthly Sales</v>
      </c>
      <c r="AB348">
        <f>_xlfn.XLOOKUP(H348,tblDepartment[Department],tblDepartment[Average_Salary_INR],"")</f>
        <v>680000</v>
      </c>
      <c r="AC348" t="str">
        <f>_xlfn.XLOOKUP(H348,tblDepartment[Department],tblDepartment[Priority_Level],"")</f>
        <v>High</v>
      </c>
      <c r="AD348" t="str">
        <f>_xlfn.XLOOKUP(H348,tblDepartment[Department],tblDepartment[Key_KPI],"")</f>
        <v>Revenue Achievement</v>
      </c>
      <c r="AE348">
        <f>_xlfn.XLOOKUP(tblMaster[[#This Row],[Shift]],tblShift[Shift_Name],tblShift[Login_Time],"")</f>
        <v>0.91666666666666663</v>
      </c>
      <c r="AF348">
        <f>_xlfn.XLOOKUP(tblMaster[[#This Row],[Shift]],tblShift[Shift_Name],tblShift[Logout_Time]," ")</f>
        <v>0.29166666666666669</v>
      </c>
      <c r="AG348">
        <f>_xlfn.XLOOKUP(tblMaster[[#This Row],[Shift]],tblShift[Shift_Name],tblShift[Standard_Working_Hours],"")</f>
        <v>8</v>
      </c>
      <c r="AH348" t="str">
        <f>_xlfn.XLOOKUP(tblMaster[[#This Row],[Attendance_Date]],tblHoliday[Holiday_Date],tblHoliday[Holiday_Name],"Working Day")</f>
        <v>Working Day</v>
      </c>
      <c r="AI348" t="str">
        <f>_xlfn.XLOOKUP(tblMaster[[#This Row],[Attendance_Date]],tblHoliday[Holiday_Date],tblHoliday[Holiday_Type],"Working Day ")</f>
        <v xml:space="preserve">Working Day </v>
      </c>
    </row>
    <row r="349" spans="1:35" hidden="1" x14ac:dyDescent="0.3">
      <c r="A349" t="s">
        <v>537</v>
      </c>
      <c r="B349" s="1">
        <v>45737</v>
      </c>
      <c r="C349" t="s">
        <v>71</v>
      </c>
      <c r="D349" t="s">
        <v>50</v>
      </c>
      <c r="E349" t="s">
        <v>119</v>
      </c>
      <c r="F349" t="s">
        <v>288</v>
      </c>
      <c r="G349" t="s">
        <v>289</v>
      </c>
      <c r="H349" t="s">
        <v>28</v>
      </c>
      <c r="I349" t="s">
        <v>29</v>
      </c>
      <c r="J349" t="s">
        <v>74</v>
      </c>
      <c r="K349" t="s">
        <v>44</v>
      </c>
      <c r="L349" s="2">
        <v>0.375</v>
      </c>
      <c r="M349" s="2">
        <v>0.75</v>
      </c>
      <c r="N349">
        <v>8</v>
      </c>
      <c r="O349">
        <v>0</v>
      </c>
      <c r="P349" t="s">
        <v>32</v>
      </c>
      <c r="R349">
        <v>3</v>
      </c>
      <c r="S349" t="s">
        <v>92</v>
      </c>
      <c r="T349" t="s">
        <v>34</v>
      </c>
      <c r="U349" t="s">
        <v>47</v>
      </c>
      <c r="V349" t="s">
        <v>69</v>
      </c>
      <c r="W349">
        <f>_xlfn.XLOOKUP(F349,tblEmployee[Employee_ID],tblEmployee[Age],"Not Found")</f>
        <v>29</v>
      </c>
      <c r="X349" t="str">
        <f>_xlfn.XLOOKUP(F349,tblEmployee[Employee_ID],tblEmployee[Gender],"Not Found")</f>
        <v>Male</v>
      </c>
      <c r="Y349">
        <f>_xlfn.XLOOKUP(F349,tblEmployee[Employee_ID],tblEmployee[Joining_Date],"")</f>
        <v>43327</v>
      </c>
      <c r="Z349">
        <f>_xlfn.XLOOKUP(H349,tblDepartment[Department],tblDepartment[Annual_Budget_INR],"")</f>
        <v>24000000</v>
      </c>
      <c r="AA349" t="str">
        <f>_xlfn.XLOOKUP(H349,tblDepartment[Department],tblDepartment[Monthly_Target],"")</f>
        <v>90% Customer Satisfaction</v>
      </c>
      <c r="AB349">
        <f>_xlfn.XLOOKUP(H349,tblDepartment[Department],tblDepartment[Average_Salary_INR],"")</f>
        <v>520000</v>
      </c>
      <c r="AC349" t="str">
        <f>_xlfn.XLOOKUP(H349,tblDepartment[Department],tblDepartment[Priority_Level],"")</f>
        <v>High</v>
      </c>
      <c r="AD349" t="str">
        <f>_xlfn.XLOOKUP(H349,tblDepartment[Department],tblDepartment[Key_KPI],"")</f>
        <v>Customer Satisfaction</v>
      </c>
      <c r="AE349">
        <f>_xlfn.XLOOKUP(tblMaster[[#This Row],[Shift]],tblShift[Shift_Name],tblShift[Login_Time],"")</f>
        <v>0.41666666666666669</v>
      </c>
      <c r="AF349">
        <f>_xlfn.XLOOKUP(tblMaster[[#This Row],[Shift]],tblShift[Shift_Name],tblShift[Logout_Time]," ")</f>
        <v>0.79166666666666663</v>
      </c>
      <c r="AG349">
        <f>_xlfn.XLOOKUP(tblMaster[[#This Row],[Shift]],tblShift[Shift_Name],tblShift[Standard_Working_Hours],"")</f>
        <v>8</v>
      </c>
      <c r="AH349" t="str">
        <f>_xlfn.XLOOKUP(tblMaster[[#This Row],[Attendance_Date]],tblHoliday[Holiday_Date],tblHoliday[Holiday_Name],"Working Day")</f>
        <v>Working Day</v>
      </c>
      <c r="AI349" t="str">
        <f>_xlfn.XLOOKUP(tblMaster[[#This Row],[Attendance_Date]],tblHoliday[Holiday_Date],tblHoliday[Holiday_Type],"Working Day ")</f>
        <v xml:space="preserve">Working Day </v>
      </c>
    </row>
    <row r="350" spans="1:35" x14ac:dyDescent="0.3">
      <c r="A350" t="s">
        <v>538</v>
      </c>
      <c r="B350" s="1">
        <v>45713</v>
      </c>
      <c r="C350" t="s">
        <v>95</v>
      </c>
      <c r="D350" t="s">
        <v>50</v>
      </c>
      <c r="E350" t="s">
        <v>87</v>
      </c>
      <c r="F350" t="s">
        <v>185</v>
      </c>
      <c r="G350" t="s">
        <v>186</v>
      </c>
      <c r="H350" t="s">
        <v>79</v>
      </c>
      <c r="I350" t="s">
        <v>80</v>
      </c>
      <c r="J350" t="s">
        <v>66</v>
      </c>
      <c r="K350" t="s">
        <v>31</v>
      </c>
      <c r="L350" s="2">
        <v>0.375</v>
      </c>
      <c r="M350" s="2">
        <v>0.75</v>
      </c>
      <c r="N350">
        <v>8</v>
      </c>
      <c r="O350">
        <v>0</v>
      </c>
      <c r="P350" t="s">
        <v>32</v>
      </c>
      <c r="R350">
        <v>4</v>
      </c>
      <c r="S350" t="s">
        <v>92</v>
      </c>
      <c r="T350" t="s">
        <v>84</v>
      </c>
      <c r="U350" t="str">
        <f>_xlfn.XLOOKUP(tblMaster[[#This Row],[Employee_ID]],tblEmployee[Employee_ID],tblEmployee[Work_Mode]," ")</f>
        <v>Remote</v>
      </c>
      <c r="W350">
        <f>_xlfn.XLOOKUP(F350,tblEmployee[Employee_ID],tblEmployee[Age],"Not Found")</f>
        <v>33</v>
      </c>
      <c r="X350" t="str">
        <f>_xlfn.XLOOKUP(F350,tblEmployee[Employee_ID],tblEmployee[Gender],"Not Found")</f>
        <v>Male</v>
      </c>
      <c r="Y350">
        <f>_xlfn.XLOOKUP(F350,tblEmployee[Employee_ID],tblEmployee[Joining_Date],"")</f>
        <v>44910</v>
      </c>
      <c r="Z350">
        <f>_xlfn.XLOOKUP(H350,tblDepartment[Department],tblDepartment[Annual_Budget_INR],"")</f>
        <v>26000000</v>
      </c>
      <c r="AA350" t="str">
        <f>_xlfn.XLOOKUP(H350,tblDepartment[Department],tblDepartment[Monthly_Target],"")</f>
        <v>100% Payroll Accuracy</v>
      </c>
      <c r="AB350">
        <f>_xlfn.XLOOKUP(H350,tblDepartment[Department],tblDepartment[Average_Salary_INR],"")</f>
        <v>640000</v>
      </c>
      <c r="AC350" t="str">
        <f>_xlfn.XLOOKUP(H350,tblDepartment[Department],tblDepartment[Priority_Level],"")</f>
        <v>High</v>
      </c>
      <c r="AD350" t="str">
        <f>_xlfn.XLOOKUP(H350,tblDepartment[Department],tblDepartment[Key_KPI],"")</f>
        <v>Financial Compliance</v>
      </c>
      <c r="AE350">
        <f>_xlfn.XLOOKUP(tblMaster[[#This Row],[Shift]],tblShift[Shift_Name],tblShift[Login_Time],"")</f>
        <v>0.25</v>
      </c>
      <c r="AF350">
        <f>_xlfn.XLOOKUP(tblMaster[[#This Row],[Shift]],tblShift[Shift_Name],tblShift[Logout_Time]," ")</f>
        <v>0.625</v>
      </c>
      <c r="AG350">
        <f>_xlfn.XLOOKUP(tblMaster[[#This Row],[Shift]],tblShift[Shift_Name],tblShift[Standard_Working_Hours],"")</f>
        <v>8</v>
      </c>
      <c r="AH350" t="str">
        <f>_xlfn.XLOOKUP(tblMaster[[#This Row],[Attendance_Date]],tblHoliday[Holiday_Date],tblHoliday[Holiday_Name],"Working Day")</f>
        <v>Working Day</v>
      </c>
      <c r="AI350" t="str">
        <f>_xlfn.XLOOKUP(tblMaster[[#This Row],[Attendance_Date]],tblHoliday[Holiday_Date],tblHoliday[Holiday_Type],"Working Day ")</f>
        <v xml:space="preserve">Working Day </v>
      </c>
    </row>
    <row r="351" spans="1:35" hidden="1" x14ac:dyDescent="0.3">
      <c r="A351" t="s">
        <v>539</v>
      </c>
      <c r="B351" s="3">
        <v>45833</v>
      </c>
      <c r="C351" t="s">
        <v>23</v>
      </c>
      <c r="D351" t="s">
        <v>24</v>
      </c>
      <c r="E351" t="s">
        <v>51</v>
      </c>
      <c r="F351" t="s">
        <v>220</v>
      </c>
      <c r="G351" t="s">
        <v>221</v>
      </c>
      <c r="H351" t="s">
        <v>79</v>
      </c>
      <c r="I351" t="s">
        <v>80</v>
      </c>
      <c r="J351" t="s">
        <v>100</v>
      </c>
      <c r="K351" t="s">
        <v>81</v>
      </c>
      <c r="L351" s="2">
        <v>0.91666666666666663</v>
      </c>
      <c r="M351" s="2">
        <v>0.29166666666666669</v>
      </c>
      <c r="N351">
        <v>9</v>
      </c>
      <c r="O351">
        <v>1</v>
      </c>
      <c r="P351" t="s">
        <v>32</v>
      </c>
      <c r="R351">
        <v>5</v>
      </c>
      <c r="S351" t="s">
        <v>67</v>
      </c>
      <c r="T351" t="s">
        <v>84</v>
      </c>
      <c r="U351" t="s">
        <v>55</v>
      </c>
      <c r="V351" t="s">
        <v>35</v>
      </c>
      <c r="W351">
        <f>_xlfn.XLOOKUP(F351,tblEmployee[Employee_ID],tblEmployee[Age],"Not Found")</f>
        <v>22</v>
      </c>
      <c r="X351" t="str">
        <f>_xlfn.XLOOKUP(F351,tblEmployee[Employee_ID],tblEmployee[Gender],"Not Found")</f>
        <v>Male</v>
      </c>
      <c r="Y351">
        <f>_xlfn.XLOOKUP(F351,tblEmployee[Employee_ID],tblEmployee[Joining_Date],"")</f>
        <v>44757</v>
      </c>
      <c r="Z351">
        <f>_xlfn.XLOOKUP(H351,tblDepartment[Department],tblDepartment[Annual_Budget_INR],"")</f>
        <v>26000000</v>
      </c>
      <c r="AA351" t="str">
        <f>_xlfn.XLOOKUP(H351,tblDepartment[Department],tblDepartment[Monthly_Target],"")</f>
        <v>100% Payroll Accuracy</v>
      </c>
      <c r="AB351">
        <f>_xlfn.XLOOKUP(H351,tblDepartment[Department],tblDepartment[Average_Salary_INR],"")</f>
        <v>640000</v>
      </c>
      <c r="AC351" t="str">
        <f>_xlfn.XLOOKUP(H351,tblDepartment[Department],tblDepartment[Priority_Level],"")</f>
        <v>High</v>
      </c>
      <c r="AD351" t="str">
        <f>_xlfn.XLOOKUP(H351,tblDepartment[Department],tblDepartment[Key_KPI],"")</f>
        <v>Financial Compliance</v>
      </c>
      <c r="AE351">
        <f>_xlfn.XLOOKUP(tblMaster[[#This Row],[Shift]],tblShift[Shift_Name],tblShift[Login_Time],"")</f>
        <v>0.91666666666666663</v>
      </c>
      <c r="AF351">
        <f>_xlfn.XLOOKUP(tblMaster[[#This Row],[Shift]],tblShift[Shift_Name],tblShift[Logout_Time]," ")</f>
        <v>0.29166666666666669</v>
      </c>
      <c r="AG351">
        <f>_xlfn.XLOOKUP(tblMaster[[#This Row],[Shift]],tblShift[Shift_Name],tblShift[Standard_Working_Hours],"")</f>
        <v>8</v>
      </c>
      <c r="AH351" t="str">
        <f>_xlfn.XLOOKUP(tblMaster[[#This Row],[Attendance_Date]],tblHoliday[Holiday_Date],tblHoliday[Holiday_Name],"Working Day")</f>
        <v>Working Day</v>
      </c>
      <c r="AI351" t="str">
        <f>_xlfn.XLOOKUP(tblMaster[[#This Row],[Attendance_Date]],tblHoliday[Holiday_Date],tblHoliday[Holiday_Type],"Working Day ")</f>
        <v xml:space="preserve">Working Day </v>
      </c>
    </row>
    <row r="352" spans="1:35" hidden="1" x14ac:dyDescent="0.3">
      <c r="A352" t="s">
        <v>540</v>
      </c>
      <c r="B352" s="3">
        <v>45784</v>
      </c>
      <c r="C352" t="s">
        <v>57</v>
      </c>
      <c r="D352" t="s">
        <v>24</v>
      </c>
      <c r="E352" t="s">
        <v>51</v>
      </c>
      <c r="F352" t="s">
        <v>88</v>
      </c>
      <c r="G352" t="s">
        <v>89</v>
      </c>
      <c r="H352" t="s">
        <v>90</v>
      </c>
      <c r="I352" t="s">
        <v>91</v>
      </c>
      <c r="J352" t="s">
        <v>43</v>
      </c>
      <c r="K352" t="s">
        <v>54</v>
      </c>
      <c r="L352" s="2">
        <v>0.375</v>
      </c>
      <c r="M352" s="2">
        <v>0.75</v>
      </c>
      <c r="N352">
        <v>8</v>
      </c>
      <c r="O352">
        <v>0</v>
      </c>
      <c r="P352" t="s">
        <v>32</v>
      </c>
      <c r="R352">
        <v>5</v>
      </c>
      <c r="S352" t="s">
        <v>45</v>
      </c>
      <c r="T352" t="s">
        <v>93</v>
      </c>
      <c r="U352" t="s">
        <v>55</v>
      </c>
      <c r="W352">
        <f>_xlfn.XLOOKUP(F352,tblEmployee[Employee_ID],tblEmployee[Age],"Not Found")</f>
        <v>34</v>
      </c>
      <c r="X352" t="str">
        <f>_xlfn.XLOOKUP(F352,tblEmployee[Employee_ID],tblEmployee[Gender],"Not Found")</f>
        <v>Female</v>
      </c>
      <c r="Y352">
        <f>_xlfn.XLOOKUP(F352,tblEmployee[Employee_ID],tblEmployee[Joining_Date],"")</f>
        <v>44027</v>
      </c>
      <c r="Z352">
        <f>_xlfn.XLOOKUP(H352,tblDepartment[Department],tblDepartment[Annual_Budget_INR],"")</f>
        <v>18000000</v>
      </c>
      <c r="AA352" t="str">
        <f>_xlfn.XLOOKUP(H352,tblDepartment[Department],tblDepartment[Monthly_Target],"")</f>
        <v>&lt;30 Days Hiring Cycle</v>
      </c>
      <c r="AB352">
        <f>_xlfn.XLOOKUP(H352,tblDepartment[Department],tblDepartment[Average_Salary_INR],"")</f>
        <v>560000</v>
      </c>
      <c r="AC352" t="str">
        <f>_xlfn.XLOOKUP(H352,tblDepartment[Department],tblDepartment[Priority_Level],"")</f>
        <v>Medium</v>
      </c>
      <c r="AD352" t="str">
        <f>_xlfn.XLOOKUP(H352,tblDepartment[Department],tblDepartment[Key_KPI],"")</f>
        <v>Hiring &amp; Retention</v>
      </c>
      <c r="AE352">
        <f>_xlfn.XLOOKUP(tblMaster[[#This Row],[Shift]],tblShift[Shift_Name],tblShift[Login_Time],"")</f>
        <v>0.58333333333333337</v>
      </c>
      <c r="AF352">
        <f>_xlfn.XLOOKUP(tblMaster[[#This Row],[Shift]],tblShift[Shift_Name],tblShift[Logout_Time]," ")</f>
        <v>0.95833333333333337</v>
      </c>
      <c r="AG352">
        <f>_xlfn.XLOOKUP(tblMaster[[#This Row],[Shift]],tblShift[Shift_Name],tblShift[Standard_Working_Hours],"")</f>
        <v>8</v>
      </c>
      <c r="AH352" t="str">
        <f>_xlfn.XLOOKUP(tblMaster[[#This Row],[Attendance_Date]],tblHoliday[Holiday_Date],tblHoliday[Holiday_Name],"Working Day")</f>
        <v>Working Day</v>
      </c>
      <c r="AI352" t="str">
        <f>_xlfn.XLOOKUP(tblMaster[[#This Row],[Attendance_Date]],tblHoliday[Holiday_Date],tblHoliday[Holiday_Type],"Working Day ")</f>
        <v xml:space="preserve">Working Day </v>
      </c>
    </row>
    <row r="353" spans="1:35" hidden="1" x14ac:dyDescent="0.3">
      <c r="A353" t="s">
        <v>541</v>
      </c>
      <c r="B353" s="3">
        <v>45715</v>
      </c>
      <c r="C353" t="s">
        <v>95</v>
      </c>
      <c r="D353" t="s">
        <v>50</v>
      </c>
      <c r="E353" t="s">
        <v>25</v>
      </c>
      <c r="F353" t="s">
        <v>182</v>
      </c>
      <c r="G353" t="s">
        <v>183</v>
      </c>
      <c r="H353" t="s">
        <v>112</v>
      </c>
      <c r="I353" t="s">
        <v>113</v>
      </c>
      <c r="J353" t="s">
        <v>30</v>
      </c>
      <c r="K353" t="s">
        <v>81</v>
      </c>
      <c r="L353" s="2">
        <v>0.375</v>
      </c>
      <c r="M353" s="2">
        <v>0.29166666666666669</v>
      </c>
      <c r="N353">
        <v>9.5</v>
      </c>
      <c r="O353">
        <v>1.5</v>
      </c>
      <c r="P353" t="s">
        <v>32</v>
      </c>
      <c r="R353">
        <v>3</v>
      </c>
      <c r="S353" t="s">
        <v>92</v>
      </c>
      <c r="T353" t="s">
        <v>114</v>
      </c>
      <c r="U353" t="s">
        <v>55</v>
      </c>
      <c r="W353">
        <f>_xlfn.XLOOKUP(F353,tblEmployee[Employee_ID],tblEmployee[Age],"Not Found")</f>
        <v>28</v>
      </c>
      <c r="X353" t="str">
        <f>_xlfn.XLOOKUP(F353,tblEmployee[Employee_ID],tblEmployee[Gender],"Not Found")</f>
        <v>Male</v>
      </c>
      <c r="Y353">
        <f>_xlfn.XLOOKUP(F353,tblEmployee[Employee_ID],tblEmployee[Joining_Date],"")</f>
        <v>44211</v>
      </c>
      <c r="Z353">
        <f>_xlfn.XLOOKUP(H353,tblDepartment[Department],tblDepartment[Annual_Budget_INR],"")</f>
        <v>42000000</v>
      </c>
      <c r="AA353" t="str">
        <f>_xlfn.XLOOKUP(H353,tblDepartment[Department],tblDepartment[Monthly_Target],"")</f>
        <v>₹2.5 Cr Monthly Sales</v>
      </c>
      <c r="AB353">
        <f>_xlfn.XLOOKUP(H353,tblDepartment[Department],tblDepartment[Average_Salary_INR],"")</f>
        <v>680000</v>
      </c>
      <c r="AC353" t="str">
        <f>_xlfn.XLOOKUP(H353,tblDepartment[Department],tblDepartment[Priority_Level],"")</f>
        <v>High</v>
      </c>
      <c r="AD353" t="str">
        <f>_xlfn.XLOOKUP(H353,tblDepartment[Department],tblDepartment[Key_KPI],"")</f>
        <v>Revenue Achievement</v>
      </c>
      <c r="AE353">
        <f>_xlfn.XLOOKUP(tblMaster[[#This Row],[Shift]],tblShift[Shift_Name],tblShift[Login_Time],"")</f>
        <v>0.91666666666666663</v>
      </c>
      <c r="AF353">
        <f>_xlfn.XLOOKUP(tblMaster[[#This Row],[Shift]],tblShift[Shift_Name],tblShift[Logout_Time]," ")</f>
        <v>0.29166666666666669</v>
      </c>
      <c r="AG353">
        <f>_xlfn.XLOOKUP(tblMaster[[#This Row],[Shift]],tblShift[Shift_Name],tblShift[Standard_Working_Hours],"")</f>
        <v>8</v>
      </c>
      <c r="AH353" t="str">
        <f>_xlfn.XLOOKUP(tblMaster[[#This Row],[Attendance_Date]],tblHoliday[Holiday_Date],tblHoliday[Holiday_Name],"Working Day")</f>
        <v>Working Day</v>
      </c>
      <c r="AI353" t="str">
        <f>_xlfn.XLOOKUP(tblMaster[[#This Row],[Attendance_Date]],tblHoliday[Holiday_Date],tblHoliday[Holiday_Type],"Working Day ")</f>
        <v xml:space="preserve">Working Day </v>
      </c>
    </row>
    <row r="354" spans="1:35" hidden="1" x14ac:dyDescent="0.3">
      <c r="A354" t="s">
        <v>542</v>
      </c>
      <c r="B354" s="3">
        <v>45706</v>
      </c>
      <c r="C354" t="s">
        <v>95</v>
      </c>
      <c r="D354" t="s">
        <v>50</v>
      </c>
      <c r="E354" t="s">
        <v>87</v>
      </c>
      <c r="F354" t="s">
        <v>163</v>
      </c>
      <c r="G354" t="s">
        <v>164</v>
      </c>
      <c r="H354" t="s">
        <v>112</v>
      </c>
      <c r="I354" t="s">
        <v>113</v>
      </c>
      <c r="J354" t="s">
        <v>100</v>
      </c>
      <c r="K354" t="s">
        <v>31</v>
      </c>
      <c r="L354" s="2">
        <v>0.39930555555555558</v>
      </c>
      <c r="M354" s="2">
        <v>0.75</v>
      </c>
      <c r="N354">
        <v>8</v>
      </c>
      <c r="O354">
        <v>0</v>
      </c>
      <c r="P354" t="s">
        <v>32</v>
      </c>
      <c r="R354">
        <v>4</v>
      </c>
      <c r="S354" t="s">
        <v>92</v>
      </c>
      <c r="T354" t="s">
        <v>114</v>
      </c>
      <c r="U354" t="s">
        <v>55</v>
      </c>
      <c r="V354" t="s">
        <v>60</v>
      </c>
      <c r="W354">
        <f>_xlfn.XLOOKUP(F354,tblEmployee[Employee_ID],tblEmployee[Age],"Not Found")</f>
        <v>25</v>
      </c>
      <c r="X354" t="str">
        <f>_xlfn.XLOOKUP(F354,tblEmployee[Employee_ID],tblEmployee[Gender],"Not Found")</f>
        <v>Male</v>
      </c>
      <c r="Y354">
        <f>_xlfn.XLOOKUP(F354,tblEmployee[Employee_ID],tblEmployee[Joining_Date],"")</f>
        <v>44301</v>
      </c>
      <c r="Z354">
        <f>_xlfn.XLOOKUP(H354,tblDepartment[Department],tblDepartment[Annual_Budget_INR],"")</f>
        <v>42000000</v>
      </c>
      <c r="AA354" t="str">
        <f>_xlfn.XLOOKUP(H354,tblDepartment[Department],tblDepartment[Monthly_Target],"")</f>
        <v>₹2.5 Cr Monthly Sales</v>
      </c>
      <c r="AB354">
        <f>_xlfn.XLOOKUP(H354,tblDepartment[Department],tblDepartment[Average_Salary_INR],"")</f>
        <v>680000</v>
      </c>
      <c r="AC354" t="str">
        <f>_xlfn.XLOOKUP(H354,tblDepartment[Department],tblDepartment[Priority_Level],"")</f>
        <v>High</v>
      </c>
      <c r="AD354" t="str">
        <f>_xlfn.XLOOKUP(H354,tblDepartment[Department],tblDepartment[Key_KPI],"")</f>
        <v>Revenue Achievement</v>
      </c>
      <c r="AE354">
        <f>_xlfn.XLOOKUP(tblMaster[[#This Row],[Shift]],tblShift[Shift_Name],tblShift[Login_Time],"")</f>
        <v>0.25</v>
      </c>
      <c r="AF354">
        <f>_xlfn.XLOOKUP(tblMaster[[#This Row],[Shift]],tblShift[Shift_Name],tblShift[Logout_Time]," ")</f>
        <v>0.625</v>
      </c>
      <c r="AG354">
        <f>_xlfn.XLOOKUP(tblMaster[[#This Row],[Shift]],tblShift[Shift_Name],tblShift[Standard_Working_Hours],"")</f>
        <v>8</v>
      </c>
      <c r="AH354" t="str">
        <f>_xlfn.XLOOKUP(tblMaster[[#This Row],[Attendance_Date]],tblHoliday[Holiday_Date],tblHoliday[Holiday_Name],"Working Day")</f>
        <v>Working Day</v>
      </c>
      <c r="AI354" t="str">
        <f>_xlfn.XLOOKUP(tblMaster[[#This Row],[Attendance_Date]],tblHoliday[Holiday_Date],tblHoliday[Holiday_Type],"Working Day ")</f>
        <v xml:space="preserve">Working Day </v>
      </c>
    </row>
    <row r="355" spans="1:35" hidden="1" x14ac:dyDescent="0.3">
      <c r="A355" t="s">
        <v>543</v>
      </c>
      <c r="B355" s="1">
        <v>45660</v>
      </c>
      <c r="C355" t="s">
        <v>49</v>
      </c>
      <c r="D355" t="s">
        <v>50</v>
      </c>
      <c r="E355" t="s">
        <v>119</v>
      </c>
      <c r="F355" t="s">
        <v>305</v>
      </c>
      <c r="G355" t="s">
        <v>306</v>
      </c>
      <c r="H355" t="s">
        <v>79</v>
      </c>
      <c r="I355" t="s">
        <v>80</v>
      </c>
      <c r="J355" t="s">
        <v>74</v>
      </c>
      <c r="K355" t="s">
        <v>75</v>
      </c>
      <c r="L355" s="2">
        <v>0.375</v>
      </c>
      <c r="M355" s="2">
        <v>0.75</v>
      </c>
      <c r="N355">
        <v>8</v>
      </c>
      <c r="O355">
        <v>0</v>
      </c>
      <c r="P355" t="s">
        <v>32</v>
      </c>
      <c r="R355">
        <v>4</v>
      </c>
      <c r="S355" t="s">
        <v>67</v>
      </c>
      <c r="T355" t="s">
        <v>84</v>
      </c>
      <c r="U355" t="s">
        <v>47</v>
      </c>
      <c r="V355" t="s">
        <v>60</v>
      </c>
      <c r="W355">
        <f>_xlfn.XLOOKUP(F355,tblEmployee[Employee_ID],tblEmployee[Age],"Not Found")</f>
        <v>36</v>
      </c>
      <c r="X355" t="str">
        <f>_xlfn.XLOOKUP(F355,tblEmployee[Employee_ID],tblEmployee[Gender],"Not Found")</f>
        <v>Female</v>
      </c>
      <c r="Y355">
        <f>_xlfn.XLOOKUP(F355,tblEmployee[Employee_ID],tblEmployee[Joining_Date],"")</f>
        <v>44819</v>
      </c>
      <c r="Z355">
        <f>_xlfn.XLOOKUP(H355,tblDepartment[Department],tblDepartment[Annual_Budget_INR],"")</f>
        <v>26000000</v>
      </c>
      <c r="AA355" t="str">
        <f>_xlfn.XLOOKUP(H355,tblDepartment[Department],tblDepartment[Monthly_Target],"")</f>
        <v>100% Payroll Accuracy</v>
      </c>
      <c r="AB355">
        <f>_xlfn.XLOOKUP(H355,tblDepartment[Department],tblDepartment[Average_Salary_INR],"")</f>
        <v>640000</v>
      </c>
      <c r="AC355" t="str">
        <f>_xlfn.XLOOKUP(H355,tblDepartment[Department],tblDepartment[Priority_Level],"")</f>
        <v>High</v>
      </c>
      <c r="AD355" t="str">
        <f>_xlfn.XLOOKUP(H355,tblDepartment[Department],tblDepartment[Key_KPI],"")</f>
        <v>Financial Compliance</v>
      </c>
      <c r="AE355">
        <f>_xlfn.XLOOKUP(tblMaster[[#This Row],[Shift]],tblShift[Shift_Name],tblShift[Login_Time],"")</f>
        <v>0.375</v>
      </c>
      <c r="AF355">
        <f>_xlfn.XLOOKUP(tblMaster[[#This Row],[Shift]],tblShift[Shift_Name],tblShift[Logout_Time]," ")</f>
        <v>0.75</v>
      </c>
      <c r="AG355">
        <f>_xlfn.XLOOKUP(tblMaster[[#This Row],[Shift]],tblShift[Shift_Name],tblShift[Standard_Working_Hours],"")</f>
        <v>8</v>
      </c>
      <c r="AH355" t="str">
        <f>_xlfn.XLOOKUP(tblMaster[[#This Row],[Attendance_Date]],tblHoliday[Holiday_Date],tblHoliday[Holiday_Name],"Working Day")</f>
        <v>Working Day</v>
      </c>
      <c r="AI355" t="str">
        <f>_xlfn.XLOOKUP(tblMaster[[#This Row],[Attendance_Date]],tblHoliday[Holiday_Date],tblHoliday[Holiday_Type],"Working Day ")</f>
        <v xml:space="preserve">Working Day </v>
      </c>
    </row>
    <row r="356" spans="1:35" hidden="1" x14ac:dyDescent="0.3">
      <c r="A356" t="s">
        <v>544</v>
      </c>
      <c r="B356" s="1">
        <v>45659</v>
      </c>
      <c r="C356" t="s">
        <v>49</v>
      </c>
      <c r="D356" t="s">
        <v>50</v>
      </c>
      <c r="E356" t="s">
        <v>25</v>
      </c>
      <c r="F356" t="s">
        <v>182</v>
      </c>
      <c r="G356" t="s">
        <v>183</v>
      </c>
      <c r="H356" t="s">
        <v>112</v>
      </c>
      <c r="I356" t="s">
        <v>113</v>
      </c>
      <c r="J356" t="s">
        <v>30</v>
      </c>
      <c r="K356" t="s">
        <v>44</v>
      </c>
      <c r="P356" t="s">
        <v>82</v>
      </c>
      <c r="Q356" t="s">
        <v>225</v>
      </c>
      <c r="S356" t="s">
        <v>67</v>
      </c>
      <c r="T356" t="s">
        <v>114</v>
      </c>
      <c r="U356" t="s">
        <v>55</v>
      </c>
      <c r="V356" t="s">
        <v>60</v>
      </c>
      <c r="W356">
        <f>_xlfn.XLOOKUP(F356,tblEmployee[Employee_ID],tblEmployee[Age],"Not Found")</f>
        <v>28</v>
      </c>
      <c r="X356" t="str">
        <f>_xlfn.XLOOKUP(F356,tblEmployee[Employee_ID],tblEmployee[Gender],"Not Found")</f>
        <v>Male</v>
      </c>
      <c r="Y356">
        <f>_xlfn.XLOOKUP(F356,tblEmployee[Employee_ID],tblEmployee[Joining_Date],"")</f>
        <v>44211</v>
      </c>
      <c r="Z356">
        <f>_xlfn.XLOOKUP(H356,tblDepartment[Department],tblDepartment[Annual_Budget_INR],"")</f>
        <v>42000000</v>
      </c>
      <c r="AA356" t="str">
        <f>_xlfn.XLOOKUP(H356,tblDepartment[Department],tblDepartment[Monthly_Target],"")</f>
        <v>₹2.5 Cr Monthly Sales</v>
      </c>
      <c r="AB356">
        <f>_xlfn.XLOOKUP(H356,tblDepartment[Department],tblDepartment[Average_Salary_INR],"")</f>
        <v>680000</v>
      </c>
      <c r="AC356" t="str">
        <f>_xlfn.XLOOKUP(H356,tblDepartment[Department],tblDepartment[Priority_Level],"")</f>
        <v>High</v>
      </c>
      <c r="AD356" t="str">
        <f>_xlfn.XLOOKUP(H356,tblDepartment[Department],tblDepartment[Key_KPI],"")</f>
        <v>Revenue Achievement</v>
      </c>
      <c r="AE356">
        <f>_xlfn.XLOOKUP(tblMaster[[#This Row],[Shift]],tblShift[Shift_Name],tblShift[Login_Time],"")</f>
        <v>0.41666666666666669</v>
      </c>
      <c r="AF356">
        <f>_xlfn.XLOOKUP(tblMaster[[#This Row],[Shift]],tblShift[Shift_Name],tblShift[Logout_Time]," ")</f>
        <v>0.79166666666666663</v>
      </c>
      <c r="AG356">
        <f>_xlfn.XLOOKUP(tblMaster[[#This Row],[Shift]],tblShift[Shift_Name],tblShift[Standard_Working_Hours],"")</f>
        <v>8</v>
      </c>
      <c r="AH356" t="str">
        <f>_xlfn.XLOOKUP(tblMaster[[#This Row],[Attendance_Date]],tblHoliday[Holiday_Date],tblHoliday[Holiday_Name],"Working Day")</f>
        <v>Working Day</v>
      </c>
      <c r="AI356" t="str">
        <f>_xlfn.XLOOKUP(tblMaster[[#This Row],[Attendance_Date]],tblHoliday[Holiday_Date],tblHoliday[Holiday_Type],"Working Day ")</f>
        <v xml:space="preserve">Working Day </v>
      </c>
    </row>
    <row r="357" spans="1:35" hidden="1" x14ac:dyDescent="0.3">
      <c r="A357" t="s">
        <v>545</v>
      </c>
      <c r="B357" s="1">
        <v>45709</v>
      </c>
      <c r="C357" t="s">
        <v>95</v>
      </c>
      <c r="D357" t="s">
        <v>50</v>
      </c>
      <c r="E357" t="s">
        <v>119</v>
      </c>
      <c r="F357" t="s">
        <v>354</v>
      </c>
      <c r="G357" t="s">
        <v>355</v>
      </c>
      <c r="H357" t="s">
        <v>28</v>
      </c>
      <c r="I357" t="s">
        <v>29</v>
      </c>
      <c r="J357" t="s">
        <v>100</v>
      </c>
      <c r="K357" t="s">
        <v>44</v>
      </c>
      <c r="L357" s="2">
        <v>0.375</v>
      </c>
      <c r="M357" s="2">
        <v>0.75</v>
      </c>
      <c r="N357">
        <v>8</v>
      </c>
      <c r="O357">
        <v>0</v>
      </c>
      <c r="P357" t="s">
        <v>32</v>
      </c>
      <c r="R357">
        <v>5</v>
      </c>
      <c r="S357" t="s">
        <v>92</v>
      </c>
      <c r="T357" t="s">
        <v>34</v>
      </c>
      <c r="U357" t="s">
        <v>55</v>
      </c>
      <c r="V357" t="s">
        <v>69</v>
      </c>
      <c r="W357">
        <f>_xlfn.XLOOKUP(F357,tblEmployee[Employee_ID],tblEmployee[Age],"Not Found")</f>
        <v>32</v>
      </c>
      <c r="X357" t="str">
        <f>_xlfn.XLOOKUP(F357,tblEmployee[Employee_ID],tblEmployee[Gender],"Not Found")</f>
        <v>Female</v>
      </c>
      <c r="Y357">
        <f>_xlfn.XLOOKUP(F357,tblEmployee[Employee_ID],tblEmployee[Joining_Date],"")</f>
        <v>43235</v>
      </c>
      <c r="Z357">
        <f>_xlfn.XLOOKUP(H357,tblDepartment[Department],tblDepartment[Annual_Budget_INR],"")</f>
        <v>24000000</v>
      </c>
      <c r="AA357" t="str">
        <f>_xlfn.XLOOKUP(H357,tblDepartment[Department],tblDepartment[Monthly_Target],"")</f>
        <v>90% Customer Satisfaction</v>
      </c>
      <c r="AB357">
        <f>_xlfn.XLOOKUP(H357,tblDepartment[Department],tblDepartment[Average_Salary_INR],"")</f>
        <v>520000</v>
      </c>
      <c r="AC357" t="str">
        <f>_xlfn.XLOOKUP(H357,tblDepartment[Department],tblDepartment[Priority_Level],"")</f>
        <v>High</v>
      </c>
      <c r="AD357" t="str">
        <f>_xlfn.XLOOKUP(H357,tblDepartment[Department],tblDepartment[Key_KPI],"")</f>
        <v>Customer Satisfaction</v>
      </c>
      <c r="AE357">
        <f>_xlfn.XLOOKUP(tblMaster[[#This Row],[Shift]],tblShift[Shift_Name],tblShift[Login_Time],"")</f>
        <v>0.41666666666666669</v>
      </c>
      <c r="AF357">
        <f>_xlfn.XLOOKUP(tblMaster[[#This Row],[Shift]],tblShift[Shift_Name],tblShift[Logout_Time]," ")</f>
        <v>0.79166666666666663</v>
      </c>
      <c r="AG357">
        <f>_xlfn.XLOOKUP(tblMaster[[#This Row],[Shift]],tblShift[Shift_Name],tblShift[Standard_Working_Hours],"")</f>
        <v>8</v>
      </c>
      <c r="AH357" t="str">
        <f>_xlfn.XLOOKUP(tblMaster[[#This Row],[Attendance_Date]],tblHoliday[Holiday_Date],tblHoliday[Holiday_Name],"Working Day")</f>
        <v>Working Day</v>
      </c>
      <c r="AI357" t="str">
        <f>_xlfn.XLOOKUP(tblMaster[[#This Row],[Attendance_Date]],tblHoliday[Holiday_Date],tblHoliday[Holiday_Type],"Working Day ")</f>
        <v xml:space="preserve">Working Day </v>
      </c>
    </row>
    <row r="358" spans="1:35" hidden="1" x14ac:dyDescent="0.3">
      <c r="A358" t="s">
        <v>546</v>
      </c>
      <c r="B358" s="3">
        <v>45798</v>
      </c>
      <c r="C358" t="s">
        <v>57</v>
      </c>
      <c r="D358" t="s">
        <v>24</v>
      </c>
      <c r="E358" t="s">
        <v>51</v>
      </c>
      <c r="F358" t="s">
        <v>228</v>
      </c>
      <c r="G358" t="s">
        <v>229</v>
      </c>
      <c r="H358" t="s">
        <v>79</v>
      </c>
      <c r="I358" t="s">
        <v>80</v>
      </c>
      <c r="J358" t="s">
        <v>43</v>
      </c>
      <c r="K358" t="s">
        <v>44</v>
      </c>
      <c r="L358" s="2">
        <v>0.375</v>
      </c>
      <c r="N358">
        <v>8</v>
      </c>
      <c r="O358">
        <v>0</v>
      </c>
      <c r="P358" t="s">
        <v>32</v>
      </c>
      <c r="R358">
        <v>5</v>
      </c>
      <c r="S358" t="s">
        <v>33</v>
      </c>
      <c r="T358" t="s">
        <v>84</v>
      </c>
      <c r="U358" t="s">
        <v>55</v>
      </c>
      <c r="W358">
        <f>_xlfn.XLOOKUP(F358,tblEmployee[Employee_ID],tblEmployee[Age],"Not Found")</f>
        <v>29</v>
      </c>
      <c r="X358" t="str">
        <f>_xlfn.XLOOKUP(F358,tblEmployee[Employee_ID],tblEmployee[Gender],"Not Found")</f>
        <v>Female</v>
      </c>
      <c r="Y358">
        <f>_xlfn.XLOOKUP(F358,tblEmployee[Employee_ID],tblEmployee[Joining_Date],"")</f>
        <v>44607</v>
      </c>
      <c r="Z358">
        <f>_xlfn.XLOOKUP(H358,tblDepartment[Department],tblDepartment[Annual_Budget_INR],"")</f>
        <v>26000000</v>
      </c>
      <c r="AA358" t="str">
        <f>_xlfn.XLOOKUP(H358,tblDepartment[Department],tblDepartment[Monthly_Target],"")</f>
        <v>100% Payroll Accuracy</v>
      </c>
      <c r="AB358">
        <f>_xlfn.XLOOKUP(H358,tblDepartment[Department],tblDepartment[Average_Salary_INR],"")</f>
        <v>640000</v>
      </c>
      <c r="AC358" t="str">
        <f>_xlfn.XLOOKUP(H358,tblDepartment[Department],tblDepartment[Priority_Level],"")</f>
        <v>High</v>
      </c>
      <c r="AD358" t="str">
        <f>_xlfn.XLOOKUP(H358,tblDepartment[Department],tblDepartment[Key_KPI],"")</f>
        <v>Financial Compliance</v>
      </c>
      <c r="AE358">
        <f>_xlfn.XLOOKUP(tblMaster[[#This Row],[Shift]],tblShift[Shift_Name],tblShift[Login_Time],"")</f>
        <v>0.41666666666666669</v>
      </c>
      <c r="AF358">
        <f>_xlfn.XLOOKUP(tblMaster[[#This Row],[Shift]],tblShift[Shift_Name],tblShift[Logout_Time]," ")</f>
        <v>0.79166666666666663</v>
      </c>
      <c r="AG358">
        <f>_xlfn.XLOOKUP(tblMaster[[#This Row],[Shift]],tblShift[Shift_Name],tblShift[Standard_Working_Hours],"")</f>
        <v>8</v>
      </c>
      <c r="AH358" t="str">
        <f>_xlfn.XLOOKUP(tblMaster[[#This Row],[Attendance_Date]],tblHoliday[Holiday_Date],tblHoliday[Holiday_Name],"Working Day")</f>
        <v>Working Day</v>
      </c>
      <c r="AI358" t="str">
        <f>_xlfn.XLOOKUP(tblMaster[[#This Row],[Attendance_Date]],tblHoliday[Holiday_Date],tblHoliday[Holiday_Type],"Working Day ")</f>
        <v xml:space="preserve">Working Day </v>
      </c>
    </row>
    <row r="359" spans="1:35" hidden="1" x14ac:dyDescent="0.3">
      <c r="A359" t="s">
        <v>547</v>
      </c>
      <c r="B359" s="1">
        <v>45702</v>
      </c>
      <c r="C359" t="s">
        <v>95</v>
      </c>
      <c r="D359" t="s">
        <v>50</v>
      </c>
      <c r="E359" t="s">
        <v>119</v>
      </c>
      <c r="F359" t="s">
        <v>145</v>
      </c>
      <c r="G359" t="s">
        <v>146</v>
      </c>
      <c r="H359" t="s">
        <v>90</v>
      </c>
      <c r="I359" t="s">
        <v>91</v>
      </c>
      <c r="J359" t="s">
        <v>100</v>
      </c>
      <c r="K359" t="s">
        <v>44</v>
      </c>
      <c r="L359" s="2">
        <v>0.375</v>
      </c>
      <c r="M359" s="2">
        <v>0.75</v>
      </c>
      <c r="N359">
        <v>8</v>
      </c>
      <c r="O359">
        <v>0</v>
      </c>
      <c r="P359" t="s">
        <v>32</v>
      </c>
      <c r="R359">
        <v>5</v>
      </c>
      <c r="S359" t="s">
        <v>33</v>
      </c>
      <c r="T359" t="s">
        <v>93</v>
      </c>
      <c r="U359" t="s">
        <v>47</v>
      </c>
      <c r="V359" t="s">
        <v>60</v>
      </c>
      <c r="W359">
        <f>_xlfn.XLOOKUP(F359,tblEmployee[Employee_ID],tblEmployee[Age],"Not Found")</f>
        <v>27</v>
      </c>
      <c r="X359" t="str">
        <f>_xlfn.XLOOKUP(F359,tblEmployee[Employee_ID],tblEmployee[Gender],"Not Found")</f>
        <v>Male</v>
      </c>
      <c r="Y359">
        <f>_xlfn.XLOOKUP(F359,tblEmployee[Employee_ID],tblEmployee[Joining_Date],"")</f>
        <v>44180</v>
      </c>
      <c r="Z359">
        <f>_xlfn.XLOOKUP(H359,tblDepartment[Department],tblDepartment[Annual_Budget_INR],"")</f>
        <v>18000000</v>
      </c>
      <c r="AA359" t="str">
        <f>_xlfn.XLOOKUP(H359,tblDepartment[Department],tblDepartment[Monthly_Target],"")</f>
        <v>&lt;30 Days Hiring Cycle</v>
      </c>
      <c r="AB359">
        <f>_xlfn.XLOOKUP(H359,tblDepartment[Department],tblDepartment[Average_Salary_INR],"")</f>
        <v>560000</v>
      </c>
      <c r="AC359" t="str">
        <f>_xlfn.XLOOKUP(H359,tblDepartment[Department],tblDepartment[Priority_Level],"")</f>
        <v>Medium</v>
      </c>
      <c r="AD359" t="str">
        <f>_xlfn.XLOOKUP(H359,tblDepartment[Department],tblDepartment[Key_KPI],"")</f>
        <v>Hiring &amp; Retention</v>
      </c>
      <c r="AE359">
        <f>_xlfn.XLOOKUP(tblMaster[[#This Row],[Shift]],tblShift[Shift_Name],tblShift[Login_Time],"")</f>
        <v>0.41666666666666669</v>
      </c>
      <c r="AF359">
        <f>_xlfn.XLOOKUP(tblMaster[[#This Row],[Shift]],tblShift[Shift_Name],tblShift[Logout_Time]," ")</f>
        <v>0.79166666666666663</v>
      </c>
      <c r="AG359">
        <f>_xlfn.XLOOKUP(tblMaster[[#This Row],[Shift]],tblShift[Shift_Name],tblShift[Standard_Working_Hours],"")</f>
        <v>8</v>
      </c>
      <c r="AH359" t="str">
        <f>_xlfn.XLOOKUP(tblMaster[[#This Row],[Attendance_Date]],tblHoliday[Holiday_Date],tblHoliday[Holiday_Name],"Working Day")</f>
        <v>Working Day</v>
      </c>
      <c r="AI359" t="str">
        <f>_xlfn.XLOOKUP(tblMaster[[#This Row],[Attendance_Date]],tblHoliday[Holiday_Date],tblHoliday[Holiday_Type],"Working Day ")</f>
        <v xml:space="preserve">Working Day </v>
      </c>
    </row>
    <row r="360" spans="1:35" hidden="1" x14ac:dyDescent="0.3">
      <c r="A360" t="s">
        <v>548</v>
      </c>
      <c r="B360" s="1">
        <v>45701</v>
      </c>
      <c r="C360" t="s">
        <v>95</v>
      </c>
      <c r="D360" t="s">
        <v>50</v>
      </c>
      <c r="E360" t="s">
        <v>25</v>
      </c>
      <c r="F360" t="s">
        <v>281</v>
      </c>
      <c r="G360" t="s">
        <v>282</v>
      </c>
      <c r="H360" t="s">
        <v>90</v>
      </c>
      <c r="I360" t="s">
        <v>91</v>
      </c>
      <c r="J360" t="s">
        <v>30</v>
      </c>
      <c r="K360" t="s">
        <v>31</v>
      </c>
      <c r="L360" s="2">
        <v>0.375</v>
      </c>
      <c r="M360" s="2">
        <v>0.75</v>
      </c>
      <c r="N360">
        <v>8</v>
      </c>
      <c r="O360">
        <v>0</v>
      </c>
      <c r="P360" t="s">
        <v>32</v>
      </c>
      <c r="R360">
        <v>4</v>
      </c>
      <c r="S360" t="s">
        <v>45</v>
      </c>
      <c r="T360" t="s">
        <v>93</v>
      </c>
      <c r="U360" t="s">
        <v>47</v>
      </c>
      <c r="V360" t="s">
        <v>69</v>
      </c>
      <c r="W360">
        <f>_xlfn.XLOOKUP(F360,tblEmployee[Employee_ID],tblEmployee[Age],"Not Found")</f>
        <v>31</v>
      </c>
      <c r="X360" t="str">
        <f>_xlfn.XLOOKUP(F360,tblEmployee[Employee_ID],tblEmployee[Gender],"Not Found")</f>
        <v>Male</v>
      </c>
      <c r="Y360">
        <f>_xlfn.XLOOKUP(F360,tblEmployee[Employee_ID],tblEmployee[Joining_Date],"")</f>
        <v>44119</v>
      </c>
      <c r="Z360">
        <f>_xlfn.XLOOKUP(H360,tblDepartment[Department],tblDepartment[Annual_Budget_INR],"")</f>
        <v>18000000</v>
      </c>
      <c r="AA360" t="str">
        <f>_xlfn.XLOOKUP(H360,tblDepartment[Department],tblDepartment[Monthly_Target],"")</f>
        <v>&lt;30 Days Hiring Cycle</v>
      </c>
      <c r="AB360">
        <f>_xlfn.XLOOKUP(H360,tblDepartment[Department],tblDepartment[Average_Salary_INR],"")</f>
        <v>560000</v>
      </c>
      <c r="AC360" t="str">
        <f>_xlfn.XLOOKUP(H360,tblDepartment[Department],tblDepartment[Priority_Level],"")</f>
        <v>Medium</v>
      </c>
      <c r="AD360" t="str">
        <f>_xlfn.XLOOKUP(H360,tblDepartment[Department],tblDepartment[Key_KPI],"")</f>
        <v>Hiring &amp; Retention</v>
      </c>
      <c r="AE360">
        <f>_xlfn.XLOOKUP(tblMaster[[#This Row],[Shift]],tblShift[Shift_Name],tblShift[Login_Time],"")</f>
        <v>0.25</v>
      </c>
      <c r="AF360">
        <f>_xlfn.XLOOKUP(tblMaster[[#This Row],[Shift]],tblShift[Shift_Name],tblShift[Logout_Time]," ")</f>
        <v>0.625</v>
      </c>
      <c r="AG360">
        <f>_xlfn.XLOOKUP(tblMaster[[#This Row],[Shift]],tblShift[Shift_Name],tblShift[Standard_Working_Hours],"")</f>
        <v>8</v>
      </c>
      <c r="AH360" t="str">
        <f>_xlfn.XLOOKUP(tblMaster[[#This Row],[Attendance_Date]],tblHoliday[Holiday_Date],tblHoliday[Holiday_Name],"Working Day")</f>
        <v>Working Day</v>
      </c>
      <c r="AI360" t="str">
        <f>_xlfn.XLOOKUP(tblMaster[[#This Row],[Attendance_Date]],tblHoliday[Holiday_Date],tblHoliday[Holiday_Type],"Working Day ")</f>
        <v xml:space="preserve">Working Day </v>
      </c>
    </row>
    <row r="361" spans="1:35" hidden="1" x14ac:dyDescent="0.3">
      <c r="A361" t="s">
        <v>549</v>
      </c>
      <c r="B361" s="3">
        <v>45700</v>
      </c>
      <c r="C361" t="s">
        <v>95</v>
      </c>
      <c r="D361" t="s">
        <v>50</v>
      </c>
      <c r="E361" t="s">
        <v>51</v>
      </c>
      <c r="F361" t="s">
        <v>159</v>
      </c>
      <c r="G361" t="s">
        <v>160</v>
      </c>
      <c r="H361" t="s">
        <v>64</v>
      </c>
      <c r="I361" t="s">
        <v>65</v>
      </c>
      <c r="J361" t="s">
        <v>100</v>
      </c>
      <c r="K361" t="s">
        <v>54</v>
      </c>
      <c r="L361" s="2">
        <v>0.375</v>
      </c>
      <c r="M361" s="2">
        <v>0.75</v>
      </c>
      <c r="N361">
        <v>9.5</v>
      </c>
      <c r="O361">
        <v>1.5</v>
      </c>
      <c r="P361" t="s">
        <v>32</v>
      </c>
      <c r="R361">
        <v>4</v>
      </c>
      <c r="S361" t="s">
        <v>92</v>
      </c>
      <c r="T361" t="s">
        <v>68</v>
      </c>
      <c r="U361" t="s">
        <v>55</v>
      </c>
      <c r="V361" t="s">
        <v>35</v>
      </c>
      <c r="W361">
        <f>_xlfn.XLOOKUP(F361,tblEmployee[Employee_ID],tblEmployee[Age],"Not Found")</f>
        <v>30</v>
      </c>
      <c r="X361" t="str">
        <f>_xlfn.XLOOKUP(F361,tblEmployee[Employee_ID],tblEmployee[Gender],"Not Found")</f>
        <v>Female</v>
      </c>
      <c r="Y361">
        <f>_xlfn.XLOOKUP(F361,tblEmployee[Employee_ID],tblEmployee[Joining_Date],"")</f>
        <v>43723</v>
      </c>
      <c r="Z361">
        <f>_xlfn.XLOOKUP(H361,tblDepartment[Department],tblDepartment[Annual_Budget_INR],"")</f>
        <v>85000000</v>
      </c>
      <c r="AA361" t="str">
        <f>_xlfn.XLOOKUP(H361,tblDepartment[Department],tblDepartment[Monthly_Target],"")</f>
        <v>99.5% System Uptime</v>
      </c>
      <c r="AB361">
        <f>_xlfn.XLOOKUP(H361,tblDepartment[Department],tblDepartment[Average_Salary_INR],"")</f>
        <v>720000</v>
      </c>
      <c r="AC361" t="str">
        <f>_xlfn.XLOOKUP(H361,tblDepartment[Department],tblDepartment[Priority_Level],"")</f>
        <v>High</v>
      </c>
      <c r="AD361" t="str">
        <f>_xlfn.XLOOKUP(H361,tblDepartment[Department],tblDepartment[Key_KPI],"")</f>
        <v>Project Delivery</v>
      </c>
      <c r="AE361">
        <f>_xlfn.XLOOKUP(tblMaster[[#This Row],[Shift]],tblShift[Shift_Name],tblShift[Login_Time],"")</f>
        <v>0.58333333333333337</v>
      </c>
      <c r="AF361">
        <f>_xlfn.XLOOKUP(tblMaster[[#This Row],[Shift]],tblShift[Shift_Name],tblShift[Logout_Time]," ")</f>
        <v>0.95833333333333337</v>
      </c>
      <c r="AG361">
        <f>_xlfn.XLOOKUP(tblMaster[[#This Row],[Shift]],tblShift[Shift_Name],tblShift[Standard_Working_Hours],"")</f>
        <v>8</v>
      </c>
      <c r="AH361" t="str">
        <f>_xlfn.XLOOKUP(tblMaster[[#This Row],[Attendance_Date]],tblHoliday[Holiday_Date],tblHoliday[Holiday_Name],"Working Day")</f>
        <v>Working Day</v>
      </c>
      <c r="AI361" t="str">
        <f>_xlfn.XLOOKUP(tblMaster[[#This Row],[Attendance_Date]],tblHoliday[Holiday_Date],tblHoliday[Holiday_Type],"Working Day ")</f>
        <v xml:space="preserve">Working Day </v>
      </c>
    </row>
    <row r="362" spans="1:35" hidden="1" x14ac:dyDescent="0.3">
      <c r="A362" t="s">
        <v>550</v>
      </c>
      <c r="B362" s="3">
        <v>45744</v>
      </c>
      <c r="C362" t="s">
        <v>71</v>
      </c>
      <c r="D362" t="s">
        <v>50</v>
      </c>
      <c r="E362" t="s">
        <v>119</v>
      </c>
      <c r="F362" t="s">
        <v>504</v>
      </c>
      <c r="G362" t="s">
        <v>505</v>
      </c>
      <c r="H362" t="s">
        <v>98</v>
      </c>
      <c r="I362" t="s">
        <v>99</v>
      </c>
      <c r="J362" t="s">
        <v>100</v>
      </c>
      <c r="K362" t="s">
        <v>31</v>
      </c>
      <c r="L362" s="2">
        <v>0.375</v>
      </c>
      <c r="M362" s="2">
        <v>0.75</v>
      </c>
      <c r="N362">
        <v>8</v>
      </c>
      <c r="O362">
        <v>0</v>
      </c>
      <c r="P362" t="s">
        <v>32</v>
      </c>
      <c r="R362">
        <v>5</v>
      </c>
      <c r="S362" t="s">
        <v>92</v>
      </c>
      <c r="T362" t="s">
        <v>101</v>
      </c>
      <c r="U362" t="s">
        <v>47</v>
      </c>
      <c r="V362" t="s">
        <v>35</v>
      </c>
      <c r="W362">
        <f>_xlfn.XLOOKUP(F362,tblEmployee[Employee_ID],tblEmployee[Age],"Not Found")</f>
        <v>35</v>
      </c>
      <c r="X362" t="str">
        <f>_xlfn.XLOOKUP(F362,tblEmployee[Employee_ID],tblEmployee[Gender],"Not Found")</f>
        <v>Male</v>
      </c>
      <c r="Y362">
        <f>_xlfn.XLOOKUP(F362,tblEmployee[Employee_ID],tblEmployee[Joining_Date],"")</f>
        <v>45337</v>
      </c>
      <c r="Z362">
        <f>_xlfn.XLOOKUP(H362,tblDepartment[Department],tblDepartment[Annual_Budget_INR],"")</f>
        <v>22000000</v>
      </c>
      <c r="AA362" t="str">
        <f>_xlfn.XLOOKUP(H362,tblDepartment[Department],tblDepartment[Monthly_Target],"")</f>
        <v>2500 Qualified Leads</v>
      </c>
      <c r="AB362">
        <f>_xlfn.XLOOKUP(H362,tblDepartment[Department],tblDepartment[Average_Salary_INR],"")</f>
        <v>590000</v>
      </c>
      <c r="AC362" t="str">
        <f>_xlfn.XLOOKUP(H362,tblDepartment[Department],tblDepartment[Priority_Level],"")</f>
        <v>Medium</v>
      </c>
      <c r="AD362" t="str">
        <f>_xlfn.XLOOKUP(H362,tblDepartment[Department],tblDepartment[Key_KPI],"")</f>
        <v>Lead Generation</v>
      </c>
      <c r="AE362">
        <f>_xlfn.XLOOKUP(tblMaster[[#This Row],[Shift]],tblShift[Shift_Name],tblShift[Login_Time],"")</f>
        <v>0.25</v>
      </c>
      <c r="AF362">
        <f>_xlfn.XLOOKUP(tblMaster[[#This Row],[Shift]],tblShift[Shift_Name],tblShift[Logout_Time]," ")</f>
        <v>0.625</v>
      </c>
      <c r="AG362">
        <f>_xlfn.XLOOKUP(tblMaster[[#This Row],[Shift]],tblShift[Shift_Name],tblShift[Standard_Working_Hours],"")</f>
        <v>8</v>
      </c>
      <c r="AH362" t="str">
        <f>_xlfn.XLOOKUP(tblMaster[[#This Row],[Attendance_Date]],tblHoliday[Holiday_Date],tblHoliday[Holiday_Name],"Working Day")</f>
        <v>Working Day</v>
      </c>
      <c r="AI362" t="str">
        <f>_xlfn.XLOOKUP(tblMaster[[#This Row],[Attendance_Date]],tblHoliday[Holiday_Date],tblHoliday[Holiday_Type],"Working Day ")</f>
        <v xml:space="preserve">Working Day </v>
      </c>
    </row>
    <row r="363" spans="1:35" x14ac:dyDescent="0.3">
      <c r="A363" t="s">
        <v>551</v>
      </c>
      <c r="B363" s="3">
        <v>45760</v>
      </c>
      <c r="C363" t="s">
        <v>37</v>
      </c>
      <c r="D363" t="s">
        <v>24</v>
      </c>
      <c r="E363" t="s">
        <v>103</v>
      </c>
      <c r="F363" t="s">
        <v>185</v>
      </c>
      <c r="G363" t="s">
        <v>186</v>
      </c>
      <c r="H363" t="s">
        <v>79</v>
      </c>
      <c r="I363" t="s">
        <v>80</v>
      </c>
      <c r="J363" t="s">
        <v>66</v>
      </c>
      <c r="K363" t="s">
        <v>44</v>
      </c>
      <c r="L363" s="2">
        <v>0.375</v>
      </c>
      <c r="M363" s="2">
        <v>0.75</v>
      </c>
      <c r="N363">
        <v>8</v>
      </c>
      <c r="O363">
        <v>0</v>
      </c>
      <c r="P363" t="s">
        <v>32</v>
      </c>
      <c r="S363" t="s">
        <v>33</v>
      </c>
      <c r="T363" t="s">
        <v>84</v>
      </c>
      <c r="U363" t="str">
        <f>_xlfn.XLOOKUP(tblMaster[[#This Row],[Employee_ID]],tblEmployee[Employee_ID],tblEmployee[Work_Mode]," ")</f>
        <v>Remote</v>
      </c>
      <c r="V363" t="s">
        <v>35</v>
      </c>
      <c r="W363">
        <f>_xlfn.XLOOKUP(F363,tblEmployee[Employee_ID],tblEmployee[Age],"Not Found")</f>
        <v>33</v>
      </c>
      <c r="X363" t="str">
        <f>_xlfn.XLOOKUP(F363,tblEmployee[Employee_ID],tblEmployee[Gender],"Not Found")</f>
        <v>Male</v>
      </c>
      <c r="Y363">
        <f>_xlfn.XLOOKUP(F363,tblEmployee[Employee_ID],tblEmployee[Joining_Date],"")</f>
        <v>44910</v>
      </c>
      <c r="Z363">
        <f>_xlfn.XLOOKUP(H363,tblDepartment[Department],tblDepartment[Annual_Budget_INR],"")</f>
        <v>26000000</v>
      </c>
      <c r="AA363" t="str">
        <f>_xlfn.XLOOKUP(H363,tblDepartment[Department],tblDepartment[Monthly_Target],"")</f>
        <v>100% Payroll Accuracy</v>
      </c>
      <c r="AB363">
        <f>_xlfn.XLOOKUP(H363,tblDepartment[Department],tblDepartment[Average_Salary_INR],"")</f>
        <v>640000</v>
      </c>
      <c r="AC363" t="str">
        <f>_xlfn.XLOOKUP(H363,tblDepartment[Department],tblDepartment[Priority_Level],"")</f>
        <v>High</v>
      </c>
      <c r="AD363" t="str">
        <f>_xlfn.XLOOKUP(H363,tblDepartment[Department],tblDepartment[Key_KPI],"")</f>
        <v>Financial Compliance</v>
      </c>
      <c r="AE363">
        <f>_xlfn.XLOOKUP(tblMaster[[#This Row],[Shift]],tblShift[Shift_Name],tblShift[Login_Time],"")</f>
        <v>0.41666666666666669</v>
      </c>
      <c r="AF363">
        <f>_xlfn.XLOOKUP(tblMaster[[#This Row],[Shift]],tblShift[Shift_Name],tblShift[Logout_Time]," ")</f>
        <v>0.79166666666666663</v>
      </c>
      <c r="AG363">
        <f>_xlfn.XLOOKUP(tblMaster[[#This Row],[Shift]],tblShift[Shift_Name],tblShift[Standard_Working_Hours],"")</f>
        <v>8</v>
      </c>
      <c r="AH363" t="str">
        <f>_xlfn.XLOOKUP(tblMaster[[#This Row],[Attendance_Date]],tblHoliday[Holiday_Date],tblHoliday[Holiday_Name],"Working Day")</f>
        <v>Working Day</v>
      </c>
      <c r="AI363" t="str">
        <f>_xlfn.XLOOKUP(tblMaster[[#This Row],[Attendance_Date]],tblHoliday[Holiday_Date],tblHoliday[Holiday_Type],"Working Day ")</f>
        <v xml:space="preserve">Working Day </v>
      </c>
    </row>
    <row r="364" spans="1:35" hidden="1" x14ac:dyDescent="0.3">
      <c r="A364" t="s">
        <v>552</v>
      </c>
      <c r="B364" s="1">
        <v>45685</v>
      </c>
      <c r="C364" t="s">
        <v>49</v>
      </c>
      <c r="D364" t="s">
        <v>50</v>
      </c>
      <c r="E364" t="s">
        <v>87</v>
      </c>
      <c r="F364" t="s">
        <v>120</v>
      </c>
      <c r="G364" t="s">
        <v>121</v>
      </c>
      <c r="H364" t="s">
        <v>41</v>
      </c>
      <c r="I364" t="s">
        <v>42</v>
      </c>
      <c r="J364" t="s">
        <v>74</v>
      </c>
      <c r="K364" t="s">
        <v>44</v>
      </c>
      <c r="L364" s="2">
        <v>0.375</v>
      </c>
      <c r="M364" s="2">
        <v>0.75</v>
      </c>
      <c r="N364">
        <v>8</v>
      </c>
      <c r="O364">
        <v>0</v>
      </c>
      <c r="P364" t="s">
        <v>32</v>
      </c>
      <c r="R364">
        <v>3</v>
      </c>
      <c r="S364" t="s">
        <v>45</v>
      </c>
      <c r="T364" t="s">
        <v>46</v>
      </c>
      <c r="U364" t="s">
        <v>55</v>
      </c>
      <c r="V364" t="s">
        <v>60</v>
      </c>
      <c r="W364">
        <f>_xlfn.XLOOKUP(F364,tblEmployee[Employee_ID],tblEmployee[Age],"Not Found")</f>
        <v>34</v>
      </c>
      <c r="X364" t="str">
        <f>_xlfn.XLOOKUP(F364,tblEmployee[Employee_ID],tblEmployee[Gender],"Not Found")</f>
        <v>Female</v>
      </c>
      <c r="Y364">
        <f>_xlfn.XLOOKUP(F364,tblEmployee[Employee_ID],tblEmployee[Joining_Date],"")</f>
        <v>44941</v>
      </c>
      <c r="Z364">
        <f>_xlfn.XLOOKUP(H364,tblDepartment[Department],tblDepartment[Annual_Budget_INR],"")</f>
        <v>34000000</v>
      </c>
      <c r="AA364" t="str">
        <f>_xlfn.XLOOKUP(H364,tblDepartment[Department],tblDepartment[Monthly_Target],"")</f>
        <v>95% Process Efficiency</v>
      </c>
      <c r="AB364">
        <f>_xlfn.XLOOKUP(H364,tblDepartment[Department],tblDepartment[Average_Salary_INR],"")</f>
        <v>610000</v>
      </c>
      <c r="AC364" t="str">
        <f>_xlfn.XLOOKUP(H364,tblDepartment[Department],tblDepartment[Priority_Level],"")</f>
        <v>High</v>
      </c>
      <c r="AD364" t="str">
        <f>_xlfn.XLOOKUP(H364,tblDepartment[Department],tblDepartment[Key_KPI],"")</f>
        <v>Operational Efficiency</v>
      </c>
      <c r="AE364">
        <f>_xlfn.XLOOKUP(tblMaster[[#This Row],[Shift]],tblShift[Shift_Name],tblShift[Login_Time],"")</f>
        <v>0.41666666666666669</v>
      </c>
      <c r="AF364">
        <f>_xlfn.XLOOKUP(tblMaster[[#This Row],[Shift]],tblShift[Shift_Name],tblShift[Logout_Time]," ")</f>
        <v>0.79166666666666663</v>
      </c>
      <c r="AG364">
        <f>_xlfn.XLOOKUP(tblMaster[[#This Row],[Shift]],tblShift[Shift_Name],tblShift[Standard_Working_Hours],"")</f>
        <v>8</v>
      </c>
      <c r="AH364" t="str">
        <f>_xlfn.XLOOKUP(tblMaster[[#This Row],[Attendance_Date]],tblHoliday[Holiday_Date],tblHoliday[Holiday_Name],"Working Day")</f>
        <v>Working Day</v>
      </c>
      <c r="AI364" t="str">
        <f>_xlfn.XLOOKUP(tblMaster[[#This Row],[Attendance_Date]],tblHoliday[Holiday_Date],tblHoliday[Holiday_Type],"Working Day ")</f>
        <v xml:space="preserve">Working Day </v>
      </c>
    </row>
    <row r="365" spans="1:35" x14ac:dyDescent="0.3">
      <c r="A365" t="s">
        <v>553</v>
      </c>
      <c r="B365" s="3">
        <v>45722</v>
      </c>
      <c r="C365" t="s">
        <v>71</v>
      </c>
      <c r="D365" t="s">
        <v>50</v>
      </c>
      <c r="E365" t="s">
        <v>25</v>
      </c>
      <c r="F365" t="s">
        <v>166</v>
      </c>
      <c r="G365" t="s">
        <v>167</v>
      </c>
      <c r="H365" t="s">
        <v>41</v>
      </c>
      <c r="I365" t="s">
        <v>42</v>
      </c>
      <c r="J365" t="s">
        <v>100</v>
      </c>
      <c r="K365" t="s">
        <v>75</v>
      </c>
      <c r="L365" s="2">
        <v>0.375</v>
      </c>
      <c r="M365" s="2">
        <v>0.75</v>
      </c>
      <c r="N365">
        <v>8</v>
      </c>
      <c r="O365">
        <v>0</v>
      </c>
      <c r="P365" t="s">
        <v>32</v>
      </c>
      <c r="S365" t="s">
        <v>92</v>
      </c>
      <c r="T365" t="s">
        <v>46</v>
      </c>
      <c r="U365" t="str">
        <f>_xlfn.XLOOKUP(tblMaster[[#This Row],[Employee_ID]],tblEmployee[Employee_ID],tblEmployee[Work_Mode]," ")</f>
        <v>Office</v>
      </c>
      <c r="W365">
        <f>_xlfn.XLOOKUP(F365,tblEmployee[Employee_ID],tblEmployee[Age],"Not Found")</f>
        <v>37</v>
      </c>
      <c r="X365" t="str">
        <f>_xlfn.XLOOKUP(F365,tblEmployee[Employee_ID],tblEmployee[Gender],"Not Found")</f>
        <v>Male</v>
      </c>
      <c r="Y365">
        <f>_xlfn.XLOOKUP(F365,tblEmployee[Employee_ID],tblEmployee[Joining_Date],"")</f>
        <v>45214</v>
      </c>
      <c r="Z365">
        <f>_xlfn.XLOOKUP(H365,tblDepartment[Department],tblDepartment[Annual_Budget_INR],"")</f>
        <v>34000000</v>
      </c>
      <c r="AA365" t="str">
        <f>_xlfn.XLOOKUP(H365,tblDepartment[Department],tblDepartment[Monthly_Target],"")</f>
        <v>95% Process Efficiency</v>
      </c>
      <c r="AB365">
        <f>_xlfn.XLOOKUP(H365,tblDepartment[Department],tblDepartment[Average_Salary_INR],"")</f>
        <v>610000</v>
      </c>
      <c r="AC365" t="str">
        <f>_xlfn.XLOOKUP(H365,tblDepartment[Department],tblDepartment[Priority_Level],"")</f>
        <v>High</v>
      </c>
      <c r="AD365" t="str">
        <f>_xlfn.XLOOKUP(H365,tblDepartment[Department],tblDepartment[Key_KPI],"")</f>
        <v>Operational Efficiency</v>
      </c>
      <c r="AE365">
        <f>_xlfn.XLOOKUP(tblMaster[[#This Row],[Shift]],tblShift[Shift_Name],tblShift[Login_Time],"")</f>
        <v>0.375</v>
      </c>
      <c r="AF365">
        <f>_xlfn.XLOOKUP(tblMaster[[#This Row],[Shift]],tblShift[Shift_Name],tblShift[Logout_Time]," ")</f>
        <v>0.75</v>
      </c>
      <c r="AG365">
        <f>_xlfn.XLOOKUP(tblMaster[[#This Row],[Shift]],tblShift[Shift_Name],tblShift[Standard_Working_Hours],"")</f>
        <v>8</v>
      </c>
      <c r="AH365" t="str">
        <f>_xlfn.XLOOKUP(tblMaster[[#This Row],[Attendance_Date]],tblHoliday[Holiday_Date],tblHoliday[Holiday_Name],"Working Day")</f>
        <v>Working Day</v>
      </c>
      <c r="AI365" t="str">
        <f>_xlfn.XLOOKUP(tblMaster[[#This Row],[Attendance_Date]],tblHoliday[Holiday_Date],tblHoliday[Holiday_Type],"Working Day ")</f>
        <v xml:space="preserve">Working Day </v>
      </c>
    </row>
    <row r="366" spans="1:35" hidden="1" x14ac:dyDescent="0.3">
      <c r="A366" t="s">
        <v>554</v>
      </c>
      <c r="B366" s="1">
        <v>45736</v>
      </c>
      <c r="C366" t="s">
        <v>71</v>
      </c>
      <c r="D366" t="s">
        <v>50</v>
      </c>
      <c r="E366" t="s">
        <v>25</v>
      </c>
      <c r="F366" t="s">
        <v>116</v>
      </c>
      <c r="G366" t="s">
        <v>117</v>
      </c>
      <c r="H366" t="s">
        <v>112</v>
      </c>
      <c r="I366" t="s">
        <v>113</v>
      </c>
      <c r="J366" t="s">
        <v>100</v>
      </c>
      <c r="K366" t="s">
        <v>44</v>
      </c>
      <c r="L366" s="2">
        <v>0.38194444444444442</v>
      </c>
      <c r="M366" s="2">
        <v>0.75</v>
      </c>
      <c r="N366">
        <v>8</v>
      </c>
      <c r="O366">
        <v>0</v>
      </c>
      <c r="P366" t="s">
        <v>32</v>
      </c>
      <c r="R366">
        <v>3</v>
      </c>
      <c r="S366" t="s">
        <v>67</v>
      </c>
      <c r="T366" t="s">
        <v>114</v>
      </c>
      <c r="U366" t="s">
        <v>85</v>
      </c>
      <c r="V366" t="s">
        <v>60</v>
      </c>
      <c r="W366">
        <f>_xlfn.XLOOKUP(F366,tblEmployee[Employee_ID],tblEmployee[Age],"Not Found")</f>
        <v>24</v>
      </c>
      <c r="X366" t="str">
        <f>_xlfn.XLOOKUP(F366,tblEmployee[Employee_ID],tblEmployee[Gender],"Not Found")</f>
        <v>Male</v>
      </c>
      <c r="Y366">
        <f>_xlfn.XLOOKUP(F366,tblEmployee[Employee_ID],tblEmployee[Joining_Date],"")</f>
        <v>44270</v>
      </c>
      <c r="Z366">
        <f>_xlfn.XLOOKUP(H366,tblDepartment[Department],tblDepartment[Annual_Budget_INR],"")</f>
        <v>42000000</v>
      </c>
      <c r="AA366" t="str">
        <f>_xlfn.XLOOKUP(H366,tblDepartment[Department],tblDepartment[Monthly_Target],"")</f>
        <v>₹2.5 Cr Monthly Sales</v>
      </c>
      <c r="AB366">
        <f>_xlfn.XLOOKUP(H366,tblDepartment[Department],tblDepartment[Average_Salary_INR],"")</f>
        <v>680000</v>
      </c>
      <c r="AC366" t="str">
        <f>_xlfn.XLOOKUP(H366,tblDepartment[Department],tblDepartment[Priority_Level],"")</f>
        <v>High</v>
      </c>
      <c r="AD366" t="str">
        <f>_xlfn.XLOOKUP(H366,tblDepartment[Department],tblDepartment[Key_KPI],"")</f>
        <v>Revenue Achievement</v>
      </c>
      <c r="AE366">
        <f>_xlfn.XLOOKUP(tblMaster[[#This Row],[Shift]],tblShift[Shift_Name],tblShift[Login_Time],"")</f>
        <v>0.41666666666666669</v>
      </c>
      <c r="AF366">
        <f>_xlfn.XLOOKUP(tblMaster[[#This Row],[Shift]],tblShift[Shift_Name],tblShift[Logout_Time]," ")</f>
        <v>0.79166666666666663</v>
      </c>
      <c r="AG366">
        <f>_xlfn.XLOOKUP(tblMaster[[#This Row],[Shift]],tblShift[Shift_Name],tblShift[Standard_Working_Hours],"")</f>
        <v>8</v>
      </c>
      <c r="AH366" t="str">
        <f>_xlfn.XLOOKUP(tblMaster[[#This Row],[Attendance_Date]],tblHoliday[Holiday_Date],tblHoliday[Holiday_Name],"Working Day")</f>
        <v>Working Day</v>
      </c>
      <c r="AI366" t="str">
        <f>_xlfn.XLOOKUP(tblMaster[[#This Row],[Attendance_Date]],tblHoliday[Holiday_Date],tblHoliday[Holiday_Type],"Working Day ")</f>
        <v xml:space="preserve">Working Day </v>
      </c>
    </row>
    <row r="367" spans="1:35" hidden="1" x14ac:dyDescent="0.3">
      <c r="A367" t="s">
        <v>555</v>
      </c>
      <c r="B367" s="1">
        <v>45688</v>
      </c>
      <c r="C367" t="s">
        <v>49</v>
      </c>
      <c r="D367" t="s">
        <v>50</v>
      </c>
      <c r="E367" t="s">
        <v>119</v>
      </c>
      <c r="F367" t="s">
        <v>192</v>
      </c>
      <c r="G367" t="s">
        <v>193</v>
      </c>
      <c r="H367" t="s">
        <v>79</v>
      </c>
      <c r="I367" t="s">
        <v>80</v>
      </c>
      <c r="J367" t="s">
        <v>66</v>
      </c>
      <c r="K367" t="s">
        <v>54</v>
      </c>
      <c r="L367" s="2">
        <v>0.375</v>
      </c>
      <c r="M367" s="2">
        <v>0.75</v>
      </c>
      <c r="N367">
        <v>8</v>
      </c>
      <c r="O367">
        <v>0</v>
      </c>
      <c r="P367" t="s">
        <v>32</v>
      </c>
      <c r="R367">
        <v>5</v>
      </c>
      <c r="S367" t="s">
        <v>45</v>
      </c>
      <c r="T367" t="s">
        <v>84</v>
      </c>
      <c r="U367" t="s">
        <v>85</v>
      </c>
      <c r="W367">
        <f>_xlfn.XLOOKUP(F367,tblEmployee[Employee_ID],tblEmployee[Age],"Not Found")</f>
        <v>32</v>
      </c>
      <c r="X367" t="str">
        <f>_xlfn.XLOOKUP(F367,tblEmployee[Employee_ID],tblEmployee[Gender],"Not Found")</f>
        <v>Female</v>
      </c>
      <c r="Y367">
        <f>_xlfn.XLOOKUP(F367,tblEmployee[Employee_ID],tblEmployee[Joining_Date],"")</f>
        <v>44880</v>
      </c>
      <c r="Z367">
        <f>_xlfn.XLOOKUP(H367,tblDepartment[Department],tblDepartment[Annual_Budget_INR],"")</f>
        <v>26000000</v>
      </c>
      <c r="AA367" t="str">
        <f>_xlfn.XLOOKUP(H367,tblDepartment[Department],tblDepartment[Monthly_Target],"")</f>
        <v>100% Payroll Accuracy</v>
      </c>
      <c r="AB367">
        <f>_xlfn.XLOOKUP(H367,tblDepartment[Department],tblDepartment[Average_Salary_INR],"")</f>
        <v>640000</v>
      </c>
      <c r="AC367" t="str">
        <f>_xlfn.XLOOKUP(H367,tblDepartment[Department],tblDepartment[Priority_Level],"")</f>
        <v>High</v>
      </c>
      <c r="AD367" t="str">
        <f>_xlfn.XLOOKUP(H367,tblDepartment[Department],tblDepartment[Key_KPI],"")</f>
        <v>Financial Compliance</v>
      </c>
      <c r="AE367">
        <f>_xlfn.XLOOKUP(tblMaster[[#This Row],[Shift]],tblShift[Shift_Name],tblShift[Login_Time],"")</f>
        <v>0.58333333333333337</v>
      </c>
      <c r="AF367">
        <f>_xlfn.XLOOKUP(tblMaster[[#This Row],[Shift]],tblShift[Shift_Name],tblShift[Logout_Time]," ")</f>
        <v>0.95833333333333337</v>
      </c>
      <c r="AG367">
        <f>_xlfn.XLOOKUP(tblMaster[[#This Row],[Shift]],tblShift[Shift_Name],tblShift[Standard_Working_Hours],"")</f>
        <v>8</v>
      </c>
      <c r="AH367" t="str">
        <f>_xlfn.XLOOKUP(tblMaster[[#This Row],[Attendance_Date]],tblHoliday[Holiday_Date],tblHoliday[Holiday_Name],"Working Day")</f>
        <v>Working Day</v>
      </c>
      <c r="AI367" t="str">
        <f>_xlfn.XLOOKUP(tblMaster[[#This Row],[Attendance_Date]],tblHoliday[Holiday_Date],tblHoliday[Holiday_Type],"Working Day ")</f>
        <v xml:space="preserve">Working Day </v>
      </c>
    </row>
    <row r="368" spans="1:35" hidden="1" x14ac:dyDescent="0.3">
      <c r="A368" t="s">
        <v>556</v>
      </c>
      <c r="B368" s="1">
        <v>45801</v>
      </c>
      <c r="C368" t="s">
        <v>57</v>
      </c>
      <c r="D368" t="s">
        <v>24</v>
      </c>
      <c r="E368" t="s">
        <v>38</v>
      </c>
      <c r="F368" t="s">
        <v>281</v>
      </c>
      <c r="G368" t="s">
        <v>282</v>
      </c>
      <c r="H368" t="s">
        <v>90</v>
      </c>
      <c r="I368" t="s">
        <v>91</v>
      </c>
      <c r="J368" t="s">
        <v>30</v>
      </c>
      <c r="K368" t="s">
        <v>44</v>
      </c>
      <c r="L368" s="2">
        <v>0.375</v>
      </c>
      <c r="M368" s="2">
        <v>0.75</v>
      </c>
      <c r="N368">
        <v>8</v>
      </c>
      <c r="O368">
        <v>0</v>
      </c>
      <c r="P368" t="s">
        <v>32</v>
      </c>
      <c r="R368">
        <v>5</v>
      </c>
      <c r="S368" t="s">
        <v>33</v>
      </c>
      <c r="T368" t="s">
        <v>93</v>
      </c>
      <c r="U368" t="s">
        <v>47</v>
      </c>
      <c r="V368" t="s">
        <v>60</v>
      </c>
      <c r="W368">
        <f>_xlfn.XLOOKUP(F368,tblEmployee[Employee_ID],tblEmployee[Age],"Not Found")</f>
        <v>31</v>
      </c>
      <c r="X368" t="str">
        <f>_xlfn.XLOOKUP(F368,tblEmployee[Employee_ID],tblEmployee[Gender],"Not Found")</f>
        <v>Male</v>
      </c>
      <c r="Y368">
        <f>_xlfn.XLOOKUP(F368,tblEmployee[Employee_ID],tblEmployee[Joining_Date],"")</f>
        <v>44119</v>
      </c>
      <c r="Z368">
        <f>_xlfn.XLOOKUP(H368,tblDepartment[Department],tblDepartment[Annual_Budget_INR],"")</f>
        <v>18000000</v>
      </c>
      <c r="AA368" t="str">
        <f>_xlfn.XLOOKUP(H368,tblDepartment[Department],tblDepartment[Monthly_Target],"")</f>
        <v>&lt;30 Days Hiring Cycle</v>
      </c>
      <c r="AB368">
        <f>_xlfn.XLOOKUP(H368,tblDepartment[Department],tblDepartment[Average_Salary_INR],"")</f>
        <v>560000</v>
      </c>
      <c r="AC368" t="str">
        <f>_xlfn.XLOOKUP(H368,tblDepartment[Department],tblDepartment[Priority_Level],"")</f>
        <v>Medium</v>
      </c>
      <c r="AD368" t="str">
        <f>_xlfn.XLOOKUP(H368,tblDepartment[Department],tblDepartment[Key_KPI],"")</f>
        <v>Hiring &amp; Retention</v>
      </c>
      <c r="AE368">
        <f>_xlfn.XLOOKUP(tblMaster[[#This Row],[Shift]],tblShift[Shift_Name],tblShift[Login_Time],"")</f>
        <v>0.41666666666666669</v>
      </c>
      <c r="AF368">
        <f>_xlfn.XLOOKUP(tblMaster[[#This Row],[Shift]],tblShift[Shift_Name],tblShift[Logout_Time]," ")</f>
        <v>0.79166666666666663</v>
      </c>
      <c r="AG368">
        <f>_xlfn.XLOOKUP(tblMaster[[#This Row],[Shift]],tblShift[Shift_Name],tblShift[Standard_Working_Hours],"")</f>
        <v>8</v>
      </c>
      <c r="AH368" t="str">
        <f>_xlfn.XLOOKUP(tblMaster[[#This Row],[Attendance_Date]],tblHoliday[Holiday_Date],tblHoliday[Holiday_Name],"Working Day")</f>
        <v>Working Day</v>
      </c>
      <c r="AI368" t="str">
        <f>_xlfn.XLOOKUP(tblMaster[[#This Row],[Attendance_Date]],tblHoliday[Holiday_Date],tblHoliday[Holiday_Type],"Working Day ")</f>
        <v xml:space="preserve">Working Day </v>
      </c>
    </row>
    <row r="369" spans="1:35" x14ac:dyDescent="0.3">
      <c r="A369" t="s">
        <v>557</v>
      </c>
      <c r="B369" s="3">
        <v>45730</v>
      </c>
      <c r="C369" t="s">
        <v>71</v>
      </c>
      <c r="D369" t="s">
        <v>50</v>
      </c>
      <c r="E369" t="s">
        <v>119</v>
      </c>
      <c r="F369" t="s">
        <v>288</v>
      </c>
      <c r="G369" t="s">
        <v>289</v>
      </c>
      <c r="H369" t="s">
        <v>28</v>
      </c>
      <c r="I369" t="s">
        <v>29</v>
      </c>
      <c r="J369" t="s">
        <v>74</v>
      </c>
      <c r="K369" t="s">
        <v>54</v>
      </c>
      <c r="L369" s="2">
        <v>0.375</v>
      </c>
      <c r="M369" s="2">
        <v>0.75</v>
      </c>
      <c r="N369">
        <v>8</v>
      </c>
      <c r="O369">
        <v>0</v>
      </c>
      <c r="P369" t="s">
        <v>32</v>
      </c>
      <c r="R369">
        <v>4</v>
      </c>
      <c r="S369" t="s">
        <v>67</v>
      </c>
      <c r="T369" t="s">
        <v>34</v>
      </c>
      <c r="U369" t="str">
        <f>_xlfn.XLOOKUP(tblMaster[[#This Row],[Employee_ID]],tblEmployee[Employee_ID],tblEmployee[Work_Mode]," ")</f>
        <v>Hybrid</v>
      </c>
      <c r="V369" t="s">
        <v>35</v>
      </c>
      <c r="W369">
        <f>_xlfn.XLOOKUP(F369,tblEmployee[Employee_ID],tblEmployee[Age],"Not Found")</f>
        <v>29</v>
      </c>
      <c r="X369" t="str">
        <f>_xlfn.XLOOKUP(F369,tblEmployee[Employee_ID],tblEmployee[Gender],"Not Found")</f>
        <v>Male</v>
      </c>
      <c r="Y369">
        <f>_xlfn.XLOOKUP(F369,tblEmployee[Employee_ID],tblEmployee[Joining_Date],"")</f>
        <v>43327</v>
      </c>
      <c r="Z369">
        <f>_xlfn.XLOOKUP(H369,tblDepartment[Department],tblDepartment[Annual_Budget_INR],"")</f>
        <v>24000000</v>
      </c>
      <c r="AA369" t="str">
        <f>_xlfn.XLOOKUP(H369,tblDepartment[Department],tblDepartment[Monthly_Target],"")</f>
        <v>90% Customer Satisfaction</v>
      </c>
      <c r="AB369">
        <f>_xlfn.XLOOKUP(H369,tblDepartment[Department],tblDepartment[Average_Salary_INR],"")</f>
        <v>520000</v>
      </c>
      <c r="AC369" t="str">
        <f>_xlfn.XLOOKUP(H369,tblDepartment[Department],tblDepartment[Priority_Level],"")</f>
        <v>High</v>
      </c>
      <c r="AD369" t="str">
        <f>_xlfn.XLOOKUP(H369,tblDepartment[Department],tblDepartment[Key_KPI],"")</f>
        <v>Customer Satisfaction</v>
      </c>
      <c r="AE369">
        <f>_xlfn.XLOOKUP(tblMaster[[#This Row],[Shift]],tblShift[Shift_Name],tblShift[Login_Time],"")</f>
        <v>0.58333333333333337</v>
      </c>
      <c r="AF369">
        <f>_xlfn.XLOOKUP(tblMaster[[#This Row],[Shift]],tblShift[Shift_Name],tblShift[Logout_Time]," ")</f>
        <v>0.95833333333333337</v>
      </c>
      <c r="AG369">
        <f>_xlfn.XLOOKUP(tblMaster[[#This Row],[Shift]],tblShift[Shift_Name],tblShift[Standard_Working_Hours],"")</f>
        <v>8</v>
      </c>
      <c r="AH369" t="str">
        <f>_xlfn.XLOOKUP(tblMaster[[#This Row],[Attendance_Date]],tblHoliday[Holiday_Date],tblHoliday[Holiday_Name],"Working Day")</f>
        <v>Working Day</v>
      </c>
      <c r="AI369" t="str">
        <f>_xlfn.XLOOKUP(tblMaster[[#This Row],[Attendance_Date]],tblHoliday[Holiday_Date],tblHoliday[Holiday_Type],"Working Day ")</f>
        <v xml:space="preserve">Working Day </v>
      </c>
    </row>
    <row r="370" spans="1:35" hidden="1" x14ac:dyDescent="0.3">
      <c r="A370" t="s">
        <v>558</v>
      </c>
      <c r="B370" s="3">
        <v>45670</v>
      </c>
      <c r="C370" t="s">
        <v>49</v>
      </c>
      <c r="D370" t="s">
        <v>50</v>
      </c>
      <c r="E370" t="s">
        <v>109</v>
      </c>
      <c r="F370" t="s">
        <v>154</v>
      </c>
      <c r="G370" t="s">
        <v>155</v>
      </c>
      <c r="H370" t="s">
        <v>41</v>
      </c>
      <c r="I370" t="s">
        <v>42</v>
      </c>
      <c r="J370" t="s">
        <v>74</v>
      </c>
      <c r="K370" t="s">
        <v>31</v>
      </c>
      <c r="L370" s="2">
        <v>0.375</v>
      </c>
      <c r="M370" s="2">
        <v>0.75</v>
      </c>
      <c r="N370">
        <v>8</v>
      </c>
      <c r="O370">
        <v>0</v>
      </c>
      <c r="P370" t="s">
        <v>32</v>
      </c>
      <c r="R370">
        <v>5</v>
      </c>
      <c r="S370" t="s">
        <v>92</v>
      </c>
      <c r="T370" t="s">
        <v>46</v>
      </c>
      <c r="U370" t="s">
        <v>85</v>
      </c>
      <c r="V370" t="s">
        <v>69</v>
      </c>
      <c r="W370">
        <f>_xlfn.XLOOKUP(F370,tblEmployee[Employee_ID],tblEmployee[Age],"Not Found")</f>
        <v>33</v>
      </c>
      <c r="X370" t="str">
        <f>_xlfn.XLOOKUP(F370,tblEmployee[Employee_ID],tblEmployee[Gender],"Not Found")</f>
        <v>Male</v>
      </c>
      <c r="Y370">
        <f>_xlfn.XLOOKUP(F370,tblEmployee[Employee_ID],tblEmployee[Joining_Date],"")</f>
        <v>45275</v>
      </c>
      <c r="Z370">
        <f>_xlfn.XLOOKUP(H370,tblDepartment[Department],tblDepartment[Annual_Budget_INR],"")</f>
        <v>34000000</v>
      </c>
      <c r="AA370" t="str">
        <f>_xlfn.XLOOKUP(H370,tblDepartment[Department],tblDepartment[Monthly_Target],"")</f>
        <v>95% Process Efficiency</v>
      </c>
      <c r="AB370">
        <f>_xlfn.XLOOKUP(H370,tblDepartment[Department],tblDepartment[Average_Salary_INR],"")</f>
        <v>610000</v>
      </c>
      <c r="AC370" t="str">
        <f>_xlfn.XLOOKUP(H370,tblDepartment[Department],tblDepartment[Priority_Level],"")</f>
        <v>High</v>
      </c>
      <c r="AD370" t="str">
        <f>_xlfn.XLOOKUP(H370,tblDepartment[Department],tblDepartment[Key_KPI],"")</f>
        <v>Operational Efficiency</v>
      </c>
      <c r="AE370">
        <f>_xlfn.XLOOKUP(tblMaster[[#This Row],[Shift]],tblShift[Shift_Name],tblShift[Login_Time],"")</f>
        <v>0.25</v>
      </c>
      <c r="AF370">
        <f>_xlfn.XLOOKUP(tblMaster[[#This Row],[Shift]],tblShift[Shift_Name],tblShift[Logout_Time]," ")</f>
        <v>0.625</v>
      </c>
      <c r="AG370">
        <f>_xlfn.XLOOKUP(tblMaster[[#This Row],[Shift]],tblShift[Shift_Name],tblShift[Standard_Working_Hours],"")</f>
        <v>8</v>
      </c>
      <c r="AH370" t="str">
        <f>_xlfn.XLOOKUP(tblMaster[[#This Row],[Attendance_Date]],tblHoliday[Holiday_Date],tblHoliday[Holiday_Name],"Working Day")</f>
        <v>Working Day</v>
      </c>
      <c r="AI370" t="str">
        <f>_xlfn.XLOOKUP(tblMaster[[#This Row],[Attendance_Date]],tblHoliday[Holiday_Date],tblHoliday[Holiday_Type],"Working Day ")</f>
        <v xml:space="preserve">Working Day </v>
      </c>
    </row>
    <row r="371" spans="1:35" hidden="1" x14ac:dyDescent="0.3">
      <c r="A371" t="s">
        <v>559</v>
      </c>
      <c r="B371" s="3">
        <v>45800</v>
      </c>
      <c r="C371" t="s">
        <v>57</v>
      </c>
      <c r="D371" t="s">
        <v>24</v>
      </c>
      <c r="E371" t="s">
        <v>119</v>
      </c>
      <c r="F371" t="s">
        <v>104</v>
      </c>
      <c r="G371" t="s">
        <v>105</v>
      </c>
      <c r="H371" t="s">
        <v>28</v>
      </c>
      <c r="I371" t="s">
        <v>29</v>
      </c>
      <c r="J371" t="s">
        <v>30</v>
      </c>
      <c r="K371" t="s">
        <v>44</v>
      </c>
      <c r="L371" s="2">
        <v>0.375</v>
      </c>
      <c r="M371" s="2">
        <v>0.75</v>
      </c>
      <c r="N371">
        <v>8</v>
      </c>
      <c r="O371">
        <v>0</v>
      </c>
      <c r="P371" t="s">
        <v>32</v>
      </c>
      <c r="R371">
        <v>5</v>
      </c>
      <c r="S371" t="s">
        <v>92</v>
      </c>
      <c r="T371" t="s">
        <v>34</v>
      </c>
      <c r="U371" t="s">
        <v>85</v>
      </c>
      <c r="V371" t="s">
        <v>69</v>
      </c>
      <c r="W371">
        <f>_xlfn.XLOOKUP(F371,tblEmployee[Employee_ID],tblEmployee[Age],"Not Found")</f>
        <v>35</v>
      </c>
      <c r="X371" t="str">
        <f>_xlfn.XLOOKUP(F371,tblEmployee[Employee_ID],tblEmployee[Gender],"Not Found")</f>
        <v>Male</v>
      </c>
      <c r="Y371">
        <f>_xlfn.XLOOKUP(F371,tblEmployee[Employee_ID],tblEmployee[Joining_Date],"")</f>
        <v>43146</v>
      </c>
      <c r="Z371">
        <f>_xlfn.XLOOKUP(H371,tblDepartment[Department],tblDepartment[Annual_Budget_INR],"")</f>
        <v>24000000</v>
      </c>
      <c r="AA371" t="str">
        <f>_xlfn.XLOOKUP(H371,tblDepartment[Department],tblDepartment[Monthly_Target],"")</f>
        <v>90% Customer Satisfaction</v>
      </c>
      <c r="AB371">
        <f>_xlfn.XLOOKUP(H371,tblDepartment[Department],tblDepartment[Average_Salary_INR],"")</f>
        <v>520000</v>
      </c>
      <c r="AC371" t="str">
        <f>_xlfn.XLOOKUP(H371,tblDepartment[Department],tblDepartment[Priority_Level],"")</f>
        <v>High</v>
      </c>
      <c r="AD371" t="str">
        <f>_xlfn.XLOOKUP(H371,tblDepartment[Department],tblDepartment[Key_KPI],"")</f>
        <v>Customer Satisfaction</v>
      </c>
      <c r="AE371">
        <f>_xlfn.XLOOKUP(tblMaster[[#This Row],[Shift]],tblShift[Shift_Name],tblShift[Login_Time],"")</f>
        <v>0.41666666666666669</v>
      </c>
      <c r="AF371">
        <f>_xlfn.XLOOKUP(tblMaster[[#This Row],[Shift]],tblShift[Shift_Name],tblShift[Logout_Time]," ")</f>
        <v>0.79166666666666663</v>
      </c>
      <c r="AG371">
        <f>_xlfn.XLOOKUP(tblMaster[[#This Row],[Shift]],tblShift[Shift_Name],tblShift[Standard_Working_Hours],"")</f>
        <v>8</v>
      </c>
      <c r="AH371" t="str">
        <f>_xlfn.XLOOKUP(tblMaster[[#This Row],[Attendance_Date]],tblHoliday[Holiday_Date],tblHoliday[Holiday_Name],"Working Day")</f>
        <v>Working Day</v>
      </c>
      <c r="AI371" t="str">
        <f>_xlfn.XLOOKUP(tblMaster[[#This Row],[Attendance_Date]],tblHoliday[Holiday_Date],tblHoliday[Holiday_Type],"Working Day ")</f>
        <v xml:space="preserve">Working Day </v>
      </c>
    </row>
    <row r="372" spans="1:35" x14ac:dyDescent="0.3">
      <c r="A372" t="s">
        <v>560</v>
      </c>
      <c r="B372" s="3">
        <v>45741</v>
      </c>
      <c r="C372" t="s">
        <v>71</v>
      </c>
      <c r="D372" t="s">
        <v>50</v>
      </c>
      <c r="E372" t="s">
        <v>87</v>
      </c>
      <c r="F372" t="s">
        <v>166</v>
      </c>
      <c r="G372" t="s">
        <v>167</v>
      </c>
      <c r="H372" t="s">
        <v>41</v>
      </c>
      <c r="I372" t="s">
        <v>42</v>
      </c>
      <c r="J372" t="s">
        <v>100</v>
      </c>
      <c r="K372" t="s">
        <v>31</v>
      </c>
      <c r="L372" s="2">
        <v>0.375</v>
      </c>
      <c r="M372" s="2">
        <v>0.75</v>
      </c>
      <c r="N372">
        <v>8</v>
      </c>
      <c r="O372">
        <v>0</v>
      </c>
      <c r="P372" t="s">
        <v>32</v>
      </c>
      <c r="R372">
        <v>3</v>
      </c>
      <c r="S372" t="s">
        <v>33</v>
      </c>
      <c r="T372" t="s">
        <v>46</v>
      </c>
      <c r="U372" t="str">
        <f>_xlfn.XLOOKUP(tblMaster[[#This Row],[Employee_ID]],tblEmployee[Employee_ID],tblEmployee[Work_Mode]," ")</f>
        <v>Office</v>
      </c>
      <c r="V372" t="s">
        <v>60</v>
      </c>
      <c r="W372">
        <f>_xlfn.XLOOKUP(F372,tblEmployee[Employee_ID],tblEmployee[Age],"Not Found")</f>
        <v>37</v>
      </c>
      <c r="X372" t="str">
        <f>_xlfn.XLOOKUP(F372,tblEmployee[Employee_ID],tblEmployee[Gender],"Not Found")</f>
        <v>Male</v>
      </c>
      <c r="Y372">
        <f>_xlfn.XLOOKUP(F372,tblEmployee[Employee_ID],tblEmployee[Joining_Date],"")</f>
        <v>45214</v>
      </c>
      <c r="Z372">
        <f>_xlfn.XLOOKUP(H372,tblDepartment[Department],tblDepartment[Annual_Budget_INR],"")</f>
        <v>34000000</v>
      </c>
      <c r="AA372" t="str">
        <f>_xlfn.XLOOKUP(H372,tblDepartment[Department],tblDepartment[Monthly_Target],"")</f>
        <v>95% Process Efficiency</v>
      </c>
      <c r="AB372">
        <f>_xlfn.XLOOKUP(H372,tblDepartment[Department],tblDepartment[Average_Salary_INR],"")</f>
        <v>610000</v>
      </c>
      <c r="AC372" t="str">
        <f>_xlfn.XLOOKUP(H372,tblDepartment[Department],tblDepartment[Priority_Level],"")</f>
        <v>High</v>
      </c>
      <c r="AD372" t="str">
        <f>_xlfn.XLOOKUP(H372,tblDepartment[Department],tblDepartment[Key_KPI],"")</f>
        <v>Operational Efficiency</v>
      </c>
      <c r="AE372">
        <f>_xlfn.XLOOKUP(tblMaster[[#This Row],[Shift]],tblShift[Shift_Name],tblShift[Login_Time],"")</f>
        <v>0.25</v>
      </c>
      <c r="AF372">
        <f>_xlfn.XLOOKUP(tblMaster[[#This Row],[Shift]],tblShift[Shift_Name],tblShift[Logout_Time]," ")</f>
        <v>0.625</v>
      </c>
      <c r="AG372">
        <f>_xlfn.XLOOKUP(tblMaster[[#This Row],[Shift]],tblShift[Shift_Name],tblShift[Standard_Working_Hours],"")</f>
        <v>8</v>
      </c>
      <c r="AH372" t="str">
        <f>_xlfn.XLOOKUP(tblMaster[[#This Row],[Attendance_Date]],tblHoliday[Holiday_Date],tblHoliday[Holiday_Name],"Working Day")</f>
        <v>Working Day</v>
      </c>
      <c r="AI372" t="str">
        <f>_xlfn.XLOOKUP(tblMaster[[#This Row],[Attendance_Date]],tblHoliday[Holiday_Date],tblHoliday[Holiday_Type],"Working Day ")</f>
        <v xml:space="preserve">Working Day </v>
      </c>
    </row>
    <row r="373" spans="1:35" hidden="1" x14ac:dyDescent="0.3">
      <c r="A373" t="s">
        <v>561</v>
      </c>
      <c r="B373" s="3">
        <v>45823</v>
      </c>
      <c r="C373" t="s">
        <v>23</v>
      </c>
      <c r="D373" t="s">
        <v>24</v>
      </c>
      <c r="E373" t="s">
        <v>103</v>
      </c>
      <c r="F373" t="s">
        <v>159</v>
      </c>
      <c r="G373" t="s">
        <v>160</v>
      </c>
      <c r="H373" t="s">
        <v>64</v>
      </c>
      <c r="I373" t="s">
        <v>65</v>
      </c>
      <c r="J373" t="s">
        <v>100</v>
      </c>
      <c r="K373" t="s">
        <v>44</v>
      </c>
      <c r="L373" s="2">
        <v>0.375</v>
      </c>
      <c r="M373" s="2">
        <v>0.75</v>
      </c>
      <c r="N373">
        <v>9</v>
      </c>
      <c r="O373">
        <v>1</v>
      </c>
      <c r="P373" t="s">
        <v>32</v>
      </c>
      <c r="R373">
        <v>4</v>
      </c>
      <c r="S373" t="s">
        <v>67</v>
      </c>
      <c r="T373" t="s">
        <v>68</v>
      </c>
      <c r="U373" t="s">
        <v>55</v>
      </c>
      <c r="V373" t="s">
        <v>60</v>
      </c>
      <c r="W373">
        <f>_xlfn.XLOOKUP(F373,tblEmployee[Employee_ID],tblEmployee[Age],"Not Found")</f>
        <v>30</v>
      </c>
      <c r="X373" t="str">
        <f>_xlfn.XLOOKUP(F373,tblEmployee[Employee_ID],tblEmployee[Gender],"Not Found")</f>
        <v>Female</v>
      </c>
      <c r="Y373">
        <f>_xlfn.XLOOKUP(F373,tblEmployee[Employee_ID],tblEmployee[Joining_Date],"")</f>
        <v>43723</v>
      </c>
      <c r="Z373">
        <f>_xlfn.XLOOKUP(H373,tblDepartment[Department],tblDepartment[Annual_Budget_INR],"")</f>
        <v>85000000</v>
      </c>
      <c r="AA373" t="str">
        <f>_xlfn.XLOOKUP(H373,tblDepartment[Department],tblDepartment[Monthly_Target],"")</f>
        <v>99.5% System Uptime</v>
      </c>
      <c r="AB373">
        <f>_xlfn.XLOOKUP(H373,tblDepartment[Department],tblDepartment[Average_Salary_INR],"")</f>
        <v>720000</v>
      </c>
      <c r="AC373" t="str">
        <f>_xlfn.XLOOKUP(H373,tblDepartment[Department],tblDepartment[Priority_Level],"")</f>
        <v>High</v>
      </c>
      <c r="AD373" t="str">
        <f>_xlfn.XLOOKUP(H373,tblDepartment[Department],tblDepartment[Key_KPI],"")</f>
        <v>Project Delivery</v>
      </c>
      <c r="AE373">
        <f>_xlfn.XLOOKUP(tblMaster[[#This Row],[Shift]],tblShift[Shift_Name],tblShift[Login_Time],"")</f>
        <v>0.41666666666666669</v>
      </c>
      <c r="AF373">
        <f>_xlfn.XLOOKUP(tblMaster[[#This Row],[Shift]],tblShift[Shift_Name],tblShift[Logout_Time]," ")</f>
        <v>0.79166666666666663</v>
      </c>
      <c r="AG373">
        <f>_xlfn.XLOOKUP(tblMaster[[#This Row],[Shift]],tblShift[Shift_Name],tblShift[Standard_Working_Hours],"")</f>
        <v>8</v>
      </c>
      <c r="AH373" t="str">
        <f>_xlfn.XLOOKUP(tblMaster[[#This Row],[Attendance_Date]],tblHoliday[Holiday_Date],tblHoliday[Holiday_Name],"Working Day")</f>
        <v>Working Day</v>
      </c>
      <c r="AI373" t="str">
        <f>_xlfn.XLOOKUP(tblMaster[[#This Row],[Attendance_Date]],tblHoliday[Holiday_Date],tblHoliday[Holiday_Type],"Working Day ")</f>
        <v xml:space="preserve">Working Day </v>
      </c>
    </row>
    <row r="374" spans="1:35" x14ac:dyDescent="0.3">
      <c r="A374" t="s">
        <v>562</v>
      </c>
      <c r="B374" s="3">
        <v>45678</v>
      </c>
      <c r="C374" t="s">
        <v>49</v>
      </c>
      <c r="D374" t="s">
        <v>50</v>
      </c>
      <c r="E374" t="s">
        <v>87</v>
      </c>
      <c r="F374" t="s">
        <v>163</v>
      </c>
      <c r="G374" t="s">
        <v>164</v>
      </c>
      <c r="H374" t="s">
        <v>112</v>
      </c>
      <c r="I374" t="s">
        <v>113</v>
      </c>
      <c r="J374" t="s">
        <v>100</v>
      </c>
      <c r="K374" t="s">
        <v>54</v>
      </c>
      <c r="L374" s="2">
        <v>0.375</v>
      </c>
      <c r="M374" s="2">
        <v>0.75</v>
      </c>
      <c r="N374">
        <v>8</v>
      </c>
      <c r="O374">
        <v>0</v>
      </c>
      <c r="P374" t="s">
        <v>32</v>
      </c>
      <c r="R374">
        <v>5</v>
      </c>
      <c r="S374" t="s">
        <v>33</v>
      </c>
      <c r="T374" t="s">
        <v>114</v>
      </c>
      <c r="U374" t="str">
        <f>_xlfn.XLOOKUP(tblMaster[[#This Row],[Employee_ID]],tblEmployee[Employee_ID],tblEmployee[Work_Mode]," ")</f>
        <v>Office</v>
      </c>
      <c r="V374" t="s">
        <v>60</v>
      </c>
      <c r="W374">
        <f>_xlfn.XLOOKUP(F374,tblEmployee[Employee_ID],tblEmployee[Age],"Not Found")</f>
        <v>25</v>
      </c>
      <c r="X374" t="str">
        <f>_xlfn.XLOOKUP(F374,tblEmployee[Employee_ID],tblEmployee[Gender],"Not Found")</f>
        <v>Male</v>
      </c>
      <c r="Y374">
        <f>_xlfn.XLOOKUP(F374,tblEmployee[Employee_ID],tblEmployee[Joining_Date],"")</f>
        <v>44301</v>
      </c>
      <c r="Z374">
        <f>_xlfn.XLOOKUP(H374,tblDepartment[Department],tblDepartment[Annual_Budget_INR],"")</f>
        <v>42000000</v>
      </c>
      <c r="AA374" t="str">
        <f>_xlfn.XLOOKUP(H374,tblDepartment[Department],tblDepartment[Monthly_Target],"")</f>
        <v>₹2.5 Cr Monthly Sales</v>
      </c>
      <c r="AB374">
        <f>_xlfn.XLOOKUP(H374,tblDepartment[Department],tblDepartment[Average_Salary_INR],"")</f>
        <v>680000</v>
      </c>
      <c r="AC374" t="str">
        <f>_xlfn.XLOOKUP(H374,tblDepartment[Department],tblDepartment[Priority_Level],"")</f>
        <v>High</v>
      </c>
      <c r="AD374" t="str">
        <f>_xlfn.XLOOKUP(H374,tblDepartment[Department],tblDepartment[Key_KPI],"")</f>
        <v>Revenue Achievement</v>
      </c>
      <c r="AE374">
        <f>_xlfn.XLOOKUP(tblMaster[[#This Row],[Shift]],tblShift[Shift_Name],tblShift[Login_Time],"")</f>
        <v>0.58333333333333337</v>
      </c>
      <c r="AF374">
        <f>_xlfn.XLOOKUP(tblMaster[[#This Row],[Shift]],tblShift[Shift_Name],tblShift[Logout_Time]," ")</f>
        <v>0.95833333333333337</v>
      </c>
      <c r="AG374">
        <f>_xlfn.XLOOKUP(tblMaster[[#This Row],[Shift]],tblShift[Shift_Name],tblShift[Standard_Working_Hours],"")</f>
        <v>8</v>
      </c>
      <c r="AH374" t="str">
        <f>_xlfn.XLOOKUP(tblMaster[[#This Row],[Attendance_Date]],tblHoliday[Holiday_Date],tblHoliday[Holiday_Name],"Working Day")</f>
        <v>Working Day</v>
      </c>
      <c r="AI374" t="str">
        <f>_xlfn.XLOOKUP(tblMaster[[#This Row],[Attendance_Date]],tblHoliday[Holiday_Date],tblHoliday[Holiday_Type],"Working Day ")</f>
        <v xml:space="preserve">Working Day </v>
      </c>
    </row>
    <row r="375" spans="1:35" hidden="1" x14ac:dyDescent="0.3">
      <c r="A375" t="s">
        <v>563</v>
      </c>
      <c r="B375" s="3">
        <v>45690</v>
      </c>
      <c r="C375" t="s">
        <v>95</v>
      </c>
      <c r="D375" t="s">
        <v>50</v>
      </c>
      <c r="E375" t="s">
        <v>103</v>
      </c>
      <c r="F375" t="s">
        <v>192</v>
      </c>
      <c r="G375" t="s">
        <v>193</v>
      </c>
      <c r="H375" t="s">
        <v>79</v>
      </c>
      <c r="I375" t="s">
        <v>80</v>
      </c>
      <c r="J375" t="s">
        <v>66</v>
      </c>
      <c r="K375" t="s">
        <v>44</v>
      </c>
      <c r="L375" s="2">
        <v>0.375</v>
      </c>
      <c r="M375" s="2">
        <v>0.75</v>
      </c>
      <c r="N375">
        <v>8</v>
      </c>
      <c r="O375">
        <v>0</v>
      </c>
      <c r="P375" t="s">
        <v>32</v>
      </c>
      <c r="R375">
        <v>4</v>
      </c>
      <c r="S375" t="s">
        <v>67</v>
      </c>
      <c r="T375" t="s">
        <v>84</v>
      </c>
      <c r="U375" t="s">
        <v>47</v>
      </c>
      <c r="V375" t="s">
        <v>69</v>
      </c>
      <c r="W375">
        <f>_xlfn.XLOOKUP(F375,tblEmployee[Employee_ID],tblEmployee[Age],"Not Found")</f>
        <v>32</v>
      </c>
      <c r="X375" t="str">
        <f>_xlfn.XLOOKUP(F375,tblEmployee[Employee_ID],tblEmployee[Gender],"Not Found")</f>
        <v>Female</v>
      </c>
      <c r="Y375">
        <f>_xlfn.XLOOKUP(F375,tblEmployee[Employee_ID],tblEmployee[Joining_Date],"")</f>
        <v>44880</v>
      </c>
      <c r="Z375">
        <f>_xlfn.XLOOKUP(H375,tblDepartment[Department],tblDepartment[Annual_Budget_INR],"")</f>
        <v>26000000</v>
      </c>
      <c r="AA375" t="str">
        <f>_xlfn.XLOOKUP(H375,tblDepartment[Department],tblDepartment[Monthly_Target],"")</f>
        <v>100% Payroll Accuracy</v>
      </c>
      <c r="AB375">
        <f>_xlfn.XLOOKUP(H375,tblDepartment[Department],tblDepartment[Average_Salary_INR],"")</f>
        <v>640000</v>
      </c>
      <c r="AC375" t="str">
        <f>_xlfn.XLOOKUP(H375,tblDepartment[Department],tblDepartment[Priority_Level],"")</f>
        <v>High</v>
      </c>
      <c r="AD375" t="str">
        <f>_xlfn.XLOOKUP(H375,tblDepartment[Department],tblDepartment[Key_KPI],"")</f>
        <v>Financial Compliance</v>
      </c>
      <c r="AE375">
        <f>_xlfn.XLOOKUP(tblMaster[[#This Row],[Shift]],tblShift[Shift_Name],tblShift[Login_Time],"")</f>
        <v>0.41666666666666669</v>
      </c>
      <c r="AF375">
        <f>_xlfn.XLOOKUP(tblMaster[[#This Row],[Shift]],tblShift[Shift_Name],tblShift[Logout_Time]," ")</f>
        <v>0.79166666666666663</v>
      </c>
      <c r="AG375">
        <f>_xlfn.XLOOKUP(tblMaster[[#This Row],[Shift]],tblShift[Shift_Name],tblShift[Standard_Working_Hours],"")</f>
        <v>8</v>
      </c>
      <c r="AH375" t="str">
        <f>_xlfn.XLOOKUP(tblMaster[[#This Row],[Attendance_Date]],tblHoliday[Holiday_Date],tblHoliday[Holiday_Name],"Working Day")</f>
        <v>Working Day</v>
      </c>
      <c r="AI375" t="str">
        <f>_xlfn.XLOOKUP(tblMaster[[#This Row],[Attendance_Date]],tblHoliday[Holiday_Date],tblHoliday[Holiday_Type],"Working Day ")</f>
        <v xml:space="preserve">Working Day </v>
      </c>
    </row>
    <row r="376" spans="1:35" hidden="1" x14ac:dyDescent="0.3">
      <c r="A376" t="s">
        <v>564</v>
      </c>
      <c r="B376" s="1">
        <v>45670</v>
      </c>
      <c r="C376" t="s">
        <v>49</v>
      </c>
      <c r="D376" t="s">
        <v>50</v>
      </c>
      <c r="E376" t="s">
        <v>109</v>
      </c>
      <c r="F376" t="s">
        <v>88</v>
      </c>
      <c r="G376" t="s">
        <v>89</v>
      </c>
      <c r="H376" t="s">
        <v>90</v>
      </c>
      <c r="I376" t="s">
        <v>91</v>
      </c>
      <c r="J376" t="s">
        <v>43</v>
      </c>
      <c r="K376" t="s">
        <v>44</v>
      </c>
      <c r="L376" s="2">
        <v>0.375</v>
      </c>
      <c r="M376" s="2">
        <v>0.75</v>
      </c>
      <c r="N376">
        <v>8</v>
      </c>
      <c r="O376">
        <v>0</v>
      </c>
      <c r="P376" t="s">
        <v>32</v>
      </c>
      <c r="R376">
        <v>4</v>
      </c>
      <c r="S376" t="s">
        <v>67</v>
      </c>
      <c r="T376" t="s">
        <v>93</v>
      </c>
      <c r="U376" t="s">
        <v>47</v>
      </c>
      <c r="W376">
        <f>_xlfn.XLOOKUP(F376,tblEmployee[Employee_ID],tblEmployee[Age],"Not Found")</f>
        <v>34</v>
      </c>
      <c r="X376" t="str">
        <f>_xlfn.XLOOKUP(F376,tblEmployee[Employee_ID],tblEmployee[Gender],"Not Found")</f>
        <v>Female</v>
      </c>
      <c r="Y376">
        <f>_xlfn.XLOOKUP(F376,tblEmployee[Employee_ID],tblEmployee[Joining_Date],"")</f>
        <v>44027</v>
      </c>
      <c r="Z376">
        <f>_xlfn.XLOOKUP(H376,tblDepartment[Department],tblDepartment[Annual_Budget_INR],"")</f>
        <v>18000000</v>
      </c>
      <c r="AA376" t="str">
        <f>_xlfn.XLOOKUP(H376,tblDepartment[Department],tblDepartment[Monthly_Target],"")</f>
        <v>&lt;30 Days Hiring Cycle</v>
      </c>
      <c r="AB376">
        <f>_xlfn.XLOOKUP(H376,tblDepartment[Department],tblDepartment[Average_Salary_INR],"")</f>
        <v>560000</v>
      </c>
      <c r="AC376" t="str">
        <f>_xlfn.XLOOKUP(H376,tblDepartment[Department],tblDepartment[Priority_Level],"")</f>
        <v>Medium</v>
      </c>
      <c r="AD376" t="str">
        <f>_xlfn.XLOOKUP(H376,tblDepartment[Department],tblDepartment[Key_KPI],"")</f>
        <v>Hiring &amp; Retention</v>
      </c>
      <c r="AE376">
        <f>_xlfn.XLOOKUP(tblMaster[[#This Row],[Shift]],tblShift[Shift_Name],tblShift[Login_Time],"")</f>
        <v>0.41666666666666669</v>
      </c>
      <c r="AF376">
        <f>_xlfn.XLOOKUP(tblMaster[[#This Row],[Shift]],tblShift[Shift_Name],tblShift[Logout_Time]," ")</f>
        <v>0.79166666666666663</v>
      </c>
      <c r="AG376">
        <f>_xlfn.XLOOKUP(tblMaster[[#This Row],[Shift]],tblShift[Shift_Name],tblShift[Standard_Working_Hours],"")</f>
        <v>8</v>
      </c>
      <c r="AH376" t="str">
        <f>_xlfn.XLOOKUP(tblMaster[[#This Row],[Attendance_Date]],tblHoliday[Holiday_Date],tblHoliday[Holiday_Name],"Working Day")</f>
        <v>Working Day</v>
      </c>
      <c r="AI376" t="str">
        <f>_xlfn.XLOOKUP(tblMaster[[#This Row],[Attendance_Date]],tblHoliday[Holiday_Date],tblHoliday[Holiday_Type],"Working Day ")</f>
        <v xml:space="preserve">Working Day </v>
      </c>
    </row>
    <row r="377" spans="1:35" x14ac:dyDescent="0.3">
      <c r="A377" t="s">
        <v>565</v>
      </c>
      <c r="B377" s="3">
        <v>45739</v>
      </c>
      <c r="C377" t="s">
        <v>71</v>
      </c>
      <c r="D377" t="s">
        <v>50</v>
      </c>
      <c r="E377" t="s">
        <v>103</v>
      </c>
      <c r="F377" t="s">
        <v>142</v>
      </c>
      <c r="G377" t="s">
        <v>143</v>
      </c>
      <c r="H377" t="s">
        <v>64</v>
      </c>
      <c r="I377" t="s">
        <v>65</v>
      </c>
      <c r="J377" t="s">
        <v>43</v>
      </c>
      <c r="K377" t="s">
        <v>81</v>
      </c>
      <c r="L377" s="2">
        <v>0.91666666666666663</v>
      </c>
      <c r="M377" s="2">
        <v>0.29166666666666669</v>
      </c>
      <c r="N377">
        <v>10</v>
      </c>
      <c r="O377">
        <v>2</v>
      </c>
      <c r="P377" t="s">
        <v>32</v>
      </c>
      <c r="R377">
        <v>3</v>
      </c>
      <c r="S377" t="s">
        <v>45</v>
      </c>
      <c r="T377" t="s">
        <v>68</v>
      </c>
      <c r="U377" t="str">
        <f>_xlfn.XLOOKUP(tblMaster[[#This Row],[Employee_ID]],tblEmployee[Employee_ID],tblEmployee[Work_Mode]," ")</f>
        <v>Office</v>
      </c>
      <c r="V377" t="s">
        <v>35</v>
      </c>
      <c r="W377">
        <f>_xlfn.XLOOKUP(F377,tblEmployee[Employee_ID],tblEmployee[Age],"Not Found")</f>
        <v>37</v>
      </c>
      <c r="X377" t="str">
        <f>_xlfn.XLOOKUP(F377,tblEmployee[Employee_ID],tblEmployee[Gender],"Not Found")</f>
        <v>Male</v>
      </c>
      <c r="Y377">
        <f>_xlfn.XLOOKUP(F377,tblEmployee[Employee_ID],tblEmployee[Joining_Date],"")</f>
        <v>43570</v>
      </c>
      <c r="Z377">
        <f>_xlfn.XLOOKUP(H377,tblDepartment[Department],tblDepartment[Annual_Budget_INR],"")</f>
        <v>85000000</v>
      </c>
      <c r="AA377" t="str">
        <f>_xlfn.XLOOKUP(H377,tblDepartment[Department],tblDepartment[Monthly_Target],"")</f>
        <v>99.5% System Uptime</v>
      </c>
      <c r="AB377">
        <f>_xlfn.XLOOKUP(H377,tblDepartment[Department],tblDepartment[Average_Salary_INR],"")</f>
        <v>720000</v>
      </c>
      <c r="AC377" t="str">
        <f>_xlfn.XLOOKUP(H377,tblDepartment[Department],tblDepartment[Priority_Level],"")</f>
        <v>High</v>
      </c>
      <c r="AD377" t="str">
        <f>_xlfn.XLOOKUP(H377,tblDepartment[Department],tblDepartment[Key_KPI],"")</f>
        <v>Project Delivery</v>
      </c>
      <c r="AE377">
        <f>_xlfn.XLOOKUP(tblMaster[[#This Row],[Shift]],tblShift[Shift_Name],tblShift[Login_Time],"")</f>
        <v>0.91666666666666663</v>
      </c>
      <c r="AF377">
        <f>_xlfn.XLOOKUP(tblMaster[[#This Row],[Shift]],tblShift[Shift_Name],tblShift[Logout_Time]," ")</f>
        <v>0.29166666666666669</v>
      </c>
      <c r="AG377">
        <f>_xlfn.XLOOKUP(tblMaster[[#This Row],[Shift]],tblShift[Shift_Name],tblShift[Standard_Working_Hours],"")</f>
        <v>8</v>
      </c>
      <c r="AH377" t="str">
        <f>_xlfn.XLOOKUP(tblMaster[[#This Row],[Attendance_Date]],tblHoliday[Holiday_Date],tblHoliday[Holiday_Name],"Working Day")</f>
        <v>Working Day</v>
      </c>
      <c r="AI377" t="str">
        <f>_xlfn.XLOOKUP(tblMaster[[#This Row],[Attendance_Date]],tblHoliday[Holiday_Date],tblHoliday[Holiday_Type],"Working Day ")</f>
        <v xml:space="preserve">Working Day </v>
      </c>
    </row>
    <row r="378" spans="1:35" x14ac:dyDescent="0.3">
      <c r="A378" t="s">
        <v>566</v>
      </c>
      <c r="B378" s="3">
        <v>45827</v>
      </c>
      <c r="C378" t="s">
        <v>23</v>
      </c>
      <c r="D378" t="s">
        <v>24</v>
      </c>
      <c r="E378" t="s">
        <v>25</v>
      </c>
      <c r="F378" t="s">
        <v>185</v>
      </c>
      <c r="G378" t="s">
        <v>186</v>
      </c>
      <c r="H378" t="s">
        <v>79</v>
      </c>
      <c r="I378" t="s">
        <v>80</v>
      </c>
      <c r="J378" t="s">
        <v>66</v>
      </c>
      <c r="K378" t="s">
        <v>81</v>
      </c>
      <c r="L378" s="2">
        <v>0.91666666666666663</v>
      </c>
      <c r="M378" s="2">
        <v>0.29166666666666669</v>
      </c>
      <c r="N378">
        <v>9</v>
      </c>
      <c r="O378">
        <v>1</v>
      </c>
      <c r="P378" t="s">
        <v>32</v>
      </c>
      <c r="R378">
        <v>5</v>
      </c>
      <c r="S378" t="s">
        <v>92</v>
      </c>
      <c r="T378" t="s">
        <v>84</v>
      </c>
      <c r="U378" t="str">
        <f>_xlfn.XLOOKUP(tblMaster[[#This Row],[Employee_ID]],tblEmployee[Employee_ID],tblEmployee[Work_Mode]," ")</f>
        <v>Remote</v>
      </c>
      <c r="V378" t="s">
        <v>35</v>
      </c>
      <c r="W378">
        <f>_xlfn.XLOOKUP(F378,tblEmployee[Employee_ID],tblEmployee[Age],"Not Found")</f>
        <v>33</v>
      </c>
      <c r="X378" t="str">
        <f>_xlfn.XLOOKUP(F378,tblEmployee[Employee_ID],tblEmployee[Gender],"Not Found")</f>
        <v>Male</v>
      </c>
      <c r="Y378">
        <f>_xlfn.XLOOKUP(F378,tblEmployee[Employee_ID],tblEmployee[Joining_Date],"")</f>
        <v>44910</v>
      </c>
      <c r="Z378">
        <f>_xlfn.XLOOKUP(H378,tblDepartment[Department],tblDepartment[Annual_Budget_INR],"")</f>
        <v>26000000</v>
      </c>
      <c r="AA378" t="str">
        <f>_xlfn.XLOOKUP(H378,tblDepartment[Department],tblDepartment[Monthly_Target],"")</f>
        <v>100% Payroll Accuracy</v>
      </c>
      <c r="AB378">
        <f>_xlfn.XLOOKUP(H378,tblDepartment[Department],tblDepartment[Average_Salary_INR],"")</f>
        <v>640000</v>
      </c>
      <c r="AC378" t="str">
        <f>_xlfn.XLOOKUP(H378,tblDepartment[Department],tblDepartment[Priority_Level],"")</f>
        <v>High</v>
      </c>
      <c r="AD378" t="str">
        <f>_xlfn.XLOOKUP(H378,tblDepartment[Department],tblDepartment[Key_KPI],"")</f>
        <v>Financial Compliance</v>
      </c>
      <c r="AE378">
        <f>_xlfn.XLOOKUP(tblMaster[[#This Row],[Shift]],tblShift[Shift_Name],tblShift[Login_Time],"")</f>
        <v>0.91666666666666663</v>
      </c>
      <c r="AF378">
        <f>_xlfn.XLOOKUP(tblMaster[[#This Row],[Shift]],tblShift[Shift_Name],tblShift[Logout_Time]," ")</f>
        <v>0.29166666666666669</v>
      </c>
      <c r="AG378">
        <f>_xlfn.XLOOKUP(tblMaster[[#This Row],[Shift]],tblShift[Shift_Name],tblShift[Standard_Working_Hours],"")</f>
        <v>8</v>
      </c>
      <c r="AH378" t="str">
        <f>_xlfn.XLOOKUP(tblMaster[[#This Row],[Attendance_Date]],tblHoliday[Holiday_Date],tblHoliday[Holiday_Name],"Working Day")</f>
        <v>Working Day</v>
      </c>
      <c r="AI378" t="str">
        <f>_xlfn.XLOOKUP(tblMaster[[#This Row],[Attendance_Date]],tblHoliday[Holiday_Date],tblHoliday[Holiday_Type],"Working Day ")</f>
        <v xml:space="preserve">Working Day </v>
      </c>
    </row>
    <row r="379" spans="1:35" hidden="1" x14ac:dyDescent="0.3">
      <c r="A379" t="s">
        <v>567</v>
      </c>
      <c r="B379" s="3">
        <v>45672</v>
      </c>
      <c r="C379" t="s">
        <v>49</v>
      </c>
      <c r="D379" t="s">
        <v>50</v>
      </c>
      <c r="E379" t="s">
        <v>51</v>
      </c>
      <c r="F379" t="s">
        <v>207</v>
      </c>
      <c r="G379" t="s">
        <v>208</v>
      </c>
      <c r="H379" t="s">
        <v>64</v>
      </c>
      <c r="I379" t="s">
        <v>65</v>
      </c>
      <c r="J379" t="s">
        <v>30</v>
      </c>
      <c r="K379" t="s">
        <v>31</v>
      </c>
      <c r="P379" t="s">
        <v>135</v>
      </c>
      <c r="S379" t="s">
        <v>92</v>
      </c>
      <c r="T379" t="s">
        <v>68</v>
      </c>
      <c r="U379" t="s">
        <v>47</v>
      </c>
      <c r="V379" t="s">
        <v>60</v>
      </c>
      <c r="W379">
        <f>_xlfn.XLOOKUP(F379,tblEmployee[Employee_ID],tblEmployee[Age],"Not Found")</f>
        <v>33</v>
      </c>
      <c r="X379" t="str">
        <f>_xlfn.XLOOKUP(F379,tblEmployee[Employee_ID],tblEmployee[Gender],"Not Found")</f>
        <v>Male</v>
      </c>
      <c r="Y379">
        <f>_xlfn.XLOOKUP(F379,tblEmployee[Employee_ID],tblEmployee[Joining_Date],"")</f>
        <v>43631</v>
      </c>
      <c r="Z379">
        <f>_xlfn.XLOOKUP(H379,tblDepartment[Department],tblDepartment[Annual_Budget_INR],"")</f>
        <v>85000000</v>
      </c>
      <c r="AA379" t="str">
        <f>_xlfn.XLOOKUP(H379,tblDepartment[Department],tblDepartment[Monthly_Target],"")</f>
        <v>99.5% System Uptime</v>
      </c>
      <c r="AB379">
        <f>_xlfn.XLOOKUP(H379,tblDepartment[Department],tblDepartment[Average_Salary_INR],"")</f>
        <v>720000</v>
      </c>
      <c r="AC379" t="str">
        <f>_xlfn.XLOOKUP(H379,tblDepartment[Department],tblDepartment[Priority_Level],"")</f>
        <v>High</v>
      </c>
      <c r="AD379" t="str">
        <f>_xlfn.XLOOKUP(H379,tblDepartment[Department],tblDepartment[Key_KPI],"")</f>
        <v>Project Delivery</v>
      </c>
      <c r="AE379">
        <f>_xlfn.XLOOKUP(tblMaster[[#This Row],[Shift]],tblShift[Shift_Name],tblShift[Login_Time],"")</f>
        <v>0.25</v>
      </c>
      <c r="AF379">
        <f>_xlfn.XLOOKUP(tblMaster[[#This Row],[Shift]],tblShift[Shift_Name],tblShift[Logout_Time]," ")</f>
        <v>0.625</v>
      </c>
      <c r="AG379">
        <f>_xlfn.XLOOKUP(tblMaster[[#This Row],[Shift]],tblShift[Shift_Name],tblShift[Standard_Working_Hours],"")</f>
        <v>8</v>
      </c>
      <c r="AH379" t="str">
        <f>_xlfn.XLOOKUP(tblMaster[[#This Row],[Attendance_Date]],tblHoliday[Holiday_Date],tblHoliday[Holiday_Name],"Working Day")</f>
        <v>Working Day</v>
      </c>
      <c r="AI379" t="str">
        <f>_xlfn.XLOOKUP(tblMaster[[#This Row],[Attendance_Date]],tblHoliday[Holiday_Date],tblHoliday[Holiday_Type],"Working Day ")</f>
        <v xml:space="preserve">Working Day </v>
      </c>
    </row>
    <row r="380" spans="1:35" hidden="1" x14ac:dyDescent="0.3">
      <c r="A380" t="s">
        <v>568</v>
      </c>
      <c r="B380" s="3">
        <v>45719</v>
      </c>
      <c r="C380" t="s">
        <v>71</v>
      </c>
      <c r="D380" t="s">
        <v>50</v>
      </c>
      <c r="E380" t="s">
        <v>109</v>
      </c>
      <c r="F380" t="s">
        <v>127</v>
      </c>
      <c r="G380" t="s">
        <v>128</v>
      </c>
      <c r="H380" t="s">
        <v>90</v>
      </c>
      <c r="I380" t="s">
        <v>91</v>
      </c>
      <c r="J380" t="s">
        <v>66</v>
      </c>
      <c r="K380" t="s">
        <v>81</v>
      </c>
      <c r="L380" s="2">
        <v>0.91666666666666663</v>
      </c>
      <c r="M380" s="2">
        <v>0.29166666666666669</v>
      </c>
      <c r="N380">
        <v>8.5</v>
      </c>
      <c r="O380">
        <v>0.5</v>
      </c>
      <c r="P380" t="s">
        <v>32</v>
      </c>
      <c r="R380">
        <v>5</v>
      </c>
      <c r="S380" t="s">
        <v>45</v>
      </c>
      <c r="T380" t="s">
        <v>93</v>
      </c>
      <c r="U380" t="s">
        <v>55</v>
      </c>
      <c r="V380" t="s">
        <v>35</v>
      </c>
      <c r="W380">
        <f>_xlfn.XLOOKUP(F380,tblEmployee[Employee_ID],tblEmployee[Age],"Not Found")</f>
        <v>38</v>
      </c>
      <c r="X380" t="str">
        <f>_xlfn.XLOOKUP(F380,tblEmployee[Employee_ID],tblEmployee[Gender],"Not Found")</f>
        <v>Female</v>
      </c>
      <c r="Y380">
        <f>_xlfn.XLOOKUP(F380,tblEmployee[Employee_ID],tblEmployee[Joining_Date],"")</f>
        <v>43966</v>
      </c>
      <c r="Z380">
        <f>_xlfn.XLOOKUP(H380,tblDepartment[Department],tblDepartment[Annual_Budget_INR],"")</f>
        <v>18000000</v>
      </c>
      <c r="AA380" t="str">
        <f>_xlfn.XLOOKUP(H380,tblDepartment[Department],tblDepartment[Monthly_Target],"")</f>
        <v>&lt;30 Days Hiring Cycle</v>
      </c>
      <c r="AB380">
        <f>_xlfn.XLOOKUP(H380,tblDepartment[Department],tblDepartment[Average_Salary_INR],"")</f>
        <v>560000</v>
      </c>
      <c r="AC380" t="str">
        <f>_xlfn.XLOOKUP(H380,tblDepartment[Department],tblDepartment[Priority_Level],"")</f>
        <v>Medium</v>
      </c>
      <c r="AD380" t="str">
        <f>_xlfn.XLOOKUP(H380,tblDepartment[Department],tblDepartment[Key_KPI],"")</f>
        <v>Hiring &amp; Retention</v>
      </c>
      <c r="AE380">
        <f>_xlfn.XLOOKUP(tblMaster[[#This Row],[Shift]],tblShift[Shift_Name],tblShift[Login_Time],"")</f>
        <v>0.91666666666666663</v>
      </c>
      <c r="AF380">
        <f>_xlfn.XLOOKUP(tblMaster[[#This Row],[Shift]],tblShift[Shift_Name],tblShift[Logout_Time]," ")</f>
        <v>0.29166666666666669</v>
      </c>
      <c r="AG380">
        <f>_xlfn.XLOOKUP(tblMaster[[#This Row],[Shift]],tblShift[Shift_Name],tblShift[Standard_Working_Hours],"")</f>
        <v>8</v>
      </c>
      <c r="AH380" t="str">
        <f>_xlfn.XLOOKUP(tblMaster[[#This Row],[Attendance_Date]],tblHoliday[Holiday_Date],tblHoliday[Holiday_Name],"Working Day")</f>
        <v>Working Day</v>
      </c>
      <c r="AI380" t="str">
        <f>_xlfn.XLOOKUP(tblMaster[[#This Row],[Attendance_Date]],tblHoliday[Holiday_Date],tblHoliday[Holiday_Type],"Working Day ")</f>
        <v xml:space="preserve">Working Day </v>
      </c>
    </row>
    <row r="381" spans="1:35" hidden="1" x14ac:dyDescent="0.3">
      <c r="A381" t="s">
        <v>569</v>
      </c>
      <c r="B381" s="1">
        <v>45807</v>
      </c>
      <c r="C381" t="s">
        <v>57</v>
      </c>
      <c r="D381" t="s">
        <v>24</v>
      </c>
      <c r="E381" t="s">
        <v>119</v>
      </c>
      <c r="F381" t="s">
        <v>26</v>
      </c>
      <c r="G381" t="s">
        <v>27</v>
      </c>
      <c r="H381" t="s">
        <v>28</v>
      </c>
      <c r="I381" t="s">
        <v>29</v>
      </c>
      <c r="J381" t="s">
        <v>30</v>
      </c>
      <c r="K381" t="s">
        <v>75</v>
      </c>
      <c r="L381" s="2">
        <v>0.375</v>
      </c>
      <c r="M381" s="2">
        <v>0.75</v>
      </c>
      <c r="N381">
        <v>8</v>
      </c>
      <c r="O381">
        <v>0</v>
      </c>
      <c r="P381" t="s">
        <v>32</v>
      </c>
      <c r="S381" t="s">
        <v>45</v>
      </c>
      <c r="T381" t="s">
        <v>34</v>
      </c>
      <c r="U381" t="s">
        <v>55</v>
      </c>
      <c r="V381" t="s">
        <v>35</v>
      </c>
      <c r="W381">
        <f>_xlfn.XLOOKUP(F381,tblEmployee[Employee_ID],tblEmployee[Age],"Not Found")</f>
        <v>36</v>
      </c>
      <c r="X381" t="str">
        <f>_xlfn.XLOOKUP(F381,tblEmployee[Employee_ID],tblEmployee[Gender],"Not Found")</f>
        <v>Female</v>
      </c>
      <c r="Y381">
        <f>_xlfn.XLOOKUP(F381,tblEmployee[Employee_ID],tblEmployee[Joining_Date],"")</f>
        <v>43174</v>
      </c>
      <c r="Z381">
        <f>_xlfn.XLOOKUP(H381,tblDepartment[Department],tblDepartment[Annual_Budget_INR],"")</f>
        <v>24000000</v>
      </c>
      <c r="AA381" t="str">
        <f>_xlfn.XLOOKUP(H381,tblDepartment[Department],tblDepartment[Monthly_Target],"")</f>
        <v>90% Customer Satisfaction</v>
      </c>
      <c r="AB381">
        <f>_xlfn.XLOOKUP(H381,tblDepartment[Department],tblDepartment[Average_Salary_INR],"")</f>
        <v>520000</v>
      </c>
      <c r="AC381" t="str">
        <f>_xlfn.XLOOKUP(H381,tblDepartment[Department],tblDepartment[Priority_Level],"")</f>
        <v>High</v>
      </c>
      <c r="AD381" t="str">
        <f>_xlfn.XLOOKUP(H381,tblDepartment[Department],tblDepartment[Key_KPI],"")</f>
        <v>Customer Satisfaction</v>
      </c>
      <c r="AE381">
        <f>_xlfn.XLOOKUP(tblMaster[[#This Row],[Shift]],tblShift[Shift_Name],tblShift[Login_Time],"")</f>
        <v>0.375</v>
      </c>
      <c r="AF381">
        <f>_xlfn.XLOOKUP(tblMaster[[#This Row],[Shift]],tblShift[Shift_Name],tblShift[Logout_Time]," ")</f>
        <v>0.75</v>
      </c>
      <c r="AG381">
        <f>_xlfn.XLOOKUP(tblMaster[[#This Row],[Shift]],tblShift[Shift_Name],tblShift[Standard_Working_Hours],"")</f>
        <v>8</v>
      </c>
      <c r="AH381" t="str">
        <f>_xlfn.XLOOKUP(tblMaster[[#This Row],[Attendance_Date]],tblHoliday[Holiday_Date],tblHoliday[Holiday_Name],"Working Day")</f>
        <v>Working Day</v>
      </c>
      <c r="AI381" t="str">
        <f>_xlfn.XLOOKUP(tblMaster[[#This Row],[Attendance_Date]],tblHoliday[Holiday_Date],tblHoliday[Holiday_Type],"Working Day ")</f>
        <v xml:space="preserve">Working Day </v>
      </c>
    </row>
    <row r="382" spans="1:35" hidden="1" x14ac:dyDescent="0.3">
      <c r="A382" t="s">
        <v>570</v>
      </c>
      <c r="B382" s="1">
        <v>45783</v>
      </c>
      <c r="C382" t="s">
        <v>57</v>
      </c>
      <c r="D382" t="s">
        <v>24</v>
      </c>
      <c r="E382" t="s">
        <v>87</v>
      </c>
      <c r="F382" t="s">
        <v>72</v>
      </c>
      <c r="G382" t="s">
        <v>73</v>
      </c>
      <c r="H382" t="s">
        <v>28</v>
      </c>
      <c r="I382" t="s">
        <v>29</v>
      </c>
      <c r="J382" t="s">
        <v>74</v>
      </c>
      <c r="K382" t="s">
        <v>31</v>
      </c>
      <c r="L382" s="2">
        <v>0.375</v>
      </c>
      <c r="M382" s="2">
        <v>0.75</v>
      </c>
      <c r="N382">
        <v>8</v>
      </c>
      <c r="O382">
        <v>0</v>
      </c>
      <c r="P382" t="s">
        <v>32</v>
      </c>
      <c r="S382" t="s">
        <v>33</v>
      </c>
      <c r="T382" t="s">
        <v>34</v>
      </c>
      <c r="U382" t="s">
        <v>85</v>
      </c>
      <c r="V382" t="s">
        <v>69</v>
      </c>
      <c r="W382">
        <f>_xlfn.XLOOKUP(F382,tblEmployee[Employee_ID],tblEmployee[Age],"Not Found")</f>
        <v>28</v>
      </c>
      <c r="X382" t="str">
        <f>_xlfn.XLOOKUP(F382,tblEmployee[Employee_ID],tblEmployee[Gender],"Not Found")</f>
        <v>Female</v>
      </c>
      <c r="Y382">
        <f>_xlfn.XLOOKUP(F382,tblEmployee[Employee_ID],tblEmployee[Joining_Date],"")</f>
        <v>43296</v>
      </c>
      <c r="Z382">
        <f>_xlfn.XLOOKUP(H382,tblDepartment[Department],tblDepartment[Annual_Budget_INR],"")</f>
        <v>24000000</v>
      </c>
      <c r="AA382" t="str">
        <f>_xlfn.XLOOKUP(H382,tblDepartment[Department],tblDepartment[Monthly_Target],"")</f>
        <v>90% Customer Satisfaction</v>
      </c>
      <c r="AB382">
        <f>_xlfn.XLOOKUP(H382,tblDepartment[Department],tblDepartment[Average_Salary_INR],"")</f>
        <v>520000</v>
      </c>
      <c r="AC382" t="str">
        <f>_xlfn.XLOOKUP(H382,tblDepartment[Department],tblDepartment[Priority_Level],"")</f>
        <v>High</v>
      </c>
      <c r="AD382" t="str">
        <f>_xlfn.XLOOKUP(H382,tblDepartment[Department],tblDepartment[Key_KPI],"")</f>
        <v>Customer Satisfaction</v>
      </c>
      <c r="AE382">
        <f>_xlfn.XLOOKUP(tblMaster[[#This Row],[Shift]],tblShift[Shift_Name],tblShift[Login_Time],"")</f>
        <v>0.25</v>
      </c>
      <c r="AF382">
        <f>_xlfn.XLOOKUP(tblMaster[[#This Row],[Shift]],tblShift[Shift_Name],tblShift[Logout_Time]," ")</f>
        <v>0.625</v>
      </c>
      <c r="AG382">
        <f>_xlfn.XLOOKUP(tblMaster[[#This Row],[Shift]],tblShift[Shift_Name],tblShift[Standard_Working_Hours],"")</f>
        <v>8</v>
      </c>
      <c r="AH382" t="str">
        <f>_xlfn.XLOOKUP(tblMaster[[#This Row],[Attendance_Date]],tblHoliday[Holiday_Date],tblHoliday[Holiday_Name],"Working Day")</f>
        <v>Working Day</v>
      </c>
      <c r="AI382" t="str">
        <f>_xlfn.XLOOKUP(tblMaster[[#This Row],[Attendance_Date]],tblHoliday[Holiday_Date],tblHoliday[Holiday_Type],"Working Day ")</f>
        <v xml:space="preserve">Working Day </v>
      </c>
    </row>
    <row r="383" spans="1:35" hidden="1" x14ac:dyDescent="0.3">
      <c r="A383" t="s">
        <v>571</v>
      </c>
      <c r="B383" s="3">
        <v>45680</v>
      </c>
      <c r="C383" t="s">
        <v>49</v>
      </c>
      <c r="D383" t="s">
        <v>50</v>
      </c>
      <c r="E383" t="s">
        <v>25</v>
      </c>
      <c r="F383" t="s">
        <v>281</v>
      </c>
      <c r="G383" t="s">
        <v>282</v>
      </c>
      <c r="H383" t="s">
        <v>90</v>
      </c>
      <c r="I383" t="s">
        <v>91</v>
      </c>
      <c r="J383" t="s">
        <v>30</v>
      </c>
      <c r="K383" t="s">
        <v>75</v>
      </c>
      <c r="L383" s="2">
        <v>0.375</v>
      </c>
      <c r="M383" s="2">
        <v>0.75</v>
      </c>
      <c r="N383">
        <v>8</v>
      </c>
      <c r="O383">
        <v>0</v>
      </c>
      <c r="P383" t="s">
        <v>32</v>
      </c>
      <c r="R383">
        <v>3</v>
      </c>
      <c r="S383" t="s">
        <v>33</v>
      </c>
      <c r="T383" t="s">
        <v>93</v>
      </c>
      <c r="U383" t="s">
        <v>55</v>
      </c>
      <c r="W383">
        <f>_xlfn.XLOOKUP(F383,tblEmployee[Employee_ID],tblEmployee[Age],"Not Found")</f>
        <v>31</v>
      </c>
      <c r="X383" t="str">
        <f>_xlfn.XLOOKUP(F383,tblEmployee[Employee_ID],tblEmployee[Gender],"Not Found")</f>
        <v>Male</v>
      </c>
      <c r="Y383">
        <f>_xlfn.XLOOKUP(F383,tblEmployee[Employee_ID],tblEmployee[Joining_Date],"")</f>
        <v>44119</v>
      </c>
      <c r="Z383">
        <f>_xlfn.XLOOKUP(H383,tblDepartment[Department],tblDepartment[Annual_Budget_INR],"")</f>
        <v>18000000</v>
      </c>
      <c r="AA383" t="str">
        <f>_xlfn.XLOOKUP(H383,tblDepartment[Department],tblDepartment[Monthly_Target],"")</f>
        <v>&lt;30 Days Hiring Cycle</v>
      </c>
      <c r="AB383">
        <f>_xlfn.XLOOKUP(H383,tblDepartment[Department],tblDepartment[Average_Salary_INR],"")</f>
        <v>560000</v>
      </c>
      <c r="AC383" t="str">
        <f>_xlfn.XLOOKUP(H383,tblDepartment[Department],tblDepartment[Priority_Level],"")</f>
        <v>Medium</v>
      </c>
      <c r="AD383" t="str">
        <f>_xlfn.XLOOKUP(H383,tblDepartment[Department],tblDepartment[Key_KPI],"")</f>
        <v>Hiring &amp; Retention</v>
      </c>
      <c r="AE383">
        <f>_xlfn.XLOOKUP(tblMaster[[#This Row],[Shift]],tblShift[Shift_Name],tblShift[Login_Time],"")</f>
        <v>0.375</v>
      </c>
      <c r="AF383">
        <f>_xlfn.XLOOKUP(tblMaster[[#This Row],[Shift]],tblShift[Shift_Name],tblShift[Logout_Time]," ")</f>
        <v>0.75</v>
      </c>
      <c r="AG383">
        <f>_xlfn.XLOOKUP(tblMaster[[#This Row],[Shift]],tblShift[Shift_Name],tblShift[Standard_Working_Hours],"")</f>
        <v>8</v>
      </c>
      <c r="AH383" t="str">
        <f>_xlfn.XLOOKUP(tblMaster[[#This Row],[Attendance_Date]],tblHoliday[Holiday_Date],tblHoliday[Holiday_Name],"Working Day")</f>
        <v>Working Day</v>
      </c>
      <c r="AI383" t="str">
        <f>_xlfn.XLOOKUP(tblMaster[[#This Row],[Attendance_Date]],tblHoliday[Holiday_Date],tblHoliday[Holiday_Type],"Working Day ")</f>
        <v xml:space="preserve">Working Day </v>
      </c>
    </row>
    <row r="384" spans="1:35" hidden="1" x14ac:dyDescent="0.3">
      <c r="A384" t="s">
        <v>572</v>
      </c>
      <c r="B384" s="1">
        <v>45742</v>
      </c>
      <c r="C384" t="s">
        <v>71</v>
      </c>
      <c r="D384" t="s">
        <v>50</v>
      </c>
      <c r="E384" t="s">
        <v>51</v>
      </c>
      <c r="F384" t="s">
        <v>504</v>
      </c>
      <c r="G384" t="s">
        <v>505</v>
      </c>
      <c r="H384" t="s">
        <v>98</v>
      </c>
      <c r="I384" t="s">
        <v>99</v>
      </c>
      <c r="J384" t="s">
        <v>100</v>
      </c>
      <c r="K384" t="s">
        <v>54</v>
      </c>
      <c r="L384" s="2">
        <v>0.375</v>
      </c>
      <c r="M384" s="2">
        <v>0.75</v>
      </c>
      <c r="N384">
        <v>8</v>
      </c>
      <c r="O384">
        <v>0</v>
      </c>
      <c r="P384" t="s">
        <v>32</v>
      </c>
      <c r="R384">
        <v>4</v>
      </c>
      <c r="S384" t="s">
        <v>45</v>
      </c>
      <c r="T384" t="s">
        <v>101</v>
      </c>
      <c r="U384" t="s">
        <v>85</v>
      </c>
      <c r="V384" t="s">
        <v>69</v>
      </c>
      <c r="W384">
        <f>_xlfn.XLOOKUP(F384,tblEmployee[Employee_ID],tblEmployee[Age],"Not Found")</f>
        <v>35</v>
      </c>
      <c r="X384" t="str">
        <f>_xlfn.XLOOKUP(F384,tblEmployee[Employee_ID],tblEmployee[Gender],"Not Found")</f>
        <v>Male</v>
      </c>
      <c r="Y384">
        <f>_xlfn.XLOOKUP(F384,tblEmployee[Employee_ID],tblEmployee[Joining_Date],"")</f>
        <v>45337</v>
      </c>
      <c r="Z384">
        <f>_xlfn.XLOOKUP(H384,tblDepartment[Department],tblDepartment[Annual_Budget_INR],"")</f>
        <v>22000000</v>
      </c>
      <c r="AA384" t="str">
        <f>_xlfn.XLOOKUP(H384,tblDepartment[Department],tblDepartment[Monthly_Target],"")</f>
        <v>2500 Qualified Leads</v>
      </c>
      <c r="AB384">
        <f>_xlfn.XLOOKUP(H384,tblDepartment[Department],tblDepartment[Average_Salary_INR],"")</f>
        <v>590000</v>
      </c>
      <c r="AC384" t="str">
        <f>_xlfn.XLOOKUP(H384,tblDepartment[Department],tblDepartment[Priority_Level],"")</f>
        <v>Medium</v>
      </c>
      <c r="AD384" t="str">
        <f>_xlfn.XLOOKUP(H384,tblDepartment[Department],tblDepartment[Key_KPI],"")</f>
        <v>Lead Generation</v>
      </c>
      <c r="AE384">
        <f>_xlfn.XLOOKUP(tblMaster[[#This Row],[Shift]],tblShift[Shift_Name],tblShift[Login_Time],"")</f>
        <v>0.58333333333333337</v>
      </c>
      <c r="AF384">
        <f>_xlfn.XLOOKUP(tblMaster[[#This Row],[Shift]],tblShift[Shift_Name],tblShift[Logout_Time]," ")</f>
        <v>0.95833333333333337</v>
      </c>
      <c r="AG384">
        <f>_xlfn.XLOOKUP(tblMaster[[#This Row],[Shift]],tblShift[Shift_Name],tblShift[Standard_Working_Hours],"")</f>
        <v>8</v>
      </c>
      <c r="AH384" t="str">
        <f>_xlfn.XLOOKUP(tblMaster[[#This Row],[Attendance_Date]],tblHoliday[Holiday_Date],tblHoliday[Holiday_Name],"Working Day")</f>
        <v>Working Day</v>
      </c>
      <c r="AI384" t="str">
        <f>_xlfn.XLOOKUP(tblMaster[[#This Row],[Attendance_Date]],tblHoliday[Holiday_Date],tblHoliday[Holiday_Type],"Working Day ")</f>
        <v xml:space="preserve">Working Day </v>
      </c>
    </row>
    <row r="385" spans="1:35" hidden="1" x14ac:dyDescent="0.3">
      <c r="A385" t="s">
        <v>573</v>
      </c>
      <c r="B385" s="3">
        <v>45689</v>
      </c>
      <c r="C385" t="s">
        <v>95</v>
      </c>
      <c r="D385" t="s">
        <v>50</v>
      </c>
      <c r="E385" t="s">
        <v>38</v>
      </c>
      <c r="F385" t="s">
        <v>52</v>
      </c>
      <c r="G385" t="s">
        <v>53</v>
      </c>
      <c r="H385" t="s">
        <v>41</v>
      </c>
      <c r="I385" t="s">
        <v>42</v>
      </c>
      <c r="J385" t="s">
        <v>43</v>
      </c>
      <c r="K385" t="s">
        <v>81</v>
      </c>
      <c r="L385" s="2">
        <v>0.91666666666666663</v>
      </c>
      <c r="M385" s="2">
        <v>0.29166666666666669</v>
      </c>
      <c r="N385">
        <v>10</v>
      </c>
      <c r="O385">
        <v>2</v>
      </c>
      <c r="P385" t="s">
        <v>32</v>
      </c>
      <c r="R385">
        <v>4</v>
      </c>
      <c r="S385" t="s">
        <v>92</v>
      </c>
      <c r="T385" t="s">
        <v>46</v>
      </c>
      <c r="U385" t="s">
        <v>47</v>
      </c>
      <c r="V385" t="s">
        <v>35</v>
      </c>
      <c r="W385">
        <f>_xlfn.XLOOKUP(F385,tblEmployee[Employee_ID],tblEmployee[Age],"Not Found")</f>
        <v>27</v>
      </c>
      <c r="X385" t="str">
        <f>_xlfn.XLOOKUP(F385,tblEmployee[Employee_ID],tblEmployee[Gender],"Not Found")</f>
        <v>Male</v>
      </c>
      <c r="Y385">
        <f>_xlfn.XLOOKUP(F385,tblEmployee[Employee_ID],tblEmployee[Joining_Date],"")</f>
        <v>45092</v>
      </c>
      <c r="Z385">
        <f>_xlfn.XLOOKUP(H385,tblDepartment[Department],tblDepartment[Annual_Budget_INR],"")</f>
        <v>34000000</v>
      </c>
      <c r="AA385" t="str">
        <f>_xlfn.XLOOKUP(H385,tblDepartment[Department],tblDepartment[Monthly_Target],"")</f>
        <v>95% Process Efficiency</v>
      </c>
      <c r="AB385">
        <f>_xlfn.XLOOKUP(H385,tblDepartment[Department],tblDepartment[Average_Salary_INR],"")</f>
        <v>610000</v>
      </c>
      <c r="AC385" t="str">
        <f>_xlfn.XLOOKUP(H385,tblDepartment[Department],tblDepartment[Priority_Level],"")</f>
        <v>High</v>
      </c>
      <c r="AD385" t="str">
        <f>_xlfn.XLOOKUP(H385,tblDepartment[Department],tblDepartment[Key_KPI],"")</f>
        <v>Operational Efficiency</v>
      </c>
      <c r="AE385">
        <f>_xlfn.XLOOKUP(tblMaster[[#This Row],[Shift]],tblShift[Shift_Name],tblShift[Login_Time],"")</f>
        <v>0.91666666666666663</v>
      </c>
      <c r="AF385">
        <f>_xlfn.XLOOKUP(tblMaster[[#This Row],[Shift]],tblShift[Shift_Name],tblShift[Logout_Time]," ")</f>
        <v>0.29166666666666669</v>
      </c>
      <c r="AG385">
        <f>_xlfn.XLOOKUP(tblMaster[[#This Row],[Shift]],tblShift[Shift_Name],tblShift[Standard_Working_Hours],"")</f>
        <v>8</v>
      </c>
      <c r="AH385" t="str">
        <f>_xlfn.XLOOKUP(tblMaster[[#This Row],[Attendance_Date]],tblHoliday[Holiday_Date],tblHoliday[Holiday_Name],"Working Day")</f>
        <v>Working Day</v>
      </c>
      <c r="AI385" t="str">
        <f>_xlfn.XLOOKUP(tblMaster[[#This Row],[Attendance_Date]],tblHoliday[Holiday_Date],tblHoliday[Holiday_Type],"Working Day ")</f>
        <v xml:space="preserve">Working Day </v>
      </c>
    </row>
    <row r="386" spans="1:35" x14ac:dyDescent="0.3">
      <c r="A386" t="s">
        <v>574</v>
      </c>
      <c r="B386" s="1">
        <v>45828</v>
      </c>
      <c r="C386" t="s">
        <v>23</v>
      </c>
      <c r="D386" t="s">
        <v>24</v>
      </c>
      <c r="E386" t="s">
        <v>119</v>
      </c>
      <c r="F386" t="s">
        <v>116</v>
      </c>
      <c r="G386" t="s">
        <v>117</v>
      </c>
      <c r="H386" t="s">
        <v>112</v>
      </c>
      <c r="I386" t="s">
        <v>113</v>
      </c>
      <c r="J386" t="s">
        <v>100</v>
      </c>
      <c r="K386" t="s">
        <v>75</v>
      </c>
      <c r="L386" s="2">
        <v>0.3888888888888889</v>
      </c>
      <c r="M386" s="2">
        <v>0.75</v>
      </c>
      <c r="N386">
        <v>8</v>
      </c>
      <c r="O386">
        <v>0</v>
      </c>
      <c r="P386" t="s">
        <v>32</v>
      </c>
      <c r="R386">
        <v>3</v>
      </c>
      <c r="S386" t="s">
        <v>92</v>
      </c>
      <c r="T386" t="s">
        <v>114</v>
      </c>
      <c r="U386" t="str">
        <f>_xlfn.XLOOKUP(tblMaster[[#This Row],[Employee_ID]],tblEmployee[Employee_ID],tblEmployee[Work_Mode]," ")</f>
        <v>Remote</v>
      </c>
      <c r="W386">
        <f>_xlfn.XLOOKUP(F386,tblEmployee[Employee_ID],tblEmployee[Age],"Not Found")</f>
        <v>24</v>
      </c>
      <c r="X386" t="str">
        <f>_xlfn.XLOOKUP(F386,tblEmployee[Employee_ID],tblEmployee[Gender],"Not Found")</f>
        <v>Male</v>
      </c>
      <c r="Y386">
        <f>_xlfn.XLOOKUP(F386,tblEmployee[Employee_ID],tblEmployee[Joining_Date],"")</f>
        <v>44270</v>
      </c>
      <c r="Z386">
        <f>_xlfn.XLOOKUP(H386,tblDepartment[Department],tblDepartment[Annual_Budget_INR],"")</f>
        <v>42000000</v>
      </c>
      <c r="AA386" t="str">
        <f>_xlfn.XLOOKUP(H386,tblDepartment[Department],tblDepartment[Monthly_Target],"")</f>
        <v>₹2.5 Cr Monthly Sales</v>
      </c>
      <c r="AB386">
        <f>_xlfn.XLOOKUP(H386,tblDepartment[Department],tblDepartment[Average_Salary_INR],"")</f>
        <v>680000</v>
      </c>
      <c r="AC386" t="str">
        <f>_xlfn.XLOOKUP(H386,tblDepartment[Department],tblDepartment[Priority_Level],"")</f>
        <v>High</v>
      </c>
      <c r="AD386" t="str">
        <f>_xlfn.XLOOKUP(H386,tblDepartment[Department],tblDepartment[Key_KPI],"")</f>
        <v>Revenue Achievement</v>
      </c>
      <c r="AE386">
        <f>_xlfn.XLOOKUP(tblMaster[[#This Row],[Shift]],tblShift[Shift_Name],tblShift[Login_Time],"")</f>
        <v>0.375</v>
      </c>
      <c r="AF386">
        <f>_xlfn.XLOOKUP(tblMaster[[#This Row],[Shift]],tblShift[Shift_Name],tblShift[Logout_Time]," ")</f>
        <v>0.75</v>
      </c>
      <c r="AG386">
        <f>_xlfn.XLOOKUP(tblMaster[[#This Row],[Shift]],tblShift[Shift_Name],tblShift[Standard_Working_Hours],"")</f>
        <v>8</v>
      </c>
      <c r="AH386" t="str">
        <f>_xlfn.XLOOKUP(tblMaster[[#This Row],[Attendance_Date]],tblHoliday[Holiday_Date],tblHoliday[Holiday_Name],"Working Day")</f>
        <v>Working Day</v>
      </c>
      <c r="AI386" t="str">
        <f>_xlfn.XLOOKUP(tblMaster[[#This Row],[Attendance_Date]],tblHoliday[Holiday_Date],tblHoliday[Holiday_Type],"Working Day ")</f>
        <v xml:space="preserve">Working Day </v>
      </c>
    </row>
    <row r="387" spans="1:35" hidden="1" x14ac:dyDescent="0.3">
      <c r="A387" t="s">
        <v>575</v>
      </c>
      <c r="B387" s="3">
        <v>45694</v>
      </c>
      <c r="C387" t="s">
        <v>95</v>
      </c>
      <c r="D387" t="s">
        <v>50</v>
      </c>
      <c r="E387" t="s">
        <v>25</v>
      </c>
      <c r="F387" t="s">
        <v>148</v>
      </c>
      <c r="G387" t="s">
        <v>149</v>
      </c>
      <c r="H387" t="s">
        <v>112</v>
      </c>
      <c r="I387" t="s">
        <v>113</v>
      </c>
      <c r="J387" t="s">
        <v>43</v>
      </c>
      <c r="K387" t="s">
        <v>81</v>
      </c>
      <c r="L387" s="2">
        <v>0.38194444444444442</v>
      </c>
      <c r="M387" s="2">
        <v>0.29166666666666669</v>
      </c>
      <c r="N387">
        <v>8.5</v>
      </c>
      <c r="O387">
        <v>0.5</v>
      </c>
      <c r="P387" t="s">
        <v>32</v>
      </c>
      <c r="R387">
        <v>3</v>
      </c>
      <c r="S387" t="s">
        <v>67</v>
      </c>
      <c r="T387" t="s">
        <v>114</v>
      </c>
      <c r="U387" t="s">
        <v>85</v>
      </c>
      <c r="V387" t="s">
        <v>69</v>
      </c>
      <c r="W387">
        <f>_xlfn.XLOOKUP(F387,tblEmployee[Employee_ID],tblEmployee[Age],"Not Found")</f>
        <v>31</v>
      </c>
      <c r="X387" t="str">
        <f>_xlfn.XLOOKUP(F387,tblEmployee[Employee_ID],tblEmployee[Gender],"Not Found")</f>
        <v>Male</v>
      </c>
      <c r="Y387">
        <f>_xlfn.XLOOKUP(F387,tblEmployee[Employee_ID],tblEmployee[Joining_Date],"")</f>
        <v>44484</v>
      </c>
      <c r="Z387">
        <f>_xlfn.XLOOKUP(H387,tblDepartment[Department],tblDepartment[Annual_Budget_INR],"")</f>
        <v>42000000</v>
      </c>
      <c r="AA387" t="str">
        <f>_xlfn.XLOOKUP(H387,tblDepartment[Department],tblDepartment[Monthly_Target],"")</f>
        <v>₹2.5 Cr Monthly Sales</v>
      </c>
      <c r="AB387">
        <f>_xlfn.XLOOKUP(H387,tblDepartment[Department],tblDepartment[Average_Salary_INR],"")</f>
        <v>680000</v>
      </c>
      <c r="AC387" t="str">
        <f>_xlfn.XLOOKUP(H387,tblDepartment[Department],tblDepartment[Priority_Level],"")</f>
        <v>High</v>
      </c>
      <c r="AD387" t="str">
        <f>_xlfn.XLOOKUP(H387,tblDepartment[Department],tblDepartment[Key_KPI],"")</f>
        <v>Revenue Achievement</v>
      </c>
      <c r="AE387">
        <f>_xlfn.XLOOKUP(tblMaster[[#This Row],[Shift]],tblShift[Shift_Name],tblShift[Login_Time],"")</f>
        <v>0.91666666666666663</v>
      </c>
      <c r="AF387">
        <f>_xlfn.XLOOKUP(tblMaster[[#This Row],[Shift]],tblShift[Shift_Name],tblShift[Logout_Time]," ")</f>
        <v>0.29166666666666669</v>
      </c>
      <c r="AG387">
        <f>_xlfn.XLOOKUP(tblMaster[[#This Row],[Shift]],tblShift[Shift_Name],tblShift[Standard_Working_Hours],"")</f>
        <v>8</v>
      </c>
      <c r="AH387" t="str">
        <f>_xlfn.XLOOKUP(tblMaster[[#This Row],[Attendance_Date]],tblHoliday[Holiday_Date],tblHoliday[Holiday_Name],"Working Day")</f>
        <v>Working Day</v>
      </c>
      <c r="AI387" t="str">
        <f>_xlfn.XLOOKUP(tblMaster[[#This Row],[Attendance_Date]],tblHoliday[Holiday_Date],tblHoliday[Holiday_Type],"Working Day ")</f>
        <v xml:space="preserve">Working Day </v>
      </c>
    </row>
    <row r="388" spans="1:35" x14ac:dyDescent="0.3">
      <c r="A388" t="s">
        <v>576</v>
      </c>
      <c r="B388" s="3">
        <v>45773</v>
      </c>
      <c r="C388" t="s">
        <v>37</v>
      </c>
      <c r="D388" t="s">
        <v>24</v>
      </c>
      <c r="E388" t="s">
        <v>38</v>
      </c>
      <c r="F388" t="s">
        <v>258</v>
      </c>
      <c r="G388" t="s">
        <v>259</v>
      </c>
      <c r="H388" t="s">
        <v>112</v>
      </c>
      <c r="I388" t="s">
        <v>113</v>
      </c>
      <c r="J388" t="s">
        <v>74</v>
      </c>
      <c r="K388" t="s">
        <v>75</v>
      </c>
      <c r="L388" s="2">
        <v>0.375</v>
      </c>
      <c r="M388" s="2">
        <v>0.75</v>
      </c>
      <c r="N388">
        <v>8</v>
      </c>
      <c r="O388">
        <v>0</v>
      </c>
      <c r="P388" t="s">
        <v>32</v>
      </c>
      <c r="R388">
        <v>4</v>
      </c>
      <c r="S388" t="s">
        <v>45</v>
      </c>
      <c r="T388" t="s">
        <v>114</v>
      </c>
      <c r="U388" t="str">
        <f>_xlfn.XLOOKUP(tblMaster[[#This Row],[Employee_ID]],tblEmployee[Employee_ID],tblEmployee[Work_Mode]," ")</f>
        <v>Remote</v>
      </c>
      <c r="V388" t="s">
        <v>69</v>
      </c>
      <c r="W388">
        <f>_xlfn.XLOOKUP(F388,tblEmployee[Employee_ID],tblEmployee[Age],"Not Found")</f>
        <v>39</v>
      </c>
      <c r="X388" t="str">
        <f>_xlfn.XLOOKUP(F388,tblEmployee[Employee_ID],tblEmployee[Gender],"Not Found")</f>
        <v>Male</v>
      </c>
      <c r="Y388">
        <f>_xlfn.XLOOKUP(F388,tblEmployee[Employee_ID],tblEmployee[Joining_Date],"")</f>
        <v>44362</v>
      </c>
      <c r="Z388">
        <f>_xlfn.XLOOKUP(H388,tblDepartment[Department],tblDepartment[Annual_Budget_INR],"")</f>
        <v>42000000</v>
      </c>
      <c r="AA388" t="str">
        <f>_xlfn.XLOOKUP(H388,tblDepartment[Department],tblDepartment[Monthly_Target],"")</f>
        <v>₹2.5 Cr Monthly Sales</v>
      </c>
      <c r="AB388">
        <f>_xlfn.XLOOKUP(H388,tblDepartment[Department],tblDepartment[Average_Salary_INR],"")</f>
        <v>680000</v>
      </c>
      <c r="AC388" t="str">
        <f>_xlfn.XLOOKUP(H388,tblDepartment[Department],tblDepartment[Priority_Level],"")</f>
        <v>High</v>
      </c>
      <c r="AD388" t="str">
        <f>_xlfn.XLOOKUP(H388,tblDepartment[Department],tblDepartment[Key_KPI],"")</f>
        <v>Revenue Achievement</v>
      </c>
      <c r="AE388">
        <f>_xlfn.XLOOKUP(tblMaster[[#This Row],[Shift]],tblShift[Shift_Name],tblShift[Login_Time],"")</f>
        <v>0.375</v>
      </c>
      <c r="AF388">
        <f>_xlfn.XLOOKUP(tblMaster[[#This Row],[Shift]],tblShift[Shift_Name],tblShift[Logout_Time]," ")</f>
        <v>0.75</v>
      </c>
      <c r="AG388">
        <f>_xlfn.XLOOKUP(tblMaster[[#This Row],[Shift]],tblShift[Shift_Name],tblShift[Standard_Working_Hours],"")</f>
        <v>8</v>
      </c>
      <c r="AH388" t="str">
        <f>_xlfn.XLOOKUP(tblMaster[[#This Row],[Attendance_Date]],tblHoliday[Holiday_Date],tblHoliday[Holiday_Name],"Working Day")</f>
        <v>Working Day</v>
      </c>
      <c r="AI388" t="str">
        <f>_xlfn.XLOOKUP(tblMaster[[#This Row],[Attendance_Date]],tblHoliday[Holiday_Date],tblHoliday[Holiday_Type],"Working Day ")</f>
        <v xml:space="preserve">Working Day </v>
      </c>
    </row>
    <row r="389" spans="1:35" hidden="1" x14ac:dyDescent="0.3">
      <c r="A389" t="s">
        <v>577</v>
      </c>
      <c r="B389" s="1">
        <v>45766</v>
      </c>
      <c r="C389" t="s">
        <v>37</v>
      </c>
      <c r="D389" t="s">
        <v>24</v>
      </c>
      <c r="E389" t="s">
        <v>38</v>
      </c>
      <c r="F389" t="s">
        <v>504</v>
      </c>
      <c r="G389" t="s">
        <v>505</v>
      </c>
      <c r="H389" t="s">
        <v>98</v>
      </c>
      <c r="I389" t="s">
        <v>99</v>
      </c>
      <c r="J389" t="s">
        <v>100</v>
      </c>
      <c r="K389" t="s">
        <v>44</v>
      </c>
      <c r="L389" s="2">
        <v>0.375</v>
      </c>
      <c r="M389" s="2">
        <v>0.75</v>
      </c>
      <c r="N389">
        <v>8</v>
      </c>
      <c r="O389">
        <v>0</v>
      </c>
      <c r="P389" t="s">
        <v>32</v>
      </c>
      <c r="R389">
        <v>3</v>
      </c>
      <c r="S389" t="s">
        <v>45</v>
      </c>
      <c r="T389" t="s">
        <v>101</v>
      </c>
      <c r="U389" t="s">
        <v>55</v>
      </c>
      <c r="W389">
        <f>_xlfn.XLOOKUP(F389,tblEmployee[Employee_ID],tblEmployee[Age],"Not Found")</f>
        <v>35</v>
      </c>
      <c r="X389" t="str">
        <f>_xlfn.XLOOKUP(F389,tblEmployee[Employee_ID],tblEmployee[Gender],"Not Found")</f>
        <v>Male</v>
      </c>
      <c r="Y389">
        <f>_xlfn.XLOOKUP(F389,tblEmployee[Employee_ID],tblEmployee[Joining_Date],"")</f>
        <v>45337</v>
      </c>
      <c r="Z389">
        <f>_xlfn.XLOOKUP(H389,tblDepartment[Department],tblDepartment[Annual_Budget_INR],"")</f>
        <v>22000000</v>
      </c>
      <c r="AA389" t="str">
        <f>_xlfn.XLOOKUP(H389,tblDepartment[Department],tblDepartment[Monthly_Target],"")</f>
        <v>2500 Qualified Leads</v>
      </c>
      <c r="AB389">
        <f>_xlfn.XLOOKUP(H389,tblDepartment[Department],tblDepartment[Average_Salary_INR],"")</f>
        <v>590000</v>
      </c>
      <c r="AC389" t="str">
        <f>_xlfn.XLOOKUP(H389,tblDepartment[Department],tblDepartment[Priority_Level],"")</f>
        <v>Medium</v>
      </c>
      <c r="AD389" t="str">
        <f>_xlfn.XLOOKUP(H389,tblDepartment[Department],tblDepartment[Key_KPI],"")</f>
        <v>Lead Generation</v>
      </c>
      <c r="AE389">
        <f>_xlfn.XLOOKUP(tblMaster[[#This Row],[Shift]],tblShift[Shift_Name],tblShift[Login_Time],"")</f>
        <v>0.41666666666666669</v>
      </c>
      <c r="AF389">
        <f>_xlfn.XLOOKUP(tblMaster[[#This Row],[Shift]],tblShift[Shift_Name],tblShift[Logout_Time]," ")</f>
        <v>0.79166666666666663</v>
      </c>
      <c r="AG389">
        <f>_xlfn.XLOOKUP(tblMaster[[#This Row],[Shift]],tblShift[Shift_Name],tblShift[Standard_Working_Hours],"")</f>
        <v>8</v>
      </c>
      <c r="AH389" t="str">
        <f>_xlfn.XLOOKUP(tblMaster[[#This Row],[Attendance_Date]],tblHoliday[Holiday_Date],tblHoliday[Holiday_Name],"Working Day")</f>
        <v>Working Day</v>
      </c>
      <c r="AI389" t="str">
        <f>_xlfn.XLOOKUP(tblMaster[[#This Row],[Attendance_Date]],tblHoliday[Holiday_Date],tblHoliday[Holiday_Type],"Working Day ")</f>
        <v xml:space="preserve">Working Day </v>
      </c>
    </row>
    <row r="390" spans="1:35" x14ac:dyDescent="0.3">
      <c r="A390" t="s">
        <v>578</v>
      </c>
      <c r="B390" s="3">
        <v>45781</v>
      </c>
      <c r="C390" t="s">
        <v>57</v>
      </c>
      <c r="D390" t="s">
        <v>24</v>
      </c>
      <c r="E390" t="s">
        <v>103</v>
      </c>
      <c r="F390" t="s">
        <v>104</v>
      </c>
      <c r="G390" t="s">
        <v>105</v>
      </c>
      <c r="H390" t="s">
        <v>28</v>
      </c>
      <c r="I390" t="s">
        <v>29</v>
      </c>
      <c r="J390" t="s">
        <v>30</v>
      </c>
      <c r="K390" t="s">
        <v>54</v>
      </c>
      <c r="L390" s="2">
        <v>0.375</v>
      </c>
      <c r="M390" s="2">
        <v>0.75</v>
      </c>
      <c r="N390">
        <v>8</v>
      </c>
      <c r="O390">
        <v>0</v>
      </c>
      <c r="P390" t="s">
        <v>32</v>
      </c>
      <c r="R390">
        <v>4</v>
      </c>
      <c r="S390" t="s">
        <v>67</v>
      </c>
      <c r="T390" t="s">
        <v>34</v>
      </c>
      <c r="U390" t="str">
        <f>_xlfn.XLOOKUP(tblMaster[[#This Row],[Employee_ID]],tblEmployee[Employee_ID],tblEmployee[Work_Mode]," ")</f>
        <v>Hybrid</v>
      </c>
      <c r="W390">
        <f>_xlfn.XLOOKUP(F390,tblEmployee[Employee_ID],tblEmployee[Age],"Not Found")</f>
        <v>35</v>
      </c>
      <c r="X390" t="str">
        <f>_xlfn.XLOOKUP(F390,tblEmployee[Employee_ID],tblEmployee[Gender],"Not Found")</f>
        <v>Male</v>
      </c>
      <c r="Y390">
        <f>_xlfn.XLOOKUP(F390,tblEmployee[Employee_ID],tblEmployee[Joining_Date],"")</f>
        <v>43146</v>
      </c>
      <c r="Z390">
        <f>_xlfn.XLOOKUP(H390,tblDepartment[Department],tblDepartment[Annual_Budget_INR],"")</f>
        <v>24000000</v>
      </c>
      <c r="AA390" t="str">
        <f>_xlfn.XLOOKUP(H390,tblDepartment[Department],tblDepartment[Monthly_Target],"")</f>
        <v>90% Customer Satisfaction</v>
      </c>
      <c r="AB390">
        <f>_xlfn.XLOOKUP(H390,tblDepartment[Department],tblDepartment[Average_Salary_INR],"")</f>
        <v>520000</v>
      </c>
      <c r="AC390" t="str">
        <f>_xlfn.XLOOKUP(H390,tblDepartment[Department],tblDepartment[Priority_Level],"")</f>
        <v>High</v>
      </c>
      <c r="AD390" t="str">
        <f>_xlfn.XLOOKUP(H390,tblDepartment[Department],tblDepartment[Key_KPI],"")</f>
        <v>Customer Satisfaction</v>
      </c>
      <c r="AE390">
        <f>_xlfn.XLOOKUP(tblMaster[[#This Row],[Shift]],tblShift[Shift_Name],tblShift[Login_Time],"")</f>
        <v>0.58333333333333337</v>
      </c>
      <c r="AF390">
        <f>_xlfn.XLOOKUP(tblMaster[[#This Row],[Shift]],tblShift[Shift_Name],tblShift[Logout_Time]," ")</f>
        <v>0.95833333333333337</v>
      </c>
      <c r="AG390">
        <f>_xlfn.XLOOKUP(tblMaster[[#This Row],[Shift]],tblShift[Shift_Name],tblShift[Standard_Working_Hours],"")</f>
        <v>8</v>
      </c>
      <c r="AH390" t="str">
        <f>_xlfn.XLOOKUP(tblMaster[[#This Row],[Attendance_Date]],tblHoliday[Holiday_Date],tblHoliday[Holiday_Name],"Working Day")</f>
        <v>Working Day</v>
      </c>
      <c r="AI390" t="str">
        <f>_xlfn.XLOOKUP(tblMaster[[#This Row],[Attendance_Date]],tblHoliday[Holiday_Date],tblHoliday[Holiday_Type],"Working Day ")</f>
        <v xml:space="preserve">Working Day </v>
      </c>
    </row>
    <row r="391" spans="1:35" hidden="1" x14ac:dyDescent="0.3">
      <c r="A391" t="s">
        <v>579</v>
      </c>
      <c r="B391" s="1">
        <v>45731</v>
      </c>
      <c r="C391" t="s">
        <v>71</v>
      </c>
      <c r="D391" t="s">
        <v>50</v>
      </c>
      <c r="E391" t="s">
        <v>38</v>
      </c>
      <c r="F391" t="s">
        <v>228</v>
      </c>
      <c r="G391" t="s">
        <v>229</v>
      </c>
      <c r="H391" t="s">
        <v>79</v>
      </c>
      <c r="I391" t="s">
        <v>80</v>
      </c>
      <c r="J391" t="s">
        <v>43</v>
      </c>
      <c r="K391" t="s">
        <v>44</v>
      </c>
      <c r="L391" s="2">
        <v>0.375</v>
      </c>
      <c r="M391" s="2">
        <v>0.75</v>
      </c>
      <c r="N391">
        <v>8</v>
      </c>
      <c r="O391">
        <v>0</v>
      </c>
      <c r="P391" t="s">
        <v>32</v>
      </c>
      <c r="S391" t="s">
        <v>67</v>
      </c>
      <c r="T391" t="s">
        <v>84</v>
      </c>
      <c r="U391" t="s">
        <v>85</v>
      </c>
      <c r="V391" t="s">
        <v>35</v>
      </c>
      <c r="W391">
        <f>_xlfn.XLOOKUP(F391,tblEmployee[Employee_ID],tblEmployee[Age],"Not Found")</f>
        <v>29</v>
      </c>
      <c r="X391" t="str">
        <f>_xlfn.XLOOKUP(F391,tblEmployee[Employee_ID],tblEmployee[Gender],"Not Found")</f>
        <v>Female</v>
      </c>
      <c r="Y391">
        <f>_xlfn.XLOOKUP(F391,tblEmployee[Employee_ID],tblEmployee[Joining_Date],"")</f>
        <v>44607</v>
      </c>
      <c r="Z391">
        <f>_xlfn.XLOOKUP(H391,tblDepartment[Department],tblDepartment[Annual_Budget_INR],"")</f>
        <v>26000000</v>
      </c>
      <c r="AA391" t="str">
        <f>_xlfn.XLOOKUP(H391,tblDepartment[Department],tblDepartment[Monthly_Target],"")</f>
        <v>100% Payroll Accuracy</v>
      </c>
      <c r="AB391">
        <f>_xlfn.XLOOKUP(H391,tblDepartment[Department],tblDepartment[Average_Salary_INR],"")</f>
        <v>640000</v>
      </c>
      <c r="AC391" t="str">
        <f>_xlfn.XLOOKUP(H391,tblDepartment[Department],tblDepartment[Priority_Level],"")</f>
        <v>High</v>
      </c>
      <c r="AD391" t="str">
        <f>_xlfn.XLOOKUP(H391,tblDepartment[Department],tblDepartment[Key_KPI],"")</f>
        <v>Financial Compliance</v>
      </c>
      <c r="AE391">
        <f>_xlfn.XLOOKUP(tblMaster[[#This Row],[Shift]],tblShift[Shift_Name],tblShift[Login_Time],"")</f>
        <v>0.41666666666666669</v>
      </c>
      <c r="AF391">
        <f>_xlfn.XLOOKUP(tblMaster[[#This Row],[Shift]],tblShift[Shift_Name],tblShift[Logout_Time]," ")</f>
        <v>0.79166666666666663</v>
      </c>
      <c r="AG391">
        <f>_xlfn.XLOOKUP(tblMaster[[#This Row],[Shift]],tblShift[Shift_Name],tblShift[Standard_Working_Hours],"")</f>
        <v>8</v>
      </c>
      <c r="AH391" t="str">
        <f>_xlfn.XLOOKUP(tblMaster[[#This Row],[Attendance_Date]],tblHoliday[Holiday_Date],tblHoliday[Holiday_Name],"Working Day")</f>
        <v>Working Day</v>
      </c>
      <c r="AI391" t="str">
        <f>_xlfn.XLOOKUP(tblMaster[[#This Row],[Attendance_Date]],tblHoliday[Holiday_Date],tblHoliday[Holiday_Type],"Working Day ")</f>
        <v xml:space="preserve">Working Day </v>
      </c>
    </row>
    <row r="392" spans="1:35" hidden="1" x14ac:dyDescent="0.3">
      <c r="A392" t="s">
        <v>580</v>
      </c>
      <c r="B392" s="3">
        <v>45799</v>
      </c>
      <c r="C392" t="s">
        <v>57</v>
      </c>
      <c r="D392" t="s">
        <v>24</v>
      </c>
      <c r="E392" t="s">
        <v>25</v>
      </c>
      <c r="F392" t="s">
        <v>195</v>
      </c>
      <c r="G392" t="s">
        <v>196</v>
      </c>
      <c r="H392" t="s">
        <v>581</v>
      </c>
      <c r="I392" t="s">
        <v>99</v>
      </c>
      <c r="J392" t="s">
        <v>43</v>
      </c>
      <c r="K392" t="s">
        <v>75</v>
      </c>
      <c r="L392" s="2">
        <v>0.375</v>
      </c>
      <c r="M392" s="2">
        <v>0.75</v>
      </c>
      <c r="N392">
        <v>8</v>
      </c>
      <c r="O392">
        <v>0</v>
      </c>
      <c r="P392" t="s">
        <v>32</v>
      </c>
      <c r="R392">
        <v>4</v>
      </c>
      <c r="S392" t="s">
        <v>67</v>
      </c>
      <c r="T392" t="s">
        <v>101</v>
      </c>
      <c r="U392" t="s">
        <v>55</v>
      </c>
      <c r="V392" t="s">
        <v>35</v>
      </c>
      <c r="W392">
        <f>_xlfn.XLOOKUP(F392,tblEmployee[Employee_ID],tblEmployee[Age],"Not Found")</f>
        <v>24</v>
      </c>
      <c r="X392" t="str">
        <f>_xlfn.XLOOKUP(F392,tblEmployee[Employee_ID],tblEmployee[Gender],"Not Found")</f>
        <v>Male</v>
      </c>
      <c r="Y392">
        <f>_xlfn.XLOOKUP(F392,tblEmployee[Employee_ID],tblEmployee[Joining_Date],"")</f>
        <v>45550</v>
      </c>
      <c r="Z392">
        <f>_xlfn.XLOOKUP(H392,tblDepartment[Department],tblDepartment[Annual_Budget_INR],"")</f>
        <v>22000000</v>
      </c>
      <c r="AA392" t="str">
        <f>_xlfn.XLOOKUP(H392,tblDepartment[Department],tblDepartment[Monthly_Target],"")</f>
        <v>2500 Qualified Leads</v>
      </c>
      <c r="AB392">
        <f>_xlfn.XLOOKUP(H392,tblDepartment[Department],tblDepartment[Average_Salary_INR],"")</f>
        <v>590000</v>
      </c>
      <c r="AC392" t="str">
        <f>_xlfn.XLOOKUP(H392,tblDepartment[Department],tblDepartment[Priority_Level],"")</f>
        <v>Medium</v>
      </c>
      <c r="AD392" t="str">
        <f>_xlfn.XLOOKUP(H392,tblDepartment[Department],tblDepartment[Key_KPI],"")</f>
        <v>Lead Generation</v>
      </c>
      <c r="AE392">
        <f>_xlfn.XLOOKUP(tblMaster[[#This Row],[Shift]],tblShift[Shift_Name],tblShift[Login_Time],"")</f>
        <v>0.375</v>
      </c>
      <c r="AF392">
        <f>_xlfn.XLOOKUP(tblMaster[[#This Row],[Shift]],tblShift[Shift_Name],tblShift[Logout_Time]," ")</f>
        <v>0.75</v>
      </c>
      <c r="AG392">
        <f>_xlfn.XLOOKUP(tblMaster[[#This Row],[Shift]],tblShift[Shift_Name],tblShift[Standard_Working_Hours],"")</f>
        <v>8</v>
      </c>
      <c r="AH392" t="str">
        <f>_xlfn.XLOOKUP(tblMaster[[#This Row],[Attendance_Date]],tblHoliday[Holiday_Date],tblHoliday[Holiday_Name],"Working Day")</f>
        <v>Working Day</v>
      </c>
      <c r="AI392" t="str">
        <f>_xlfn.XLOOKUP(tblMaster[[#This Row],[Attendance_Date]],tblHoliday[Holiday_Date],tblHoliday[Holiday_Type],"Working Day ")</f>
        <v xml:space="preserve">Working Day </v>
      </c>
    </row>
    <row r="393" spans="1:35" x14ac:dyDescent="0.3">
      <c r="A393" t="s">
        <v>582</v>
      </c>
      <c r="B393" s="3">
        <v>45779</v>
      </c>
      <c r="C393" t="s">
        <v>57</v>
      </c>
      <c r="D393" t="s">
        <v>24</v>
      </c>
      <c r="E393" t="s">
        <v>119</v>
      </c>
      <c r="F393" t="s">
        <v>170</v>
      </c>
      <c r="G393" t="s">
        <v>171</v>
      </c>
      <c r="H393" t="s">
        <v>64</v>
      </c>
      <c r="I393" t="s">
        <v>65</v>
      </c>
      <c r="J393" t="s">
        <v>43</v>
      </c>
      <c r="K393" t="s">
        <v>81</v>
      </c>
      <c r="L393" s="2">
        <v>0.91666666666666663</v>
      </c>
      <c r="M393" s="2">
        <v>0.29166666666666669</v>
      </c>
      <c r="N393">
        <v>10</v>
      </c>
      <c r="O393">
        <v>2</v>
      </c>
      <c r="P393" t="s">
        <v>32</v>
      </c>
      <c r="R393">
        <v>5</v>
      </c>
      <c r="S393" t="s">
        <v>67</v>
      </c>
      <c r="T393" t="s">
        <v>68</v>
      </c>
      <c r="U393" t="str">
        <f>_xlfn.XLOOKUP(tblMaster[[#This Row],[Employee_ID]],tblEmployee[Employee_ID],tblEmployee[Work_Mode]," ")</f>
        <v>Remote</v>
      </c>
      <c r="V393" t="s">
        <v>35</v>
      </c>
      <c r="W393">
        <f>_xlfn.XLOOKUP(F393,tblEmployee[Employee_ID],tblEmployee[Age],"Not Found")</f>
        <v>36</v>
      </c>
      <c r="X393" t="str">
        <f>_xlfn.XLOOKUP(F393,tblEmployee[Employee_ID],tblEmployee[Gender],"Not Found")</f>
        <v>Female</v>
      </c>
      <c r="Y393">
        <f>_xlfn.XLOOKUP(F393,tblEmployee[Employee_ID],tblEmployee[Joining_Date],"")</f>
        <v>43539</v>
      </c>
      <c r="Z393">
        <f>_xlfn.XLOOKUP(H393,tblDepartment[Department],tblDepartment[Annual_Budget_INR],"")</f>
        <v>85000000</v>
      </c>
      <c r="AA393" t="str">
        <f>_xlfn.XLOOKUP(H393,tblDepartment[Department],tblDepartment[Monthly_Target],"")</f>
        <v>99.5% System Uptime</v>
      </c>
      <c r="AB393">
        <f>_xlfn.XLOOKUP(H393,tblDepartment[Department],tblDepartment[Average_Salary_INR],"")</f>
        <v>720000</v>
      </c>
      <c r="AC393" t="str">
        <f>_xlfn.XLOOKUP(H393,tblDepartment[Department],tblDepartment[Priority_Level],"")</f>
        <v>High</v>
      </c>
      <c r="AD393" t="str">
        <f>_xlfn.XLOOKUP(H393,tblDepartment[Department],tblDepartment[Key_KPI],"")</f>
        <v>Project Delivery</v>
      </c>
      <c r="AE393">
        <f>_xlfn.XLOOKUP(tblMaster[[#This Row],[Shift]],tblShift[Shift_Name],tblShift[Login_Time],"")</f>
        <v>0.91666666666666663</v>
      </c>
      <c r="AF393">
        <f>_xlfn.XLOOKUP(tblMaster[[#This Row],[Shift]],tblShift[Shift_Name],tblShift[Logout_Time]," ")</f>
        <v>0.29166666666666669</v>
      </c>
      <c r="AG393">
        <f>_xlfn.XLOOKUP(tblMaster[[#This Row],[Shift]],tblShift[Shift_Name],tblShift[Standard_Working_Hours],"")</f>
        <v>8</v>
      </c>
      <c r="AH393" t="str">
        <f>_xlfn.XLOOKUP(tblMaster[[#This Row],[Attendance_Date]],tblHoliday[Holiday_Date],tblHoliday[Holiday_Name],"Working Day")</f>
        <v>Working Day</v>
      </c>
      <c r="AI393" t="str">
        <f>_xlfn.XLOOKUP(tblMaster[[#This Row],[Attendance_Date]],tblHoliday[Holiday_Date],tblHoliday[Holiday_Type],"Working Day ")</f>
        <v xml:space="preserve">Working Day </v>
      </c>
    </row>
    <row r="394" spans="1:35" hidden="1" x14ac:dyDescent="0.3">
      <c r="A394" t="s">
        <v>583</v>
      </c>
      <c r="B394" s="3">
        <v>45664</v>
      </c>
      <c r="C394" t="s">
        <v>49</v>
      </c>
      <c r="D394" t="s">
        <v>50</v>
      </c>
      <c r="E394" t="s">
        <v>87</v>
      </c>
      <c r="F394" t="s">
        <v>77</v>
      </c>
      <c r="G394" t="s">
        <v>78</v>
      </c>
      <c r="H394" t="s">
        <v>79</v>
      </c>
      <c r="I394" t="s">
        <v>80</v>
      </c>
      <c r="J394" t="s">
        <v>30</v>
      </c>
      <c r="K394" t="s">
        <v>44</v>
      </c>
      <c r="L394" s="2">
        <v>0.375</v>
      </c>
      <c r="M394" s="2">
        <v>0.75</v>
      </c>
      <c r="N394">
        <v>8</v>
      </c>
      <c r="O394">
        <v>0</v>
      </c>
      <c r="P394" t="s">
        <v>32</v>
      </c>
      <c r="R394">
        <v>5</v>
      </c>
      <c r="S394" t="s">
        <v>92</v>
      </c>
      <c r="T394" t="s">
        <v>84</v>
      </c>
      <c r="U394" t="s">
        <v>55</v>
      </c>
      <c r="W394">
        <f>_xlfn.XLOOKUP(F394,tblEmployee[Employee_ID],tblEmployee[Age],"Not Found")</f>
        <v>26</v>
      </c>
      <c r="X394" t="str">
        <f>_xlfn.XLOOKUP(F394,tblEmployee[Employee_ID],tblEmployee[Gender],"Not Found")</f>
        <v>Female</v>
      </c>
      <c r="Y394">
        <f>_xlfn.XLOOKUP(F394,tblEmployee[Employee_ID],tblEmployee[Joining_Date],"")</f>
        <v>44696</v>
      </c>
      <c r="Z394">
        <f>_xlfn.XLOOKUP(H394,tblDepartment[Department],tblDepartment[Annual_Budget_INR],"")</f>
        <v>26000000</v>
      </c>
      <c r="AA394" t="str">
        <f>_xlfn.XLOOKUP(H394,tblDepartment[Department],tblDepartment[Monthly_Target],"")</f>
        <v>100% Payroll Accuracy</v>
      </c>
      <c r="AB394">
        <f>_xlfn.XLOOKUP(H394,tblDepartment[Department],tblDepartment[Average_Salary_INR],"")</f>
        <v>640000</v>
      </c>
      <c r="AC394" t="str">
        <f>_xlfn.XLOOKUP(H394,tblDepartment[Department],tblDepartment[Priority_Level],"")</f>
        <v>High</v>
      </c>
      <c r="AD394" t="str">
        <f>_xlfn.XLOOKUP(H394,tblDepartment[Department],tblDepartment[Key_KPI],"")</f>
        <v>Financial Compliance</v>
      </c>
      <c r="AE394">
        <f>_xlfn.XLOOKUP(tblMaster[[#This Row],[Shift]],tblShift[Shift_Name],tblShift[Login_Time],"")</f>
        <v>0.41666666666666669</v>
      </c>
      <c r="AF394">
        <f>_xlfn.XLOOKUP(tblMaster[[#This Row],[Shift]],tblShift[Shift_Name],tblShift[Logout_Time]," ")</f>
        <v>0.79166666666666663</v>
      </c>
      <c r="AG394">
        <f>_xlfn.XLOOKUP(tblMaster[[#This Row],[Shift]],tblShift[Shift_Name],tblShift[Standard_Working_Hours],"")</f>
        <v>8</v>
      </c>
      <c r="AH394" t="str">
        <f>_xlfn.XLOOKUP(tblMaster[[#This Row],[Attendance_Date]],tblHoliday[Holiday_Date],tblHoliday[Holiday_Name],"Working Day")</f>
        <v>Working Day</v>
      </c>
      <c r="AI394" t="str">
        <f>_xlfn.XLOOKUP(tblMaster[[#This Row],[Attendance_Date]],tblHoliday[Holiday_Date],tblHoliday[Holiday_Type],"Working Day ")</f>
        <v xml:space="preserve">Working Day </v>
      </c>
    </row>
    <row r="395" spans="1:35" hidden="1" x14ac:dyDescent="0.3">
      <c r="A395" t="s">
        <v>584</v>
      </c>
      <c r="B395" s="1">
        <v>45721</v>
      </c>
      <c r="C395" t="s">
        <v>71</v>
      </c>
      <c r="D395" t="s">
        <v>50</v>
      </c>
      <c r="E395" t="s">
        <v>51</v>
      </c>
      <c r="F395" t="s">
        <v>151</v>
      </c>
      <c r="G395" t="s">
        <v>152</v>
      </c>
      <c r="H395" t="s">
        <v>98</v>
      </c>
      <c r="I395" t="s">
        <v>99</v>
      </c>
      <c r="J395" t="s">
        <v>30</v>
      </c>
      <c r="K395" t="s">
        <v>31</v>
      </c>
      <c r="P395" t="s">
        <v>135</v>
      </c>
      <c r="S395" t="s">
        <v>67</v>
      </c>
      <c r="T395" t="s">
        <v>101</v>
      </c>
      <c r="U395" t="s">
        <v>85</v>
      </c>
      <c r="W395">
        <f>_xlfn.XLOOKUP(F395,tblEmployee[Employee_ID],tblEmployee[Age],"Not Found")</f>
        <v>38</v>
      </c>
      <c r="X395" t="str">
        <f>_xlfn.XLOOKUP(F395,tblEmployee[Employee_ID],tblEmployee[Gender],"Not Found")</f>
        <v>Female</v>
      </c>
      <c r="Y395">
        <f>_xlfn.XLOOKUP(F395,tblEmployee[Employee_ID],tblEmployee[Joining_Date],"")</f>
        <v>45611</v>
      </c>
      <c r="Z395">
        <f>_xlfn.XLOOKUP(H395,tblDepartment[Department],tblDepartment[Annual_Budget_INR],"")</f>
        <v>22000000</v>
      </c>
      <c r="AA395" t="str">
        <f>_xlfn.XLOOKUP(H395,tblDepartment[Department],tblDepartment[Monthly_Target],"")</f>
        <v>2500 Qualified Leads</v>
      </c>
      <c r="AB395">
        <f>_xlfn.XLOOKUP(H395,tblDepartment[Department],tblDepartment[Average_Salary_INR],"")</f>
        <v>590000</v>
      </c>
      <c r="AC395" t="str">
        <f>_xlfn.XLOOKUP(H395,tblDepartment[Department],tblDepartment[Priority_Level],"")</f>
        <v>Medium</v>
      </c>
      <c r="AD395" t="str">
        <f>_xlfn.XLOOKUP(H395,tblDepartment[Department],tblDepartment[Key_KPI],"")</f>
        <v>Lead Generation</v>
      </c>
      <c r="AE395">
        <f>_xlfn.XLOOKUP(tblMaster[[#This Row],[Shift]],tblShift[Shift_Name],tblShift[Login_Time],"")</f>
        <v>0.25</v>
      </c>
      <c r="AF395">
        <f>_xlfn.XLOOKUP(tblMaster[[#This Row],[Shift]],tblShift[Shift_Name],tblShift[Logout_Time]," ")</f>
        <v>0.625</v>
      </c>
      <c r="AG395">
        <f>_xlfn.XLOOKUP(tblMaster[[#This Row],[Shift]],tblShift[Shift_Name],tblShift[Standard_Working_Hours],"")</f>
        <v>8</v>
      </c>
      <c r="AH395" t="str">
        <f>_xlfn.XLOOKUP(tblMaster[[#This Row],[Attendance_Date]],tblHoliday[Holiday_Date],tblHoliday[Holiday_Name],"Working Day")</f>
        <v>Working Day</v>
      </c>
      <c r="AI395" t="str">
        <f>_xlfn.XLOOKUP(tblMaster[[#This Row],[Attendance_Date]],tblHoliday[Holiday_Date],tblHoliday[Holiday_Type],"Working Day ")</f>
        <v xml:space="preserve">Working Day </v>
      </c>
    </row>
    <row r="396" spans="1:35" hidden="1" x14ac:dyDescent="0.3">
      <c r="A396" t="s">
        <v>585</v>
      </c>
      <c r="B396" s="3">
        <v>45779</v>
      </c>
      <c r="C396" t="s">
        <v>57</v>
      </c>
      <c r="D396" t="s">
        <v>24</v>
      </c>
      <c r="E396" t="s">
        <v>119</v>
      </c>
      <c r="F396" t="s">
        <v>96</v>
      </c>
      <c r="G396" t="s">
        <v>97</v>
      </c>
      <c r="H396" t="s">
        <v>98</v>
      </c>
      <c r="I396" t="s">
        <v>99</v>
      </c>
      <c r="J396" t="s">
        <v>100</v>
      </c>
      <c r="K396" t="s">
        <v>75</v>
      </c>
      <c r="L396" s="2">
        <v>0.375</v>
      </c>
      <c r="M396" s="2">
        <v>0.75</v>
      </c>
      <c r="N396">
        <v>8</v>
      </c>
      <c r="O396">
        <v>0</v>
      </c>
      <c r="P396" t="s">
        <v>32</v>
      </c>
      <c r="R396">
        <v>4</v>
      </c>
      <c r="S396" t="s">
        <v>33</v>
      </c>
      <c r="T396" t="s">
        <v>101</v>
      </c>
      <c r="U396" t="s">
        <v>55</v>
      </c>
      <c r="V396" t="s">
        <v>35</v>
      </c>
      <c r="W396">
        <f>_xlfn.XLOOKUP(F396,tblEmployee[Employee_ID],tblEmployee[Age],"Not Found")</f>
        <v>34</v>
      </c>
      <c r="X396" t="str">
        <f>_xlfn.XLOOKUP(F396,tblEmployee[Employee_ID],tblEmployee[Gender],"Not Found")</f>
        <v>Female</v>
      </c>
      <c r="Y396">
        <f>_xlfn.XLOOKUP(F396,tblEmployee[Employee_ID],tblEmployee[Joining_Date],"")</f>
        <v>45306</v>
      </c>
      <c r="Z396">
        <f>_xlfn.XLOOKUP(H396,tblDepartment[Department],tblDepartment[Annual_Budget_INR],"")</f>
        <v>22000000</v>
      </c>
      <c r="AA396" t="str">
        <f>_xlfn.XLOOKUP(H396,tblDepartment[Department],tblDepartment[Monthly_Target],"")</f>
        <v>2500 Qualified Leads</v>
      </c>
      <c r="AB396">
        <f>_xlfn.XLOOKUP(H396,tblDepartment[Department],tblDepartment[Average_Salary_INR],"")</f>
        <v>590000</v>
      </c>
      <c r="AC396" t="str">
        <f>_xlfn.XLOOKUP(H396,tblDepartment[Department],tblDepartment[Priority_Level],"")</f>
        <v>Medium</v>
      </c>
      <c r="AD396" t="str">
        <f>_xlfn.XLOOKUP(H396,tblDepartment[Department],tblDepartment[Key_KPI],"")</f>
        <v>Lead Generation</v>
      </c>
      <c r="AE396">
        <f>_xlfn.XLOOKUP(tblMaster[[#This Row],[Shift]],tblShift[Shift_Name],tblShift[Login_Time],"")</f>
        <v>0.375</v>
      </c>
      <c r="AF396">
        <f>_xlfn.XLOOKUP(tblMaster[[#This Row],[Shift]],tblShift[Shift_Name],tblShift[Logout_Time]," ")</f>
        <v>0.75</v>
      </c>
      <c r="AG396">
        <f>_xlfn.XLOOKUP(tblMaster[[#This Row],[Shift]],tblShift[Shift_Name],tblShift[Standard_Working_Hours],"")</f>
        <v>8</v>
      </c>
      <c r="AH396" t="str">
        <f>_xlfn.XLOOKUP(tblMaster[[#This Row],[Attendance_Date]],tblHoliday[Holiday_Date],tblHoliday[Holiday_Name],"Working Day")</f>
        <v>Working Day</v>
      </c>
      <c r="AI396" t="str">
        <f>_xlfn.XLOOKUP(tblMaster[[#This Row],[Attendance_Date]],tblHoliday[Holiday_Date],tblHoliday[Holiday_Type],"Working Day ")</f>
        <v xml:space="preserve">Working Day </v>
      </c>
    </row>
    <row r="397" spans="1:35" hidden="1" x14ac:dyDescent="0.3">
      <c r="A397" t="s">
        <v>586</v>
      </c>
      <c r="B397" s="3">
        <v>45704</v>
      </c>
      <c r="C397" t="s">
        <v>95</v>
      </c>
      <c r="D397" t="s">
        <v>50</v>
      </c>
      <c r="E397" t="s">
        <v>103</v>
      </c>
      <c r="F397" t="s">
        <v>228</v>
      </c>
      <c r="G397" t="s">
        <v>229</v>
      </c>
      <c r="H397" t="s">
        <v>79</v>
      </c>
      <c r="I397" t="s">
        <v>80</v>
      </c>
      <c r="J397" t="s">
        <v>43</v>
      </c>
      <c r="K397" t="s">
        <v>75</v>
      </c>
      <c r="L397" s="2">
        <v>0.375</v>
      </c>
      <c r="M397" s="2">
        <v>0.75</v>
      </c>
      <c r="N397">
        <v>8</v>
      </c>
      <c r="O397">
        <v>0</v>
      </c>
      <c r="P397" t="s">
        <v>32</v>
      </c>
      <c r="R397">
        <v>5</v>
      </c>
      <c r="S397" t="s">
        <v>67</v>
      </c>
      <c r="T397" t="s">
        <v>84</v>
      </c>
      <c r="U397" t="s">
        <v>47</v>
      </c>
      <c r="V397" t="s">
        <v>35</v>
      </c>
      <c r="W397">
        <f>_xlfn.XLOOKUP(F397,tblEmployee[Employee_ID],tblEmployee[Age],"Not Found")</f>
        <v>29</v>
      </c>
      <c r="X397" t="str">
        <f>_xlfn.XLOOKUP(F397,tblEmployee[Employee_ID],tblEmployee[Gender],"Not Found")</f>
        <v>Female</v>
      </c>
      <c r="Y397">
        <f>_xlfn.XLOOKUP(F397,tblEmployee[Employee_ID],tblEmployee[Joining_Date],"")</f>
        <v>44607</v>
      </c>
      <c r="Z397">
        <f>_xlfn.XLOOKUP(H397,tblDepartment[Department],tblDepartment[Annual_Budget_INR],"")</f>
        <v>26000000</v>
      </c>
      <c r="AA397" t="str">
        <f>_xlfn.XLOOKUP(H397,tblDepartment[Department],tblDepartment[Monthly_Target],"")</f>
        <v>100% Payroll Accuracy</v>
      </c>
      <c r="AB397">
        <f>_xlfn.XLOOKUP(H397,tblDepartment[Department],tblDepartment[Average_Salary_INR],"")</f>
        <v>640000</v>
      </c>
      <c r="AC397" t="str">
        <f>_xlfn.XLOOKUP(H397,tblDepartment[Department],tblDepartment[Priority_Level],"")</f>
        <v>High</v>
      </c>
      <c r="AD397" t="str">
        <f>_xlfn.XLOOKUP(H397,tblDepartment[Department],tblDepartment[Key_KPI],"")</f>
        <v>Financial Compliance</v>
      </c>
      <c r="AE397">
        <f>_xlfn.XLOOKUP(tblMaster[[#This Row],[Shift]],tblShift[Shift_Name],tblShift[Login_Time],"")</f>
        <v>0.375</v>
      </c>
      <c r="AF397">
        <f>_xlfn.XLOOKUP(tblMaster[[#This Row],[Shift]],tblShift[Shift_Name],tblShift[Logout_Time]," ")</f>
        <v>0.75</v>
      </c>
      <c r="AG397">
        <f>_xlfn.XLOOKUP(tblMaster[[#This Row],[Shift]],tblShift[Shift_Name],tblShift[Standard_Working_Hours],"")</f>
        <v>8</v>
      </c>
      <c r="AH397" t="str">
        <f>_xlfn.XLOOKUP(tblMaster[[#This Row],[Attendance_Date]],tblHoliday[Holiday_Date],tblHoliday[Holiday_Name],"Working Day")</f>
        <v>Working Day</v>
      </c>
      <c r="AI397" t="str">
        <f>_xlfn.XLOOKUP(tblMaster[[#This Row],[Attendance_Date]],tblHoliday[Holiday_Date],tblHoliday[Holiday_Type],"Working Day ")</f>
        <v xml:space="preserve">Working Day </v>
      </c>
    </row>
    <row r="398" spans="1:35" hidden="1" x14ac:dyDescent="0.3">
      <c r="A398" t="s">
        <v>587</v>
      </c>
      <c r="B398" s="3">
        <v>45834</v>
      </c>
      <c r="C398" t="s">
        <v>23</v>
      </c>
      <c r="D398" t="s">
        <v>24</v>
      </c>
      <c r="E398" t="s">
        <v>25</v>
      </c>
      <c r="F398" t="s">
        <v>72</v>
      </c>
      <c r="G398" t="s">
        <v>73</v>
      </c>
      <c r="H398" t="s">
        <v>28</v>
      </c>
      <c r="I398" t="s">
        <v>29</v>
      </c>
      <c r="J398" t="s">
        <v>74</v>
      </c>
      <c r="K398" t="s">
        <v>81</v>
      </c>
      <c r="P398" t="s">
        <v>82</v>
      </c>
      <c r="S398" t="s">
        <v>45</v>
      </c>
      <c r="T398" t="s">
        <v>34</v>
      </c>
      <c r="U398" t="s">
        <v>85</v>
      </c>
      <c r="V398" t="s">
        <v>35</v>
      </c>
      <c r="W398">
        <f>_xlfn.XLOOKUP(F398,tblEmployee[Employee_ID],tblEmployee[Age],"Not Found")</f>
        <v>28</v>
      </c>
      <c r="X398" t="str">
        <f>_xlfn.XLOOKUP(F398,tblEmployee[Employee_ID],tblEmployee[Gender],"Not Found")</f>
        <v>Female</v>
      </c>
      <c r="Y398">
        <f>_xlfn.XLOOKUP(F398,tblEmployee[Employee_ID],tblEmployee[Joining_Date],"")</f>
        <v>43296</v>
      </c>
      <c r="Z398">
        <f>_xlfn.XLOOKUP(H398,tblDepartment[Department],tblDepartment[Annual_Budget_INR],"")</f>
        <v>24000000</v>
      </c>
      <c r="AA398" t="str">
        <f>_xlfn.XLOOKUP(H398,tblDepartment[Department],tblDepartment[Monthly_Target],"")</f>
        <v>90% Customer Satisfaction</v>
      </c>
      <c r="AB398">
        <f>_xlfn.XLOOKUP(H398,tblDepartment[Department],tblDepartment[Average_Salary_INR],"")</f>
        <v>520000</v>
      </c>
      <c r="AC398" t="str">
        <f>_xlfn.XLOOKUP(H398,tblDepartment[Department],tblDepartment[Priority_Level],"")</f>
        <v>High</v>
      </c>
      <c r="AD398" t="str">
        <f>_xlfn.XLOOKUP(H398,tblDepartment[Department],tblDepartment[Key_KPI],"")</f>
        <v>Customer Satisfaction</v>
      </c>
      <c r="AE398">
        <f>_xlfn.XLOOKUP(tblMaster[[#This Row],[Shift]],tblShift[Shift_Name],tblShift[Login_Time],"")</f>
        <v>0.91666666666666663</v>
      </c>
      <c r="AF398">
        <f>_xlfn.XLOOKUP(tblMaster[[#This Row],[Shift]],tblShift[Shift_Name],tblShift[Logout_Time]," ")</f>
        <v>0.29166666666666669</v>
      </c>
      <c r="AG398">
        <f>_xlfn.XLOOKUP(tblMaster[[#This Row],[Shift]],tblShift[Shift_Name],tblShift[Standard_Working_Hours],"")</f>
        <v>8</v>
      </c>
      <c r="AH398" t="str">
        <f>_xlfn.XLOOKUP(tblMaster[[#This Row],[Attendance_Date]],tblHoliday[Holiday_Date],tblHoliday[Holiday_Name],"Working Day")</f>
        <v>Working Day</v>
      </c>
      <c r="AI398" t="str">
        <f>_xlfn.XLOOKUP(tblMaster[[#This Row],[Attendance_Date]],tblHoliday[Holiday_Date],tblHoliday[Holiday_Type],"Working Day ")</f>
        <v xml:space="preserve">Working Day </v>
      </c>
    </row>
    <row r="399" spans="1:35" x14ac:dyDescent="0.3">
      <c r="A399" t="s">
        <v>588</v>
      </c>
      <c r="B399" s="3">
        <v>45714</v>
      </c>
      <c r="C399" t="s">
        <v>95</v>
      </c>
      <c r="D399" t="s">
        <v>50</v>
      </c>
      <c r="E399" t="s">
        <v>51</v>
      </c>
      <c r="F399" t="s">
        <v>127</v>
      </c>
      <c r="G399" t="s">
        <v>128</v>
      </c>
      <c r="H399" t="s">
        <v>90</v>
      </c>
      <c r="I399" t="s">
        <v>91</v>
      </c>
      <c r="J399" t="s">
        <v>66</v>
      </c>
      <c r="K399" t="s">
        <v>81</v>
      </c>
      <c r="L399" s="2">
        <v>0.91666666666666663</v>
      </c>
      <c r="M399" s="2">
        <v>0.29166666666666669</v>
      </c>
      <c r="N399">
        <v>10</v>
      </c>
      <c r="O399">
        <v>2</v>
      </c>
      <c r="P399" t="s">
        <v>32</v>
      </c>
      <c r="R399">
        <v>3</v>
      </c>
      <c r="S399" t="s">
        <v>45</v>
      </c>
      <c r="T399" t="s">
        <v>93</v>
      </c>
      <c r="U399" t="str">
        <f>_xlfn.XLOOKUP(tblMaster[[#This Row],[Employee_ID]],tblEmployee[Employee_ID],tblEmployee[Work_Mode]," ")</f>
        <v>Hybrid</v>
      </c>
      <c r="V399" t="s">
        <v>69</v>
      </c>
      <c r="W399">
        <f>_xlfn.XLOOKUP(F399,tblEmployee[Employee_ID],tblEmployee[Age],"Not Found")</f>
        <v>38</v>
      </c>
      <c r="X399" t="str">
        <f>_xlfn.XLOOKUP(F399,tblEmployee[Employee_ID],tblEmployee[Gender],"Not Found")</f>
        <v>Female</v>
      </c>
      <c r="Y399">
        <f>_xlfn.XLOOKUP(F399,tblEmployee[Employee_ID],tblEmployee[Joining_Date],"")</f>
        <v>43966</v>
      </c>
      <c r="Z399">
        <f>_xlfn.XLOOKUP(H399,tblDepartment[Department],tblDepartment[Annual_Budget_INR],"")</f>
        <v>18000000</v>
      </c>
      <c r="AA399" t="str">
        <f>_xlfn.XLOOKUP(H399,tblDepartment[Department],tblDepartment[Monthly_Target],"")</f>
        <v>&lt;30 Days Hiring Cycle</v>
      </c>
      <c r="AB399">
        <f>_xlfn.XLOOKUP(H399,tblDepartment[Department],tblDepartment[Average_Salary_INR],"")</f>
        <v>560000</v>
      </c>
      <c r="AC399" t="str">
        <f>_xlfn.XLOOKUP(H399,tblDepartment[Department],tblDepartment[Priority_Level],"")</f>
        <v>Medium</v>
      </c>
      <c r="AD399" t="str">
        <f>_xlfn.XLOOKUP(H399,tblDepartment[Department],tblDepartment[Key_KPI],"")</f>
        <v>Hiring &amp; Retention</v>
      </c>
      <c r="AE399">
        <f>_xlfn.XLOOKUP(tblMaster[[#This Row],[Shift]],tblShift[Shift_Name],tblShift[Login_Time],"")</f>
        <v>0.91666666666666663</v>
      </c>
      <c r="AF399">
        <f>_xlfn.XLOOKUP(tblMaster[[#This Row],[Shift]],tblShift[Shift_Name],tblShift[Logout_Time]," ")</f>
        <v>0.29166666666666669</v>
      </c>
      <c r="AG399">
        <f>_xlfn.XLOOKUP(tblMaster[[#This Row],[Shift]],tblShift[Shift_Name],tblShift[Standard_Working_Hours],"")</f>
        <v>8</v>
      </c>
      <c r="AH399" t="str">
        <f>_xlfn.XLOOKUP(tblMaster[[#This Row],[Attendance_Date]],tblHoliday[Holiday_Date],tblHoliday[Holiday_Name],"Working Day")</f>
        <v>Mahashivratri</v>
      </c>
      <c r="AI399" t="str">
        <f>_xlfn.XLOOKUP(tblMaster[[#This Row],[Attendance_Date]],tblHoliday[Holiday_Date],tblHoliday[Holiday_Type],"Working Day ")</f>
        <v>Restricted</v>
      </c>
    </row>
    <row r="400" spans="1:35" hidden="1" x14ac:dyDescent="0.3">
      <c r="A400" t="s">
        <v>589</v>
      </c>
      <c r="B400" s="3">
        <v>45829</v>
      </c>
      <c r="C400" t="s">
        <v>23</v>
      </c>
      <c r="D400" t="s">
        <v>24</v>
      </c>
      <c r="E400" t="s">
        <v>38</v>
      </c>
      <c r="F400" t="s">
        <v>182</v>
      </c>
      <c r="G400" t="s">
        <v>183</v>
      </c>
      <c r="H400" t="s">
        <v>112</v>
      </c>
      <c r="I400" t="s">
        <v>113</v>
      </c>
      <c r="J400" t="s">
        <v>30</v>
      </c>
      <c r="K400" t="s">
        <v>75</v>
      </c>
      <c r="L400" s="2">
        <v>0.39930555555555558</v>
      </c>
      <c r="M400" s="2">
        <v>0.75</v>
      </c>
      <c r="N400">
        <v>8</v>
      </c>
      <c r="O400">
        <v>0</v>
      </c>
      <c r="P400" t="s">
        <v>32</v>
      </c>
      <c r="R400">
        <v>4</v>
      </c>
      <c r="S400" t="s">
        <v>33</v>
      </c>
      <c r="T400" t="s">
        <v>114</v>
      </c>
      <c r="U400" t="s">
        <v>55</v>
      </c>
      <c r="W400">
        <f>_xlfn.XLOOKUP(F400,tblEmployee[Employee_ID],tblEmployee[Age],"Not Found")</f>
        <v>28</v>
      </c>
      <c r="X400" t="str">
        <f>_xlfn.XLOOKUP(F400,tblEmployee[Employee_ID],tblEmployee[Gender],"Not Found")</f>
        <v>Male</v>
      </c>
      <c r="Y400">
        <f>_xlfn.XLOOKUP(F400,tblEmployee[Employee_ID],tblEmployee[Joining_Date],"")</f>
        <v>44211</v>
      </c>
      <c r="Z400">
        <f>_xlfn.XLOOKUP(H400,tblDepartment[Department],tblDepartment[Annual_Budget_INR],"")</f>
        <v>42000000</v>
      </c>
      <c r="AA400" t="str">
        <f>_xlfn.XLOOKUP(H400,tblDepartment[Department],tblDepartment[Monthly_Target],"")</f>
        <v>₹2.5 Cr Monthly Sales</v>
      </c>
      <c r="AB400">
        <f>_xlfn.XLOOKUP(H400,tblDepartment[Department],tblDepartment[Average_Salary_INR],"")</f>
        <v>680000</v>
      </c>
      <c r="AC400" t="str">
        <f>_xlfn.XLOOKUP(H400,tblDepartment[Department],tblDepartment[Priority_Level],"")</f>
        <v>High</v>
      </c>
      <c r="AD400" t="str">
        <f>_xlfn.XLOOKUP(H400,tblDepartment[Department],tblDepartment[Key_KPI],"")</f>
        <v>Revenue Achievement</v>
      </c>
      <c r="AE400">
        <f>_xlfn.XLOOKUP(tblMaster[[#This Row],[Shift]],tblShift[Shift_Name],tblShift[Login_Time],"")</f>
        <v>0.375</v>
      </c>
      <c r="AF400">
        <f>_xlfn.XLOOKUP(tblMaster[[#This Row],[Shift]],tblShift[Shift_Name],tblShift[Logout_Time]," ")</f>
        <v>0.75</v>
      </c>
      <c r="AG400">
        <f>_xlfn.XLOOKUP(tblMaster[[#This Row],[Shift]],tblShift[Shift_Name],tblShift[Standard_Working_Hours],"")</f>
        <v>8</v>
      </c>
      <c r="AH400" t="str">
        <f>_xlfn.XLOOKUP(tblMaster[[#This Row],[Attendance_Date]],tblHoliday[Holiday_Date],tblHoliday[Holiday_Name],"Working Day")</f>
        <v>Working Day</v>
      </c>
      <c r="AI400" t="str">
        <f>_xlfn.XLOOKUP(tblMaster[[#This Row],[Attendance_Date]],tblHoliday[Holiday_Date],tblHoliday[Holiday_Type],"Working Day ")</f>
        <v xml:space="preserve">Working Day </v>
      </c>
    </row>
    <row r="401" spans="1:35" hidden="1" x14ac:dyDescent="0.3">
      <c r="A401" t="s">
        <v>590</v>
      </c>
      <c r="B401" s="3">
        <v>45794</v>
      </c>
      <c r="C401" t="s">
        <v>57</v>
      </c>
      <c r="D401" t="s">
        <v>24</v>
      </c>
      <c r="E401" t="s">
        <v>38</v>
      </c>
      <c r="F401" t="s">
        <v>145</v>
      </c>
      <c r="G401" t="s">
        <v>146</v>
      </c>
      <c r="H401" t="s">
        <v>90</v>
      </c>
      <c r="I401" t="s">
        <v>91</v>
      </c>
      <c r="J401" t="s">
        <v>100</v>
      </c>
      <c r="K401" t="s">
        <v>81</v>
      </c>
      <c r="L401" s="2">
        <v>0.91666666666666663</v>
      </c>
      <c r="M401" s="2">
        <v>0.29166666666666669</v>
      </c>
      <c r="N401">
        <v>9.5</v>
      </c>
      <c r="O401">
        <v>1.5</v>
      </c>
      <c r="P401" t="s">
        <v>32</v>
      </c>
      <c r="R401">
        <v>3</v>
      </c>
      <c r="S401" t="s">
        <v>45</v>
      </c>
      <c r="T401" t="s">
        <v>93</v>
      </c>
      <c r="U401" t="s">
        <v>85</v>
      </c>
      <c r="W401">
        <f>_xlfn.XLOOKUP(F401,tblEmployee[Employee_ID],tblEmployee[Age],"Not Found")</f>
        <v>27</v>
      </c>
      <c r="X401" t="str">
        <f>_xlfn.XLOOKUP(F401,tblEmployee[Employee_ID],tblEmployee[Gender],"Not Found")</f>
        <v>Male</v>
      </c>
      <c r="Y401">
        <f>_xlfn.XLOOKUP(F401,tblEmployee[Employee_ID],tblEmployee[Joining_Date],"")</f>
        <v>44180</v>
      </c>
      <c r="Z401">
        <f>_xlfn.XLOOKUP(H401,tblDepartment[Department],tblDepartment[Annual_Budget_INR],"")</f>
        <v>18000000</v>
      </c>
      <c r="AA401" t="str">
        <f>_xlfn.XLOOKUP(H401,tblDepartment[Department],tblDepartment[Monthly_Target],"")</f>
        <v>&lt;30 Days Hiring Cycle</v>
      </c>
      <c r="AB401">
        <f>_xlfn.XLOOKUP(H401,tblDepartment[Department],tblDepartment[Average_Salary_INR],"")</f>
        <v>560000</v>
      </c>
      <c r="AC401" t="str">
        <f>_xlfn.XLOOKUP(H401,tblDepartment[Department],tblDepartment[Priority_Level],"")</f>
        <v>Medium</v>
      </c>
      <c r="AD401" t="str">
        <f>_xlfn.XLOOKUP(H401,tblDepartment[Department],tblDepartment[Key_KPI],"")</f>
        <v>Hiring &amp; Retention</v>
      </c>
      <c r="AE401">
        <f>_xlfn.XLOOKUP(tblMaster[[#This Row],[Shift]],tblShift[Shift_Name],tblShift[Login_Time],"")</f>
        <v>0.91666666666666663</v>
      </c>
      <c r="AF401">
        <f>_xlfn.XLOOKUP(tblMaster[[#This Row],[Shift]],tblShift[Shift_Name],tblShift[Logout_Time]," ")</f>
        <v>0.29166666666666669</v>
      </c>
      <c r="AG401">
        <f>_xlfn.XLOOKUP(tblMaster[[#This Row],[Shift]],tblShift[Shift_Name],tblShift[Standard_Working_Hours],"")</f>
        <v>8</v>
      </c>
      <c r="AH401" t="str">
        <f>_xlfn.XLOOKUP(tblMaster[[#This Row],[Attendance_Date]],tblHoliday[Holiday_Date],tblHoliday[Holiday_Name],"Working Day")</f>
        <v>Working Day</v>
      </c>
      <c r="AI401" t="str">
        <f>_xlfn.XLOOKUP(tblMaster[[#This Row],[Attendance_Date]],tblHoliday[Holiday_Date],tblHoliday[Holiday_Type],"Working Day ")</f>
        <v xml:space="preserve">Working Day </v>
      </c>
    </row>
    <row r="402" spans="1:35" hidden="1" x14ac:dyDescent="0.3">
      <c r="A402" t="s">
        <v>591</v>
      </c>
      <c r="B402" s="1">
        <v>45728</v>
      </c>
      <c r="C402" t="s">
        <v>71</v>
      </c>
      <c r="D402" t="s">
        <v>50</v>
      </c>
      <c r="E402" t="s">
        <v>51</v>
      </c>
      <c r="F402" t="s">
        <v>62</v>
      </c>
      <c r="G402" t="s">
        <v>63</v>
      </c>
      <c r="H402" t="s">
        <v>64</v>
      </c>
      <c r="I402" t="s">
        <v>65</v>
      </c>
      <c r="J402" t="s">
        <v>66</v>
      </c>
      <c r="K402" t="s">
        <v>44</v>
      </c>
      <c r="L402" s="2">
        <v>0.375</v>
      </c>
      <c r="M402" s="2">
        <v>0.75</v>
      </c>
      <c r="N402">
        <v>8.5</v>
      </c>
      <c r="O402">
        <v>0.5</v>
      </c>
      <c r="P402" t="s">
        <v>32</v>
      </c>
      <c r="R402">
        <v>3</v>
      </c>
      <c r="S402" t="s">
        <v>33</v>
      </c>
      <c r="T402" t="s">
        <v>68</v>
      </c>
      <c r="U402" t="s">
        <v>85</v>
      </c>
      <c r="V402" t="s">
        <v>69</v>
      </c>
      <c r="W402">
        <f>_xlfn.XLOOKUP(F402,tblEmployee[Employee_ID],tblEmployee[Age],"Not Found")</f>
        <v>23</v>
      </c>
      <c r="X402" t="str">
        <f>_xlfn.XLOOKUP(F402,tblEmployee[Employee_ID],tblEmployee[Gender],"Not Found")</f>
        <v>Male</v>
      </c>
      <c r="Y402">
        <f>_xlfn.XLOOKUP(F402,tblEmployee[Employee_ID],tblEmployee[Joining_Date],"")</f>
        <v>43511</v>
      </c>
      <c r="Z402">
        <f>_xlfn.XLOOKUP(H402,tblDepartment[Department],tblDepartment[Annual_Budget_INR],"")</f>
        <v>85000000</v>
      </c>
      <c r="AA402" t="str">
        <f>_xlfn.XLOOKUP(H402,tblDepartment[Department],tblDepartment[Monthly_Target],"")</f>
        <v>99.5% System Uptime</v>
      </c>
      <c r="AB402">
        <f>_xlfn.XLOOKUP(H402,tblDepartment[Department],tblDepartment[Average_Salary_INR],"")</f>
        <v>720000</v>
      </c>
      <c r="AC402" t="str">
        <f>_xlfn.XLOOKUP(H402,tblDepartment[Department],tblDepartment[Priority_Level],"")</f>
        <v>High</v>
      </c>
      <c r="AD402" t="str">
        <f>_xlfn.XLOOKUP(H402,tblDepartment[Department],tblDepartment[Key_KPI],"")</f>
        <v>Project Delivery</v>
      </c>
      <c r="AE402">
        <f>_xlfn.XLOOKUP(tblMaster[[#This Row],[Shift]],tblShift[Shift_Name],tblShift[Login_Time],"")</f>
        <v>0.41666666666666669</v>
      </c>
      <c r="AF402">
        <f>_xlfn.XLOOKUP(tblMaster[[#This Row],[Shift]],tblShift[Shift_Name],tblShift[Logout_Time]," ")</f>
        <v>0.79166666666666663</v>
      </c>
      <c r="AG402">
        <f>_xlfn.XLOOKUP(tblMaster[[#This Row],[Shift]],tblShift[Shift_Name],tblShift[Standard_Working_Hours],"")</f>
        <v>8</v>
      </c>
      <c r="AH402" t="str">
        <f>_xlfn.XLOOKUP(tblMaster[[#This Row],[Attendance_Date]],tblHoliday[Holiday_Date],tblHoliday[Holiday_Name],"Working Day")</f>
        <v>Working Day</v>
      </c>
      <c r="AI402" t="str">
        <f>_xlfn.XLOOKUP(tblMaster[[#This Row],[Attendance_Date]],tblHoliday[Holiday_Date],tblHoliday[Holiday_Type],"Working Day ")</f>
        <v xml:space="preserve">Working Day </v>
      </c>
    </row>
    <row r="403" spans="1:35" hidden="1" x14ac:dyDescent="0.3">
      <c r="A403" t="s">
        <v>592</v>
      </c>
      <c r="B403" s="3">
        <v>45695</v>
      </c>
      <c r="C403" t="s">
        <v>95</v>
      </c>
      <c r="D403" t="s">
        <v>50</v>
      </c>
      <c r="E403" t="s">
        <v>119</v>
      </c>
      <c r="F403" t="s">
        <v>120</v>
      </c>
      <c r="G403" t="s">
        <v>121</v>
      </c>
      <c r="H403" t="s">
        <v>41</v>
      </c>
      <c r="I403" t="s">
        <v>42</v>
      </c>
      <c r="J403" t="s">
        <v>74</v>
      </c>
      <c r="K403" t="s">
        <v>54</v>
      </c>
      <c r="L403" s="2">
        <v>0.375</v>
      </c>
      <c r="M403" s="2">
        <v>0.75</v>
      </c>
      <c r="N403">
        <v>8</v>
      </c>
      <c r="O403">
        <v>0</v>
      </c>
      <c r="P403" t="s">
        <v>32</v>
      </c>
      <c r="R403">
        <v>4</v>
      </c>
      <c r="S403" t="s">
        <v>92</v>
      </c>
      <c r="T403" t="s">
        <v>46</v>
      </c>
      <c r="U403" t="s">
        <v>47</v>
      </c>
      <c r="V403" t="s">
        <v>35</v>
      </c>
      <c r="W403">
        <f>_xlfn.XLOOKUP(F403,tblEmployee[Employee_ID],tblEmployee[Age],"Not Found")</f>
        <v>34</v>
      </c>
      <c r="X403" t="str">
        <f>_xlfn.XLOOKUP(F403,tblEmployee[Employee_ID],tblEmployee[Gender],"Not Found")</f>
        <v>Female</v>
      </c>
      <c r="Y403">
        <f>_xlfn.XLOOKUP(F403,tblEmployee[Employee_ID],tblEmployee[Joining_Date],"")</f>
        <v>44941</v>
      </c>
      <c r="Z403">
        <f>_xlfn.XLOOKUP(H403,tblDepartment[Department],tblDepartment[Annual_Budget_INR],"")</f>
        <v>34000000</v>
      </c>
      <c r="AA403" t="str">
        <f>_xlfn.XLOOKUP(H403,tblDepartment[Department],tblDepartment[Monthly_Target],"")</f>
        <v>95% Process Efficiency</v>
      </c>
      <c r="AB403">
        <f>_xlfn.XLOOKUP(H403,tblDepartment[Department],tblDepartment[Average_Salary_INR],"")</f>
        <v>610000</v>
      </c>
      <c r="AC403" t="str">
        <f>_xlfn.XLOOKUP(H403,tblDepartment[Department],tblDepartment[Priority_Level],"")</f>
        <v>High</v>
      </c>
      <c r="AD403" t="str">
        <f>_xlfn.XLOOKUP(H403,tblDepartment[Department],tblDepartment[Key_KPI],"")</f>
        <v>Operational Efficiency</v>
      </c>
      <c r="AE403">
        <f>_xlfn.XLOOKUP(tblMaster[[#This Row],[Shift]],tblShift[Shift_Name],tblShift[Login_Time],"")</f>
        <v>0.58333333333333337</v>
      </c>
      <c r="AF403">
        <f>_xlfn.XLOOKUP(tblMaster[[#This Row],[Shift]],tblShift[Shift_Name],tblShift[Logout_Time]," ")</f>
        <v>0.95833333333333337</v>
      </c>
      <c r="AG403">
        <f>_xlfn.XLOOKUP(tblMaster[[#This Row],[Shift]],tblShift[Shift_Name],tblShift[Standard_Working_Hours],"")</f>
        <v>8</v>
      </c>
      <c r="AH403" t="str">
        <f>_xlfn.XLOOKUP(tblMaster[[#This Row],[Attendance_Date]],tblHoliday[Holiday_Date],tblHoliday[Holiday_Name],"Working Day")</f>
        <v>Working Day</v>
      </c>
      <c r="AI403" t="str">
        <f>_xlfn.XLOOKUP(tblMaster[[#This Row],[Attendance_Date]],tblHoliday[Holiday_Date],tblHoliday[Holiday_Type],"Working Day ")</f>
        <v xml:space="preserve">Working Day </v>
      </c>
    </row>
    <row r="404" spans="1:35" x14ac:dyDescent="0.3">
      <c r="A404" t="s">
        <v>593</v>
      </c>
      <c r="B404" s="3">
        <v>45788</v>
      </c>
      <c r="C404" t="s">
        <v>57</v>
      </c>
      <c r="D404" t="s">
        <v>24</v>
      </c>
      <c r="E404" t="s">
        <v>103</v>
      </c>
      <c r="F404" t="s">
        <v>39</v>
      </c>
      <c r="G404" t="s">
        <v>40</v>
      </c>
      <c r="H404" t="s">
        <v>41</v>
      </c>
      <c r="I404" t="s">
        <v>42</v>
      </c>
      <c r="J404" t="s">
        <v>43</v>
      </c>
      <c r="K404" t="s">
        <v>54</v>
      </c>
      <c r="L404" s="2">
        <v>0.375</v>
      </c>
      <c r="M404" s="2">
        <v>0.75</v>
      </c>
      <c r="N404">
        <v>8</v>
      </c>
      <c r="O404">
        <v>0</v>
      </c>
      <c r="P404" t="s">
        <v>32</v>
      </c>
      <c r="S404" t="s">
        <v>33</v>
      </c>
      <c r="T404" t="s">
        <v>46</v>
      </c>
      <c r="U404" t="str">
        <f>_xlfn.XLOOKUP(tblMaster[[#This Row],[Employee_ID]],tblEmployee[Employee_ID],tblEmployee[Work_Mode]," ")</f>
        <v>Hybrid</v>
      </c>
      <c r="W404">
        <f>_xlfn.XLOOKUP(F404,tblEmployee[Employee_ID],tblEmployee[Age],"Not Found")</f>
        <v>26</v>
      </c>
      <c r="X404" t="str">
        <f>_xlfn.XLOOKUP(F404,tblEmployee[Employee_ID],tblEmployee[Gender],"Not Found")</f>
        <v>Male</v>
      </c>
      <c r="Y404">
        <f>_xlfn.XLOOKUP(F404,tblEmployee[Employee_ID],tblEmployee[Joining_Date],"")</f>
        <v>45061</v>
      </c>
      <c r="Z404">
        <f>_xlfn.XLOOKUP(H404,tblDepartment[Department],tblDepartment[Annual_Budget_INR],"")</f>
        <v>34000000</v>
      </c>
      <c r="AA404" t="str">
        <f>_xlfn.XLOOKUP(H404,tblDepartment[Department],tblDepartment[Monthly_Target],"")</f>
        <v>95% Process Efficiency</v>
      </c>
      <c r="AB404">
        <f>_xlfn.XLOOKUP(H404,tblDepartment[Department],tblDepartment[Average_Salary_INR],"")</f>
        <v>610000</v>
      </c>
      <c r="AC404" t="str">
        <f>_xlfn.XLOOKUP(H404,tblDepartment[Department],tblDepartment[Priority_Level],"")</f>
        <v>High</v>
      </c>
      <c r="AD404" t="str">
        <f>_xlfn.XLOOKUP(H404,tblDepartment[Department],tblDepartment[Key_KPI],"")</f>
        <v>Operational Efficiency</v>
      </c>
      <c r="AE404">
        <f>_xlfn.XLOOKUP(tblMaster[[#This Row],[Shift]],tblShift[Shift_Name],tblShift[Login_Time],"")</f>
        <v>0.58333333333333337</v>
      </c>
      <c r="AF404">
        <f>_xlfn.XLOOKUP(tblMaster[[#This Row],[Shift]],tblShift[Shift_Name],tblShift[Logout_Time]," ")</f>
        <v>0.95833333333333337</v>
      </c>
      <c r="AG404">
        <f>_xlfn.XLOOKUP(tblMaster[[#This Row],[Shift]],tblShift[Shift_Name],tblShift[Standard_Working_Hours],"")</f>
        <v>8</v>
      </c>
      <c r="AH404" t="str">
        <f>_xlfn.XLOOKUP(tblMaster[[#This Row],[Attendance_Date]],tblHoliday[Holiday_Date],tblHoliday[Holiday_Name],"Working Day")</f>
        <v>Working Day</v>
      </c>
      <c r="AI404" t="str">
        <f>_xlfn.XLOOKUP(tblMaster[[#This Row],[Attendance_Date]],tblHoliday[Holiday_Date],tblHoliday[Holiday_Type],"Working Day ")</f>
        <v xml:space="preserve">Working Day </v>
      </c>
    </row>
    <row r="405" spans="1:35" x14ac:dyDescent="0.3">
      <c r="A405" t="s">
        <v>594</v>
      </c>
      <c r="B405" s="3">
        <v>45691</v>
      </c>
      <c r="C405" t="s">
        <v>95</v>
      </c>
      <c r="D405" t="s">
        <v>50</v>
      </c>
      <c r="E405" t="s">
        <v>109</v>
      </c>
      <c r="F405" t="s">
        <v>215</v>
      </c>
      <c r="G405" t="s">
        <v>216</v>
      </c>
      <c r="H405" t="s">
        <v>79</v>
      </c>
      <c r="I405" t="s">
        <v>80</v>
      </c>
      <c r="J405" t="s">
        <v>30</v>
      </c>
      <c r="K405" t="s">
        <v>44</v>
      </c>
      <c r="L405" s="2">
        <v>0.375</v>
      </c>
      <c r="M405" s="2">
        <v>0.75</v>
      </c>
      <c r="N405">
        <v>8</v>
      </c>
      <c r="O405">
        <v>0</v>
      </c>
      <c r="P405" t="s">
        <v>32</v>
      </c>
      <c r="R405">
        <v>5</v>
      </c>
      <c r="S405" t="s">
        <v>67</v>
      </c>
      <c r="T405" t="s">
        <v>84</v>
      </c>
      <c r="U405" t="str">
        <f>_xlfn.XLOOKUP(tblMaster[[#This Row],[Employee_ID]],tblEmployee[Employee_ID],tblEmployee[Work_Mode]," ")</f>
        <v>Office</v>
      </c>
      <c r="V405" t="s">
        <v>69</v>
      </c>
      <c r="W405">
        <f>_xlfn.XLOOKUP(F405,tblEmployee[Employee_ID],tblEmployee[Age],"Not Found")</f>
        <v>25</v>
      </c>
      <c r="X405" t="str">
        <f>_xlfn.XLOOKUP(F405,tblEmployee[Employee_ID],tblEmployee[Gender],"Not Found")</f>
        <v>Female</v>
      </c>
      <c r="Y405">
        <f>_xlfn.XLOOKUP(F405,tblEmployee[Employee_ID],tblEmployee[Joining_Date],"")</f>
        <v>44666</v>
      </c>
      <c r="Z405">
        <f>_xlfn.XLOOKUP(H405,tblDepartment[Department],tblDepartment[Annual_Budget_INR],"")</f>
        <v>26000000</v>
      </c>
      <c r="AA405" t="str">
        <f>_xlfn.XLOOKUP(H405,tblDepartment[Department],tblDepartment[Monthly_Target],"")</f>
        <v>100% Payroll Accuracy</v>
      </c>
      <c r="AB405">
        <f>_xlfn.XLOOKUP(H405,tblDepartment[Department],tblDepartment[Average_Salary_INR],"")</f>
        <v>640000</v>
      </c>
      <c r="AC405" t="str">
        <f>_xlfn.XLOOKUP(H405,tblDepartment[Department],tblDepartment[Priority_Level],"")</f>
        <v>High</v>
      </c>
      <c r="AD405" t="str">
        <f>_xlfn.XLOOKUP(H405,tblDepartment[Department],tblDepartment[Key_KPI],"")</f>
        <v>Financial Compliance</v>
      </c>
      <c r="AE405">
        <f>_xlfn.XLOOKUP(tblMaster[[#This Row],[Shift]],tblShift[Shift_Name],tblShift[Login_Time],"")</f>
        <v>0.41666666666666669</v>
      </c>
      <c r="AF405">
        <f>_xlfn.XLOOKUP(tblMaster[[#This Row],[Shift]],tblShift[Shift_Name],tblShift[Logout_Time]," ")</f>
        <v>0.79166666666666663</v>
      </c>
      <c r="AG405">
        <f>_xlfn.XLOOKUP(tblMaster[[#This Row],[Shift]],tblShift[Shift_Name],tblShift[Standard_Working_Hours],"")</f>
        <v>8</v>
      </c>
      <c r="AH405" t="str">
        <f>_xlfn.XLOOKUP(tblMaster[[#This Row],[Attendance_Date]],tblHoliday[Holiday_Date],tblHoliday[Holiday_Name],"Working Day")</f>
        <v>Working Day</v>
      </c>
      <c r="AI405" t="str">
        <f>_xlfn.XLOOKUP(tblMaster[[#This Row],[Attendance_Date]],tblHoliday[Holiday_Date],tblHoliday[Holiday_Type],"Working Day ")</f>
        <v xml:space="preserve">Working Day </v>
      </c>
    </row>
    <row r="406" spans="1:35" x14ac:dyDescent="0.3">
      <c r="A406" t="s">
        <v>595</v>
      </c>
      <c r="B406" s="3">
        <v>45702</v>
      </c>
      <c r="C406" t="s">
        <v>95</v>
      </c>
      <c r="D406" t="s">
        <v>50</v>
      </c>
      <c r="E406" t="s">
        <v>119</v>
      </c>
      <c r="F406" t="s">
        <v>72</v>
      </c>
      <c r="G406" t="s">
        <v>73</v>
      </c>
      <c r="H406" t="s">
        <v>28</v>
      </c>
      <c r="I406" t="s">
        <v>29</v>
      </c>
      <c r="J406" t="s">
        <v>74</v>
      </c>
      <c r="K406" t="s">
        <v>54</v>
      </c>
      <c r="M406" s="2">
        <v>0.75</v>
      </c>
      <c r="N406">
        <v>8</v>
      </c>
      <c r="O406">
        <v>0</v>
      </c>
      <c r="P406" t="s">
        <v>32</v>
      </c>
      <c r="R406">
        <v>4</v>
      </c>
      <c r="S406" t="s">
        <v>45</v>
      </c>
      <c r="T406" t="s">
        <v>34</v>
      </c>
      <c r="U406" t="str">
        <f>_xlfn.XLOOKUP(tblMaster[[#This Row],[Employee_ID]],tblEmployee[Employee_ID],tblEmployee[Work_Mode]," ")</f>
        <v>Office</v>
      </c>
      <c r="V406" t="s">
        <v>69</v>
      </c>
      <c r="W406">
        <f>_xlfn.XLOOKUP(F406,tblEmployee[Employee_ID],tblEmployee[Age],"Not Found")</f>
        <v>28</v>
      </c>
      <c r="X406" t="str">
        <f>_xlfn.XLOOKUP(F406,tblEmployee[Employee_ID],tblEmployee[Gender],"Not Found")</f>
        <v>Female</v>
      </c>
      <c r="Y406">
        <f>_xlfn.XLOOKUP(F406,tblEmployee[Employee_ID],tblEmployee[Joining_Date],"")</f>
        <v>43296</v>
      </c>
      <c r="Z406">
        <f>_xlfn.XLOOKUP(H406,tblDepartment[Department],tblDepartment[Annual_Budget_INR],"")</f>
        <v>24000000</v>
      </c>
      <c r="AA406" t="str">
        <f>_xlfn.XLOOKUP(H406,tblDepartment[Department],tblDepartment[Monthly_Target],"")</f>
        <v>90% Customer Satisfaction</v>
      </c>
      <c r="AB406">
        <f>_xlfn.XLOOKUP(H406,tblDepartment[Department],tblDepartment[Average_Salary_INR],"")</f>
        <v>520000</v>
      </c>
      <c r="AC406" t="str">
        <f>_xlfn.XLOOKUP(H406,tblDepartment[Department],tblDepartment[Priority_Level],"")</f>
        <v>High</v>
      </c>
      <c r="AD406" t="str">
        <f>_xlfn.XLOOKUP(H406,tblDepartment[Department],tblDepartment[Key_KPI],"")</f>
        <v>Customer Satisfaction</v>
      </c>
      <c r="AE406">
        <f>_xlfn.XLOOKUP(tblMaster[[#This Row],[Shift]],tblShift[Shift_Name],tblShift[Login_Time],"")</f>
        <v>0.58333333333333337</v>
      </c>
      <c r="AF406">
        <f>_xlfn.XLOOKUP(tblMaster[[#This Row],[Shift]],tblShift[Shift_Name],tblShift[Logout_Time]," ")</f>
        <v>0.95833333333333337</v>
      </c>
      <c r="AG406">
        <f>_xlfn.XLOOKUP(tblMaster[[#This Row],[Shift]],tblShift[Shift_Name],tblShift[Standard_Working_Hours],"")</f>
        <v>8</v>
      </c>
      <c r="AH406" t="str">
        <f>_xlfn.XLOOKUP(tblMaster[[#This Row],[Attendance_Date]],tblHoliday[Holiday_Date],tblHoliday[Holiday_Name],"Working Day")</f>
        <v>Working Day</v>
      </c>
      <c r="AI406" t="str">
        <f>_xlfn.XLOOKUP(tblMaster[[#This Row],[Attendance_Date]],tblHoliday[Holiday_Date],tblHoliday[Holiday_Type],"Working Day ")</f>
        <v xml:space="preserve">Working Day </v>
      </c>
    </row>
    <row r="407" spans="1:35" hidden="1" x14ac:dyDescent="0.3">
      <c r="A407" t="s">
        <v>596</v>
      </c>
      <c r="B407" s="1">
        <v>45799</v>
      </c>
      <c r="C407" t="s">
        <v>57</v>
      </c>
      <c r="D407" t="s">
        <v>24</v>
      </c>
      <c r="E407" t="s">
        <v>25</v>
      </c>
      <c r="F407" t="s">
        <v>163</v>
      </c>
      <c r="G407" t="s">
        <v>164</v>
      </c>
      <c r="H407" t="s">
        <v>112</v>
      </c>
      <c r="I407" t="s">
        <v>113</v>
      </c>
      <c r="J407" t="s">
        <v>100</v>
      </c>
      <c r="K407" t="s">
        <v>31</v>
      </c>
      <c r="P407" t="s">
        <v>135</v>
      </c>
      <c r="S407" t="s">
        <v>45</v>
      </c>
      <c r="T407" t="s">
        <v>114</v>
      </c>
      <c r="U407" t="s">
        <v>55</v>
      </c>
      <c r="W407">
        <f>_xlfn.XLOOKUP(F407,tblEmployee[Employee_ID],tblEmployee[Age],"Not Found")</f>
        <v>25</v>
      </c>
      <c r="X407" t="str">
        <f>_xlfn.XLOOKUP(F407,tblEmployee[Employee_ID],tblEmployee[Gender],"Not Found")</f>
        <v>Male</v>
      </c>
      <c r="Y407">
        <f>_xlfn.XLOOKUP(F407,tblEmployee[Employee_ID],tblEmployee[Joining_Date],"")</f>
        <v>44301</v>
      </c>
      <c r="Z407">
        <f>_xlfn.XLOOKUP(H407,tblDepartment[Department],tblDepartment[Annual_Budget_INR],"")</f>
        <v>42000000</v>
      </c>
      <c r="AA407" t="str">
        <f>_xlfn.XLOOKUP(H407,tblDepartment[Department],tblDepartment[Monthly_Target],"")</f>
        <v>₹2.5 Cr Monthly Sales</v>
      </c>
      <c r="AB407">
        <f>_xlfn.XLOOKUP(H407,tblDepartment[Department],tblDepartment[Average_Salary_INR],"")</f>
        <v>680000</v>
      </c>
      <c r="AC407" t="str">
        <f>_xlfn.XLOOKUP(H407,tblDepartment[Department],tblDepartment[Priority_Level],"")</f>
        <v>High</v>
      </c>
      <c r="AD407" t="str">
        <f>_xlfn.XLOOKUP(H407,tblDepartment[Department],tblDepartment[Key_KPI],"")</f>
        <v>Revenue Achievement</v>
      </c>
      <c r="AE407">
        <f>_xlfn.XLOOKUP(tblMaster[[#This Row],[Shift]],tblShift[Shift_Name],tblShift[Login_Time],"")</f>
        <v>0.25</v>
      </c>
      <c r="AF407">
        <f>_xlfn.XLOOKUP(tblMaster[[#This Row],[Shift]],tblShift[Shift_Name],tblShift[Logout_Time]," ")</f>
        <v>0.625</v>
      </c>
      <c r="AG407">
        <f>_xlfn.XLOOKUP(tblMaster[[#This Row],[Shift]],tblShift[Shift_Name],tblShift[Standard_Working_Hours],"")</f>
        <v>8</v>
      </c>
      <c r="AH407" t="str">
        <f>_xlfn.XLOOKUP(tblMaster[[#This Row],[Attendance_Date]],tblHoliday[Holiday_Date],tblHoliday[Holiday_Name],"Working Day")</f>
        <v>Working Day</v>
      </c>
      <c r="AI407" t="str">
        <f>_xlfn.XLOOKUP(tblMaster[[#This Row],[Attendance_Date]],tblHoliday[Holiday_Date],tblHoliday[Holiday_Type],"Working Day ")</f>
        <v xml:space="preserve">Working Day </v>
      </c>
    </row>
    <row r="408" spans="1:35" x14ac:dyDescent="0.3">
      <c r="A408" t="s">
        <v>597</v>
      </c>
      <c r="B408" s="3">
        <v>45696</v>
      </c>
      <c r="C408" t="s">
        <v>95</v>
      </c>
      <c r="D408" t="s">
        <v>50</v>
      </c>
      <c r="E408" t="s">
        <v>38</v>
      </c>
      <c r="F408" t="s">
        <v>207</v>
      </c>
      <c r="G408" t="s">
        <v>208</v>
      </c>
      <c r="H408" t="s">
        <v>64</v>
      </c>
      <c r="I408" t="s">
        <v>65</v>
      </c>
      <c r="J408" t="s">
        <v>30</v>
      </c>
      <c r="K408" t="s">
        <v>54</v>
      </c>
      <c r="L408" s="2">
        <v>0.375</v>
      </c>
      <c r="M408" s="2">
        <v>0.75</v>
      </c>
      <c r="N408">
        <v>8.5</v>
      </c>
      <c r="O408">
        <v>0.5</v>
      </c>
      <c r="P408" t="s">
        <v>32</v>
      </c>
      <c r="R408">
        <v>4</v>
      </c>
      <c r="S408" t="s">
        <v>45</v>
      </c>
      <c r="T408" t="s">
        <v>68</v>
      </c>
      <c r="U408" t="str">
        <f>_xlfn.XLOOKUP(tblMaster[[#This Row],[Employee_ID]],tblEmployee[Employee_ID],tblEmployee[Work_Mode]," ")</f>
        <v>Remote</v>
      </c>
      <c r="V408" t="s">
        <v>35</v>
      </c>
      <c r="W408">
        <f>_xlfn.XLOOKUP(F408,tblEmployee[Employee_ID],tblEmployee[Age],"Not Found")</f>
        <v>33</v>
      </c>
      <c r="X408" t="str">
        <f>_xlfn.XLOOKUP(F408,tblEmployee[Employee_ID],tblEmployee[Gender],"Not Found")</f>
        <v>Male</v>
      </c>
      <c r="Y408">
        <f>_xlfn.XLOOKUP(F408,tblEmployee[Employee_ID],tblEmployee[Joining_Date],"")</f>
        <v>43631</v>
      </c>
      <c r="Z408">
        <f>_xlfn.XLOOKUP(H408,tblDepartment[Department],tblDepartment[Annual_Budget_INR],"")</f>
        <v>85000000</v>
      </c>
      <c r="AA408" t="str">
        <f>_xlfn.XLOOKUP(H408,tblDepartment[Department],tblDepartment[Monthly_Target],"")</f>
        <v>99.5% System Uptime</v>
      </c>
      <c r="AB408">
        <f>_xlfn.XLOOKUP(H408,tblDepartment[Department],tblDepartment[Average_Salary_INR],"")</f>
        <v>720000</v>
      </c>
      <c r="AC408" t="str">
        <f>_xlfn.XLOOKUP(H408,tblDepartment[Department],tblDepartment[Priority_Level],"")</f>
        <v>High</v>
      </c>
      <c r="AD408" t="str">
        <f>_xlfn.XLOOKUP(H408,tblDepartment[Department],tblDepartment[Key_KPI],"")</f>
        <v>Project Delivery</v>
      </c>
      <c r="AE408">
        <f>_xlfn.XLOOKUP(tblMaster[[#This Row],[Shift]],tblShift[Shift_Name],tblShift[Login_Time],"")</f>
        <v>0.58333333333333337</v>
      </c>
      <c r="AF408">
        <f>_xlfn.XLOOKUP(tblMaster[[#This Row],[Shift]],tblShift[Shift_Name],tblShift[Logout_Time]," ")</f>
        <v>0.95833333333333337</v>
      </c>
      <c r="AG408">
        <f>_xlfn.XLOOKUP(tblMaster[[#This Row],[Shift]],tblShift[Shift_Name],tblShift[Standard_Working_Hours],"")</f>
        <v>8</v>
      </c>
      <c r="AH408" t="str">
        <f>_xlfn.XLOOKUP(tblMaster[[#This Row],[Attendance_Date]],tblHoliday[Holiday_Date],tblHoliday[Holiday_Name],"Working Day")</f>
        <v>Working Day</v>
      </c>
      <c r="AI408" t="str">
        <f>_xlfn.XLOOKUP(tblMaster[[#This Row],[Attendance_Date]],tblHoliday[Holiday_Date],tblHoliday[Holiday_Type],"Working Day ")</f>
        <v xml:space="preserve">Working Day </v>
      </c>
    </row>
    <row r="409" spans="1:35" hidden="1" x14ac:dyDescent="0.3">
      <c r="A409" t="s">
        <v>598</v>
      </c>
      <c r="B409" s="3">
        <v>45739</v>
      </c>
      <c r="C409" t="s">
        <v>71</v>
      </c>
      <c r="D409" t="s">
        <v>50</v>
      </c>
      <c r="E409" t="s">
        <v>103</v>
      </c>
      <c r="F409" t="s">
        <v>133</v>
      </c>
      <c r="G409" t="s">
        <v>134</v>
      </c>
      <c r="H409" t="s">
        <v>98</v>
      </c>
      <c r="I409" t="s">
        <v>99</v>
      </c>
      <c r="J409" t="s">
        <v>66</v>
      </c>
      <c r="K409" t="s">
        <v>44</v>
      </c>
      <c r="L409" s="2">
        <v>0.375</v>
      </c>
      <c r="M409" s="2">
        <v>0.75</v>
      </c>
      <c r="N409">
        <v>8</v>
      </c>
      <c r="O409">
        <v>0</v>
      </c>
      <c r="P409" t="s">
        <v>32</v>
      </c>
      <c r="S409" t="s">
        <v>92</v>
      </c>
      <c r="T409" t="s">
        <v>101</v>
      </c>
      <c r="U409" t="s">
        <v>55</v>
      </c>
      <c r="V409" t="s">
        <v>69</v>
      </c>
      <c r="W409">
        <f>_xlfn.XLOOKUP(F409,tblEmployee[Employee_ID],tblEmployee[Age],"Not Found")</f>
        <v>27</v>
      </c>
      <c r="X409" t="str">
        <f>_xlfn.XLOOKUP(F409,tblEmployee[Employee_ID],tblEmployee[Gender],"Not Found")</f>
        <v>Male</v>
      </c>
      <c r="Y409">
        <f>_xlfn.XLOOKUP(F409,tblEmployee[Employee_ID],tblEmployee[Joining_Date],"")</f>
        <v>45458</v>
      </c>
      <c r="Z409">
        <f>_xlfn.XLOOKUP(H409,tblDepartment[Department],tblDepartment[Annual_Budget_INR],"")</f>
        <v>22000000</v>
      </c>
      <c r="AA409" t="str">
        <f>_xlfn.XLOOKUP(H409,tblDepartment[Department],tblDepartment[Monthly_Target],"")</f>
        <v>2500 Qualified Leads</v>
      </c>
      <c r="AB409">
        <f>_xlfn.XLOOKUP(H409,tblDepartment[Department],tblDepartment[Average_Salary_INR],"")</f>
        <v>590000</v>
      </c>
      <c r="AC409" t="str">
        <f>_xlfn.XLOOKUP(H409,tblDepartment[Department],tblDepartment[Priority_Level],"")</f>
        <v>Medium</v>
      </c>
      <c r="AD409" t="str">
        <f>_xlfn.XLOOKUP(H409,tblDepartment[Department],tblDepartment[Key_KPI],"")</f>
        <v>Lead Generation</v>
      </c>
      <c r="AE409">
        <f>_xlfn.XLOOKUP(tblMaster[[#This Row],[Shift]],tblShift[Shift_Name],tblShift[Login_Time],"")</f>
        <v>0.41666666666666669</v>
      </c>
      <c r="AF409">
        <f>_xlfn.XLOOKUP(tblMaster[[#This Row],[Shift]],tblShift[Shift_Name],tblShift[Logout_Time]," ")</f>
        <v>0.79166666666666663</v>
      </c>
      <c r="AG409">
        <f>_xlfn.XLOOKUP(tblMaster[[#This Row],[Shift]],tblShift[Shift_Name],tblShift[Standard_Working_Hours],"")</f>
        <v>8</v>
      </c>
      <c r="AH409" t="str">
        <f>_xlfn.XLOOKUP(tblMaster[[#This Row],[Attendance_Date]],tblHoliday[Holiday_Date],tblHoliday[Holiday_Name],"Working Day")</f>
        <v>Working Day</v>
      </c>
      <c r="AI409" t="str">
        <f>_xlfn.XLOOKUP(tblMaster[[#This Row],[Attendance_Date]],tblHoliday[Holiday_Date],tblHoliday[Holiday_Type],"Working Day ")</f>
        <v xml:space="preserve">Working Day </v>
      </c>
    </row>
    <row r="410" spans="1:35" hidden="1" x14ac:dyDescent="0.3">
      <c r="A410" t="s">
        <v>599</v>
      </c>
      <c r="B410" s="3">
        <v>45828</v>
      </c>
      <c r="C410" t="s">
        <v>23</v>
      </c>
      <c r="D410" t="s">
        <v>24</v>
      </c>
      <c r="E410" t="s">
        <v>119</v>
      </c>
      <c r="F410" t="s">
        <v>195</v>
      </c>
      <c r="G410" t="s">
        <v>196</v>
      </c>
      <c r="H410" t="s">
        <v>98</v>
      </c>
      <c r="I410" t="s">
        <v>99</v>
      </c>
      <c r="J410" t="s">
        <v>43</v>
      </c>
      <c r="K410" t="s">
        <v>81</v>
      </c>
      <c r="L410" s="2">
        <v>0.91666666666666663</v>
      </c>
      <c r="M410" s="2">
        <v>0.29166666666666669</v>
      </c>
      <c r="N410">
        <v>9.5</v>
      </c>
      <c r="O410">
        <v>1.5</v>
      </c>
      <c r="P410" t="s">
        <v>32</v>
      </c>
      <c r="R410">
        <v>3</v>
      </c>
      <c r="S410" t="s">
        <v>92</v>
      </c>
      <c r="T410" t="s">
        <v>101</v>
      </c>
      <c r="U410" t="s">
        <v>55</v>
      </c>
      <c r="V410" t="s">
        <v>35</v>
      </c>
      <c r="W410">
        <f>_xlfn.XLOOKUP(F410,tblEmployee[Employee_ID],tblEmployee[Age],"Not Found")</f>
        <v>24</v>
      </c>
      <c r="X410" t="str">
        <f>_xlfn.XLOOKUP(F410,tblEmployee[Employee_ID],tblEmployee[Gender],"Not Found")</f>
        <v>Male</v>
      </c>
      <c r="Y410">
        <f>_xlfn.XLOOKUP(F410,tblEmployee[Employee_ID],tblEmployee[Joining_Date],"")</f>
        <v>45550</v>
      </c>
      <c r="Z410">
        <f>_xlfn.XLOOKUP(H410,tblDepartment[Department],tblDepartment[Annual_Budget_INR],"")</f>
        <v>22000000</v>
      </c>
      <c r="AA410" t="str">
        <f>_xlfn.XLOOKUP(H410,tblDepartment[Department],tblDepartment[Monthly_Target],"")</f>
        <v>2500 Qualified Leads</v>
      </c>
      <c r="AB410">
        <f>_xlfn.XLOOKUP(H410,tblDepartment[Department],tblDepartment[Average_Salary_INR],"")</f>
        <v>590000</v>
      </c>
      <c r="AC410" t="str">
        <f>_xlfn.XLOOKUP(H410,tblDepartment[Department],tblDepartment[Priority_Level],"")</f>
        <v>Medium</v>
      </c>
      <c r="AD410" t="str">
        <f>_xlfn.XLOOKUP(H410,tblDepartment[Department],tblDepartment[Key_KPI],"")</f>
        <v>Lead Generation</v>
      </c>
      <c r="AE410">
        <f>_xlfn.XLOOKUP(tblMaster[[#This Row],[Shift]],tblShift[Shift_Name],tblShift[Login_Time],"")</f>
        <v>0.91666666666666663</v>
      </c>
      <c r="AF410">
        <f>_xlfn.XLOOKUP(tblMaster[[#This Row],[Shift]],tblShift[Shift_Name],tblShift[Logout_Time]," ")</f>
        <v>0.29166666666666669</v>
      </c>
      <c r="AG410">
        <f>_xlfn.XLOOKUP(tblMaster[[#This Row],[Shift]],tblShift[Shift_Name],tblShift[Standard_Working_Hours],"")</f>
        <v>8</v>
      </c>
      <c r="AH410" t="str">
        <f>_xlfn.XLOOKUP(tblMaster[[#This Row],[Attendance_Date]],tblHoliday[Holiday_Date],tblHoliday[Holiday_Name],"Working Day")</f>
        <v>Working Day</v>
      </c>
      <c r="AI410" t="str">
        <f>_xlfn.XLOOKUP(tblMaster[[#This Row],[Attendance_Date]],tblHoliday[Holiday_Date],tblHoliday[Holiday_Type],"Working Day ")</f>
        <v xml:space="preserve">Working Day </v>
      </c>
    </row>
    <row r="411" spans="1:35" x14ac:dyDescent="0.3">
      <c r="A411" t="s">
        <v>600</v>
      </c>
      <c r="B411" s="3">
        <v>45774</v>
      </c>
      <c r="C411" t="s">
        <v>37</v>
      </c>
      <c r="D411" t="s">
        <v>24</v>
      </c>
      <c r="E411" t="s">
        <v>103</v>
      </c>
      <c r="F411" t="s">
        <v>182</v>
      </c>
      <c r="G411" t="s">
        <v>183</v>
      </c>
      <c r="H411" t="s">
        <v>112</v>
      </c>
      <c r="I411" t="s">
        <v>113</v>
      </c>
      <c r="J411" t="s">
        <v>30</v>
      </c>
      <c r="K411" t="s">
        <v>81</v>
      </c>
      <c r="L411" s="2">
        <v>0.39930555555555558</v>
      </c>
      <c r="M411" s="2">
        <v>0.29166666666666669</v>
      </c>
      <c r="N411">
        <v>9.5</v>
      </c>
      <c r="O411">
        <v>1.5</v>
      </c>
      <c r="P411" t="s">
        <v>32</v>
      </c>
      <c r="R411">
        <v>4</v>
      </c>
      <c r="S411" t="s">
        <v>45</v>
      </c>
      <c r="T411" t="s">
        <v>114</v>
      </c>
      <c r="U411" t="str">
        <f>_xlfn.XLOOKUP(tblMaster[[#This Row],[Employee_ID]],tblEmployee[Employee_ID],tblEmployee[Work_Mode]," ")</f>
        <v>Office</v>
      </c>
      <c r="W411">
        <f>_xlfn.XLOOKUP(F411,tblEmployee[Employee_ID],tblEmployee[Age],"Not Found")</f>
        <v>28</v>
      </c>
      <c r="X411" t="str">
        <f>_xlfn.XLOOKUP(F411,tblEmployee[Employee_ID],tblEmployee[Gender],"Not Found")</f>
        <v>Male</v>
      </c>
      <c r="Y411">
        <f>_xlfn.XLOOKUP(F411,tblEmployee[Employee_ID],tblEmployee[Joining_Date],"")</f>
        <v>44211</v>
      </c>
      <c r="Z411">
        <f>_xlfn.XLOOKUP(H411,tblDepartment[Department],tblDepartment[Annual_Budget_INR],"")</f>
        <v>42000000</v>
      </c>
      <c r="AA411" t="str">
        <f>_xlfn.XLOOKUP(H411,tblDepartment[Department],tblDepartment[Monthly_Target],"")</f>
        <v>₹2.5 Cr Monthly Sales</v>
      </c>
      <c r="AB411">
        <f>_xlfn.XLOOKUP(H411,tblDepartment[Department],tblDepartment[Average_Salary_INR],"")</f>
        <v>680000</v>
      </c>
      <c r="AC411" t="str">
        <f>_xlfn.XLOOKUP(H411,tblDepartment[Department],tblDepartment[Priority_Level],"")</f>
        <v>High</v>
      </c>
      <c r="AD411" t="str">
        <f>_xlfn.XLOOKUP(H411,tblDepartment[Department],tblDepartment[Key_KPI],"")</f>
        <v>Revenue Achievement</v>
      </c>
      <c r="AE411">
        <f>_xlfn.XLOOKUP(tblMaster[[#This Row],[Shift]],tblShift[Shift_Name],tblShift[Login_Time],"")</f>
        <v>0.91666666666666663</v>
      </c>
      <c r="AF411">
        <f>_xlfn.XLOOKUP(tblMaster[[#This Row],[Shift]],tblShift[Shift_Name],tblShift[Logout_Time]," ")</f>
        <v>0.29166666666666669</v>
      </c>
      <c r="AG411">
        <f>_xlfn.XLOOKUP(tblMaster[[#This Row],[Shift]],tblShift[Shift_Name],tblShift[Standard_Working_Hours],"")</f>
        <v>8</v>
      </c>
      <c r="AH411" t="str">
        <f>_xlfn.XLOOKUP(tblMaster[[#This Row],[Attendance_Date]],tblHoliday[Holiday_Date],tblHoliday[Holiday_Name],"Working Day")</f>
        <v>Working Day</v>
      </c>
      <c r="AI411" t="str">
        <f>_xlfn.XLOOKUP(tblMaster[[#This Row],[Attendance_Date]],tblHoliday[Holiday_Date],tblHoliday[Holiday_Type],"Working Day ")</f>
        <v xml:space="preserve">Working Day </v>
      </c>
    </row>
    <row r="412" spans="1:35" hidden="1" x14ac:dyDescent="0.3">
      <c r="A412" t="s">
        <v>601</v>
      </c>
      <c r="B412" s="3">
        <v>45769</v>
      </c>
      <c r="C412" t="s">
        <v>37</v>
      </c>
      <c r="D412" t="s">
        <v>24</v>
      </c>
      <c r="E412" t="s">
        <v>87</v>
      </c>
      <c r="F412" t="s">
        <v>39</v>
      </c>
      <c r="G412" t="s">
        <v>40</v>
      </c>
      <c r="H412" t="s">
        <v>41</v>
      </c>
      <c r="I412" t="s">
        <v>42</v>
      </c>
      <c r="J412" t="s">
        <v>43</v>
      </c>
      <c r="K412" t="s">
        <v>44</v>
      </c>
      <c r="L412" s="2">
        <v>0.375</v>
      </c>
      <c r="M412" s="2">
        <v>0.75</v>
      </c>
      <c r="N412">
        <v>8</v>
      </c>
      <c r="O412">
        <v>0</v>
      </c>
      <c r="P412" t="s">
        <v>32</v>
      </c>
      <c r="R412">
        <v>4</v>
      </c>
      <c r="S412" t="s">
        <v>45</v>
      </c>
      <c r="T412" t="s">
        <v>46</v>
      </c>
      <c r="U412" t="s">
        <v>47</v>
      </c>
      <c r="V412" t="s">
        <v>35</v>
      </c>
      <c r="W412">
        <f>_xlfn.XLOOKUP(F412,tblEmployee[Employee_ID],tblEmployee[Age],"Not Found")</f>
        <v>26</v>
      </c>
      <c r="X412" t="str">
        <f>_xlfn.XLOOKUP(F412,tblEmployee[Employee_ID],tblEmployee[Gender],"Not Found")</f>
        <v>Male</v>
      </c>
      <c r="Y412">
        <f>_xlfn.XLOOKUP(F412,tblEmployee[Employee_ID],tblEmployee[Joining_Date],"")</f>
        <v>45061</v>
      </c>
      <c r="Z412">
        <f>_xlfn.XLOOKUP(H412,tblDepartment[Department],tblDepartment[Annual_Budget_INR],"")</f>
        <v>34000000</v>
      </c>
      <c r="AA412" t="str">
        <f>_xlfn.XLOOKUP(H412,tblDepartment[Department],tblDepartment[Monthly_Target],"")</f>
        <v>95% Process Efficiency</v>
      </c>
      <c r="AB412">
        <f>_xlfn.XLOOKUP(H412,tblDepartment[Department],tblDepartment[Average_Salary_INR],"")</f>
        <v>610000</v>
      </c>
      <c r="AC412" t="str">
        <f>_xlfn.XLOOKUP(H412,tblDepartment[Department],tblDepartment[Priority_Level],"")</f>
        <v>High</v>
      </c>
      <c r="AD412" t="str">
        <f>_xlfn.XLOOKUP(H412,tblDepartment[Department],tblDepartment[Key_KPI],"")</f>
        <v>Operational Efficiency</v>
      </c>
      <c r="AE412">
        <f>_xlfn.XLOOKUP(tblMaster[[#This Row],[Shift]],tblShift[Shift_Name],tblShift[Login_Time],"")</f>
        <v>0.41666666666666669</v>
      </c>
      <c r="AF412">
        <f>_xlfn.XLOOKUP(tblMaster[[#This Row],[Shift]],tblShift[Shift_Name],tblShift[Logout_Time]," ")</f>
        <v>0.79166666666666663</v>
      </c>
      <c r="AG412">
        <f>_xlfn.XLOOKUP(tblMaster[[#This Row],[Shift]],tblShift[Shift_Name],tblShift[Standard_Working_Hours],"")</f>
        <v>8</v>
      </c>
      <c r="AH412" t="str">
        <f>_xlfn.XLOOKUP(tblMaster[[#This Row],[Attendance_Date]],tblHoliday[Holiday_Date],tblHoliday[Holiday_Name],"Working Day")</f>
        <v>Working Day</v>
      </c>
      <c r="AI412" t="str">
        <f>_xlfn.XLOOKUP(tblMaster[[#This Row],[Attendance_Date]],tblHoliday[Holiday_Date],tblHoliday[Holiday_Type],"Working Day ")</f>
        <v xml:space="preserve">Working Day </v>
      </c>
    </row>
    <row r="413" spans="1:35" x14ac:dyDescent="0.3">
      <c r="A413" t="s">
        <v>602</v>
      </c>
      <c r="B413" s="3">
        <v>45666</v>
      </c>
      <c r="C413" t="s">
        <v>49</v>
      </c>
      <c r="D413" t="s">
        <v>50</v>
      </c>
      <c r="E413" t="s">
        <v>25</v>
      </c>
      <c r="F413" t="s">
        <v>204</v>
      </c>
      <c r="G413" t="s">
        <v>205</v>
      </c>
      <c r="H413" t="s">
        <v>90</v>
      </c>
      <c r="I413" t="s">
        <v>91</v>
      </c>
      <c r="J413" t="s">
        <v>74</v>
      </c>
      <c r="K413" t="s">
        <v>81</v>
      </c>
      <c r="L413" s="2">
        <v>0.91666666666666663</v>
      </c>
      <c r="M413" s="2">
        <v>0.29166666666666669</v>
      </c>
      <c r="N413">
        <v>8.5</v>
      </c>
      <c r="O413">
        <v>0.5</v>
      </c>
      <c r="P413" t="s">
        <v>32</v>
      </c>
      <c r="R413">
        <v>5</v>
      </c>
      <c r="S413" t="s">
        <v>92</v>
      </c>
      <c r="T413" t="s">
        <v>93</v>
      </c>
      <c r="U413" t="str">
        <f>_xlfn.XLOOKUP(tblMaster[[#This Row],[Employee_ID]],tblEmployee[Employee_ID],tblEmployee[Work_Mode]," ")</f>
        <v>Remote</v>
      </c>
      <c r="V413" t="s">
        <v>60</v>
      </c>
      <c r="W413">
        <f>_xlfn.XLOOKUP(F413,tblEmployee[Employee_ID],tblEmployee[Age],"Not Found")</f>
        <v>24</v>
      </c>
      <c r="X413" t="str">
        <f>_xlfn.XLOOKUP(F413,tblEmployee[Employee_ID],tblEmployee[Gender],"Not Found")</f>
        <v>Female</v>
      </c>
      <c r="Y413">
        <f>_xlfn.XLOOKUP(F413,tblEmployee[Employee_ID],tblEmployee[Joining_Date],"")</f>
        <v>43905</v>
      </c>
      <c r="Z413">
        <f>_xlfn.XLOOKUP(H413,tblDepartment[Department],tblDepartment[Annual_Budget_INR],"")</f>
        <v>18000000</v>
      </c>
      <c r="AA413" t="str">
        <f>_xlfn.XLOOKUP(H413,tblDepartment[Department],tblDepartment[Monthly_Target],"")</f>
        <v>&lt;30 Days Hiring Cycle</v>
      </c>
      <c r="AB413">
        <f>_xlfn.XLOOKUP(H413,tblDepartment[Department],tblDepartment[Average_Salary_INR],"")</f>
        <v>560000</v>
      </c>
      <c r="AC413" t="str">
        <f>_xlfn.XLOOKUP(H413,tblDepartment[Department],tblDepartment[Priority_Level],"")</f>
        <v>Medium</v>
      </c>
      <c r="AD413" t="str">
        <f>_xlfn.XLOOKUP(H413,tblDepartment[Department],tblDepartment[Key_KPI],"")</f>
        <v>Hiring &amp; Retention</v>
      </c>
      <c r="AE413">
        <f>_xlfn.XLOOKUP(tblMaster[[#This Row],[Shift]],tblShift[Shift_Name],tblShift[Login_Time],"")</f>
        <v>0.91666666666666663</v>
      </c>
      <c r="AF413">
        <f>_xlfn.XLOOKUP(tblMaster[[#This Row],[Shift]],tblShift[Shift_Name],tblShift[Logout_Time]," ")</f>
        <v>0.29166666666666669</v>
      </c>
      <c r="AG413">
        <f>_xlfn.XLOOKUP(tblMaster[[#This Row],[Shift]],tblShift[Shift_Name],tblShift[Standard_Working_Hours],"")</f>
        <v>8</v>
      </c>
      <c r="AH413" t="str">
        <f>_xlfn.XLOOKUP(tblMaster[[#This Row],[Attendance_Date]],tblHoliday[Holiday_Date],tblHoliday[Holiday_Name],"Working Day")</f>
        <v>Working Day</v>
      </c>
      <c r="AI413" t="str">
        <f>_xlfn.XLOOKUP(tblMaster[[#This Row],[Attendance_Date]],tblHoliday[Holiday_Date],tblHoliday[Holiday_Type],"Working Day ")</f>
        <v xml:space="preserve">Working Day </v>
      </c>
    </row>
    <row r="414" spans="1:35" hidden="1" x14ac:dyDescent="0.3">
      <c r="A414" t="s">
        <v>603</v>
      </c>
      <c r="B414" s="3">
        <v>45687</v>
      </c>
      <c r="C414" t="s">
        <v>49</v>
      </c>
      <c r="D414" t="s">
        <v>50</v>
      </c>
      <c r="E414" t="s">
        <v>25</v>
      </c>
      <c r="F414" t="s">
        <v>309</v>
      </c>
      <c r="G414" t="s">
        <v>310</v>
      </c>
      <c r="H414" t="s">
        <v>28</v>
      </c>
      <c r="I414" t="s">
        <v>29</v>
      </c>
      <c r="J414" t="s">
        <v>43</v>
      </c>
      <c r="K414" t="s">
        <v>44</v>
      </c>
      <c r="L414" s="2">
        <v>0.375</v>
      </c>
      <c r="M414" s="2">
        <v>0.75</v>
      </c>
      <c r="N414">
        <v>8</v>
      </c>
      <c r="O414">
        <v>0</v>
      </c>
      <c r="P414" t="s">
        <v>32</v>
      </c>
      <c r="R414">
        <v>5</v>
      </c>
      <c r="S414" t="s">
        <v>45</v>
      </c>
      <c r="T414" t="s">
        <v>34</v>
      </c>
      <c r="U414" t="s">
        <v>85</v>
      </c>
      <c r="V414" t="s">
        <v>60</v>
      </c>
      <c r="W414">
        <f>_xlfn.XLOOKUP(F414,tblEmployee[Employee_ID],tblEmployee[Age],"Not Found")</f>
        <v>39</v>
      </c>
      <c r="X414" t="str">
        <f>_xlfn.XLOOKUP(F414,tblEmployee[Employee_ID],tblEmployee[Gender],"Not Found")</f>
        <v>Male</v>
      </c>
      <c r="Y414">
        <f>_xlfn.XLOOKUP(F414,tblEmployee[Employee_ID],tblEmployee[Joining_Date],"")</f>
        <v>43449</v>
      </c>
      <c r="Z414">
        <f>_xlfn.XLOOKUP(H414,tblDepartment[Department],tblDepartment[Annual_Budget_INR],"")</f>
        <v>24000000</v>
      </c>
      <c r="AA414" t="str">
        <f>_xlfn.XLOOKUP(H414,tblDepartment[Department],tblDepartment[Monthly_Target],"")</f>
        <v>90% Customer Satisfaction</v>
      </c>
      <c r="AB414">
        <f>_xlfn.XLOOKUP(H414,tblDepartment[Department],tblDepartment[Average_Salary_INR],"")</f>
        <v>520000</v>
      </c>
      <c r="AC414" t="str">
        <f>_xlfn.XLOOKUP(H414,tblDepartment[Department],tblDepartment[Priority_Level],"")</f>
        <v>High</v>
      </c>
      <c r="AD414" t="str">
        <f>_xlfn.XLOOKUP(H414,tblDepartment[Department],tblDepartment[Key_KPI],"")</f>
        <v>Customer Satisfaction</v>
      </c>
      <c r="AE414">
        <f>_xlfn.XLOOKUP(tblMaster[[#This Row],[Shift]],tblShift[Shift_Name],tblShift[Login_Time],"")</f>
        <v>0.41666666666666669</v>
      </c>
      <c r="AF414">
        <f>_xlfn.XLOOKUP(tblMaster[[#This Row],[Shift]],tblShift[Shift_Name],tblShift[Logout_Time]," ")</f>
        <v>0.79166666666666663</v>
      </c>
      <c r="AG414">
        <f>_xlfn.XLOOKUP(tblMaster[[#This Row],[Shift]],tblShift[Shift_Name],tblShift[Standard_Working_Hours],"")</f>
        <v>8</v>
      </c>
      <c r="AH414" t="str">
        <f>_xlfn.XLOOKUP(tblMaster[[#This Row],[Attendance_Date]],tblHoliday[Holiday_Date],tblHoliday[Holiday_Name],"Working Day")</f>
        <v>Working Day</v>
      </c>
      <c r="AI414" t="str">
        <f>_xlfn.XLOOKUP(tblMaster[[#This Row],[Attendance_Date]],tblHoliday[Holiday_Date],tblHoliday[Holiday_Type],"Working Day ")</f>
        <v xml:space="preserve">Working Day </v>
      </c>
    </row>
    <row r="415" spans="1:35" hidden="1" x14ac:dyDescent="0.3">
      <c r="A415" t="s">
        <v>604</v>
      </c>
      <c r="B415" s="1">
        <v>45680</v>
      </c>
      <c r="C415" t="s">
        <v>49</v>
      </c>
      <c r="D415" t="s">
        <v>50</v>
      </c>
      <c r="E415" t="s">
        <v>25</v>
      </c>
      <c r="F415" t="s">
        <v>163</v>
      </c>
      <c r="G415" t="s">
        <v>164</v>
      </c>
      <c r="H415" t="s">
        <v>112</v>
      </c>
      <c r="I415" t="s">
        <v>113</v>
      </c>
      <c r="J415" t="s">
        <v>100</v>
      </c>
      <c r="K415" t="s">
        <v>31</v>
      </c>
      <c r="L415" s="2">
        <v>0.39930555555555558</v>
      </c>
      <c r="M415" s="2">
        <v>0.75</v>
      </c>
      <c r="N415">
        <v>8</v>
      </c>
      <c r="O415">
        <v>0</v>
      </c>
      <c r="P415" t="s">
        <v>32</v>
      </c>
      <c r="R415">
        <v>3</v>
      </c>
      <c r="S415" t="s">
        <v>45</v>
      </c>
      <c r="T415" t="s">
        <v>114</v>
      </c>
      <c r="U415" t="s">
        <v>55</v>
      </c>
      <c r="W415">
        <f>_xlfn.XLOOKUP(F415,tblEmployee[Employee_ID],tblEmployee[Age],"Not Found")</f>
        <v>25</v>
      </c>
      <c r="X415" t="str">
        <f>_xlfn.XLOOKUP(F415,tblEmployee[Employee_ID],tblEmployee[Gender],"Not Found")</f>
        <v>Male</v>
      </c>
      <c r="Y415">
        <f>_xlfn.XLOOKUP(F415,tblEmployee[Employee_ID],tblEmployee[Joining_Date],"")</f>
        <v>44301</v>
      </c>
      <c r="Z415">
        <f>_xlfn.XLOOKUP(H415,tblDepartment[Department],tblDepartment[Annual_Budget_INR],"")</f>
        <v>42000000</v>
      </c>
      <c r="AA415" t="str">
        <f>_xlfn.XLOOKUP(H415,tblDepartment[Department],tblDepartment[Monthly_Target],"")</f>
        <v>₹2.5 Cr Monthly Sales</v>
      </c>
      <c r="AB415">
        <f>_xlfn.XLOOKUP(H415,tblDepartment[Department],tblDepartment[Average_Salary_INR],"")</f>
        <v>680000</v>
      </c>
      <c r="AC415" t="str">
        <f>_xlfn.XLOOKUP(H415,tblDepartment[Department],tblDepartment[Priority_Level],"")</f>
        <v>High</v>
      </c>
      <c r="AD415" t="str">
        <f>_xlfn.XLOOKUP(H415,tblDepartment[Department],tblDepartment[Key_KPI],"")</f>
        <v>Revenue Achievement</v>
      </c>
      <c r="AE415">
        <f>_xlfn.XLOOKUP(tblMaster[[#This Row],[Shift]],tblShift[Shift_Name],tblShift[Login_Time],"")</f>
        <v>0.25</v>
      </c>
      <c r="AF415">
        <f>_xlfn.XLOOKUP(tblMaster[[#This Row],[Shift]],tblShift[Shift_Name],tblShift[Logout_Time]," ")</f>
        <v>0.625</v>
      </c>
      <c r="AG415">
        <f>_xlfn.XLOOKUP(tblMaster[[#This Row],[Shift]],tblShift[Shift_Name],tblShift[Standard_Working_Hours],"")</f>
        <v>8</v>
      </c>
      <c r="AH415" t="str">
        <f>_xlfn.XLOOKUP(tblMaster[[#This Row],[Attendance_Date]],tblHoliday[Holiday_Date],tblHoliday[Holiday_Name],"Working Day")</f>
        <v>Working Day</v>
      </c>
      <c r="AI415" t="str">
        <f>_xlfn.XLOOKUP(tblMaster[[#This Row],[Attendance_Date]],tblHoliday[Holiday_Date],tblHoliday[Holiday_Type],"Working Day ")</f>
        <v xml:space="preserve">Working Day </v>
      </c>
    </row>
    <row r="416" spans="1:35" hidden="1" x14ac:dyDescent="0.3">
      <c r="A416" t="s">
        <v>605</v>
      </c>
      <c r="B416" s="1">
        <v>45754</v>
      </c>
      <c r="C416" t="s">
        <v>37</v>
      </c>
      <c r="D416" t="s">
        <v>24</v>
      </c>
      <c r="E416" t="s">
        <v>109</v>
      </c>
      <c r="F416" t="s">
        <v>96</v>
      </c>
      <c r="G416" t="s">
        <v>97</v>
      </c>
      <c r="H416" t="s">
        <v>98</v>
      </c>
      <c r="I416" t="s">
        <v>99</v>
      </c>
      <c r="J416" t="s">
        <v>100</v>
      </c>
      <c r="K416" t="s">
        <v>31</v>
      </c>
      <c r="L416" s="2">
        <v>0.375</v>
      </c>
      <c r="M416" s="2">
        <v>0.75</v>
      </c>
      <c r="N416">
        <v>8</v>
      </c>
      <c r="O416">
        <v>0</v>
      </c>
      <c r="P416" t="s">
        <v>32</v>
      </c>
      <c r="R416">
        <v>3</v>
      </c>
      <c r="S416" t="s">
        <v>33</v>
      </c>
      <c r="T416" t="s">
        <v>101</v>
      </c>
      <c r="U416" t="s">
        <v>47</v>
      </c>
      <c r="V416" t="s">
        <v>60</v>
      </c>
      <c r="W416">
        <f>_xlfn.XLOOKUP(F416,tblEmployee[Employee_ID],tblEmployee[Age],"Not Found")</f>
        <v>34</v>
      </c>
      <c r="X416" t="str">
        <f>_xlfn.XLOOKUP(F416,tblEmployee[Employee_ID],tblEmployee[Gender],"Not Found")</f>
        <v>Female</v>
      </c>
      <c r="Y416">
        <f>_xlfn.XLOOKUP(F416,tblEmployee[Employee_ID],tblEmployee[Joining_Date],"")</f>
        <v>45306</v>
      </c>
      <c r="Z416">
        <f>_xlfn.XLOOKUP(H416,tblDepartment[Department],tblDepartment[Annual_Budget_INR],"")</f>
        <v>22000000</v>
      </c>
      <c r="AA416" t="str">
        <f>_xlfn.XLOOKUP(H416,tblDepartment[Department],tblDepartment[Monthly_Target],"")</f>
        <v>2500 Qualified Leads</v>
      </c>
      <c r="AB416">
        <f>_xlfn.XLOOKUP(H416,tblDepartment[Department],tblDepartment[Average_Salary_INR],"")</f>
        <v>590000</v>
      </c>
      <c r="AC416" t="str">
        <f>_xlfn.XLOOKUP(H416,tblDepartment[Department],tblDepartment[Priority_Level],"")</f>
        <v>Medium</v>
      </c>
      <c r="AD416" t="str">
        <f>_xlfn.XLOOKUP(H416,tblDepartment[Department],tblDepartment[Key_KPI],"")</f>
        <v>Lead Generation</v>
      </c>
      <c r="AE416">
        <f>_xlfn.XLOOKUP(tblMaster[[#This Row],[Shift]],tblShift[Shift_Name],tblShift[Login_Time],"")</f>
        <v>0.25</v>
      </c>
      <c r="AF416">
        <f>_xlfn.XLOOKUP(tblMaster[[#This Row],[Shift]],tblShift[Shift_Name],tblShift[Logout_Time]," ")</f>
        <v>0.625</v>
      </c>
      <c r="AG416">
        <f>_xlfn.XLOOKUP(tblMaster[[#This Row],[Shift]],tblShift[Shift_Name],tblShift[Standard_Working_Hours],"")</f>
        <v>8</v>
      </c>
      <c r="AH416" t="str">
        <f>_xlfn.XLOOKUP(tblMaster[[#This Row],[Attendance_Date]],tblHoliday[Holiday_Date],tblHoliday[Holiday_Name],"Working Day")</f>
        <v>Working Day</v>
      </c>
      <c r="AI416" t="str">
        <f>_xlfn.XLOOKUP(tblMaster[[#This Row],[Attendance_Date]],tblHoliday[Holiday_Date],tblHoliday[Holiday_Type],"Working Day ")</f>
        <v xml:space="preserve">Working Day </v>
      </c>
    </row>
    <row r="417" spans="1:35" hidden="1" x14ac:dyDescent="0.3">
      <c r="A417" t="s">
        <v>606</v>
      </c>
      <c r="B417" s="3">
        <v>45791</v>
      </c>
      <c r="C417" t="s">
        <v>57</v>
      </c>
      <c r="D417" t="s">
        <v>24</v>
      </c>
      <c r="E417" t="s">
        <v>51</v>
      </c>
      <c r="F417" t="s">
        <v>258</v>
      </c>
      <c r="G417" t="s">
        <v>259</v>
      </c>
      <c r="H417" t="s">
        <v>314</v>
      </c>
      <c r="I417" t="s">
        <v>113</v>
      </c>
      <c r="J417" t="s">
        <v>74</v>
      </c>
      <c r="K417" t="s">
        <v>81</v>
      </c>
      <c r="L417" s="2">
        <v>0.3888888888888889</v>
      </c>
      <c r="M417" s="2">
        <v>0.29166666666666669</v>
      </c>
      <c r="N417">
        <v>9.5</v>
      </c>
      <c r="O417">
        <v>1.5</v>
      </c>
      <c r="P417" t="s">
        <v>32</v>
      </c>
      <c r="R417">
        <v>4</v>
      </c>
      <c r="S417" t="s">
        <v>92</v>
      </c>
      <c r="T417" t="s">
        <v>114</v>
      </c>
      <c r="U417" t="s">
        <v>47</v>
      </c>
      <c r="W417">
        <f>_xlfn.XLOOKUP(F417,tblEmployee[Employee_ID],tblEmployee[Age],"Not Found")</f>
        <v>39</v>
      </c>
      <c r="X417" t="str">
        <f>_xlfn.XLOOKUP(F417,tblEmployee[Employee_ID],tblEmployee[Gender],"Not Found")</f>
        <v>Male</v>
      </c>
      <c r="Y417">
        <f>_xlfn.XLOOKUP(F417,tblEmployee[Employee_ID],tblEmployee[Joining_Date],"")</f>
        <v>44362</v>
      </c>
      <c r="Z417">
        <f>_xlfn.XLOOKUP(H417,tblDepartment[Department],tblDepartment[Annual_Budget_INR],"")</f>
        <v>42000000</v>
      </c>
      <c r="AA417" t="str">
        <f>_xlfn.XLOOKUP(H417,tblDepartment[Department],tblDepartment[Monthly_Target],"")</f>
        <v>₹2.5 Cr Monthly Sales</v>
      </c>
      <c r="AB417">
        <f>_xlfn.XLOOKUP(H417,tblDepartment[Department],tblDepartment[Average_Salary_INR],"")</f>
        <v>680000</v>
      </c>
      <c r="AC417" t="str">
        <f>_xlfn.XLOOKUP(H417,tblDepartment[Department],tblDepartment[Priority_Level],"")</f>
        <v>High</v>
      </c>
      <c r="AD417" t="str">
        <f>_xlfn.XLOOKUP(H417,tblDepartment[Department],tblDepartment[Key_KPI],"")</f>
        <v>Revenue Achievement</v>
      </c>
      <c r="AE417">
        <f>_xlfn.XLOOKUP(tblMaster[[#This Row],[Shift]],tblShift[Shift_Name],tblShift[Login_Time],"")</f>
        <v>0.91666666666666663</v>
      </c>
      <c r="AF417">
        <f>_xlfn.XLOOKUP(tblMaster[[#This Row],[Shift]],tblShift[Shift_Name],tblShift[Logout_Time]," ")</f>
        <v>0.29166666666666669</v>
      </c>
      <c r="AG417">
        <f>_xlfn.XLOOKUP(tblMaster[[#This Row],[Shift]],tblShift[Shift_Name],tblShift[Standard_Working_Hours],"")</f>
        <v>8</v>
      </c>
      <c r="AH417" t="str">
        <f>_xlfn.XLOOKUP(tblMaster[[#This Row],[Attendance_Date]],tblHoliday[Holiday_Date],tblHoliday[Holiday_Name],"Working Day")</f>
        <v>Working Day</v>
      </c>
      <c r="AI417" t="str">
        <f>_xlfn.XLOOKUP(tblMaster[[#This Row],[Attendance_Date]],tblHoliday[Holiday_Date],tblHoliday[Holiday_Type],"Working Day ")</f>
        <v xml:space="preserve">Working Day </v>
      </c>
    </row>
    <row r="418" spans="1:35" hidden="1" x14ac:dyDescent="0.3">
      <c r="A418" t="s">
        <v>607</v>
      </c>
      <c r="B418" s="3">
        <v>45674</v>
      </c>
      <c r="C418" t="s">
        <v>49</v>
      </c>
      <c r="D418" t="s">
        <v>50</v>
      </c>
      <c r="E418" t="s">
        <v>119</v>
      </c>
      <c r="F418" t="s">
        <v>309</v>
      </c>
      <c r="G418" t="s">
        <v>310</v>
      </c>
      <c r="H418" t="s">
        <v>28</v>
      </c>
      <c r="I418" t="s">
        <v>29</v>
      </c>
      <c r="J418" t="s">
        <v>43</v>
      </c>
      <c r="K418" t="s">
        <v>75</v>
      </c>
      <c r="L418" s="2">
        <v>0.375</v>
      </c>
      <c r="M418" s="2">
        <v>0.75</v>
      </c>
      <c r="N418">
        <v>8</v>
      </c>
      <c r="O418">
        <v>0</v>
      </c>
      <c r="P418" t="s">
        <v>32</v>
      </c>
      <c r="R418">
        <v>3</v>
      </c>
      <c r="S418" t="s">
        <v>33</v>
      </c>
      <c r="T418" t="s">
        <v>34</v>
      </c>
      <c r="U418" t="s">
        <v>85</v>
      </c>
      <c r="V418" t="s">
        <v>60</v>
      </c>
      <c r="W418">
        <f>_xlfn.XLOOKUP(F418,tblEmployee[Employee_ID],tblEmployee[Age],"Not Found")</f>
        <v>39</v>
      </c>
      <c r="X418" t="str">
        <f>_xlfn.XLOOKUP(F418,tblEmployee[Employee_ID],tblEmployee[Gender],"Not Found")</f>
        <v>Male</v>
      </c>
      <c r="Y418">
        <f>_xlfn.XLOOKUP(F418,tblEmployee[Employee_ID],tblEmployee[Joining_Date],"")</f>
        <v>43449</v>
      </c>
      <c r="Z418">
        <f>_xlfn.XLOOKUP(H418,tblDepartment[Department],tblDepartment[Annual_Budget_INR],"")</f>
        <v>24000000</v>
      </c>
      <c r="AA418" t="str">
        <f>_xlfn.XLOOKUP(H418,tblDepartment[Department],tblDepartment[Monthly_Target],"")</f>
        <v>90% Customer Satisfaction</v>
      </c>
      <c r="AB418">
        <f>_xlfn.XLOOKUP(H418,tblDepartment[Department],tblDepartment[Average_Salary_INR],"")</f>
        <v>520000</v>
      </c>
      <c r="AC418" t="str">
        <f>_xlfn.XLOOKUP(H418,tblDepartment[Department],tblDepartment[Priority_Level],"")</f>
        <v>High</v>
      </c>
      <c r="AD418" t="str">
        <f>_xlfn.XLOOKUP(H418,tblDepartment[Department],tblDepartment[Key_KPI],"")</f>
        <v>Customer Satisfaction</v>
      </c>
      <c r="AE418">
        <f>_xlfn.XLOOKUP(tblMaster[[#This Row],[Shift]],tblShift[Shift_Name],tblShift[Login_Time],"")</f>
        <v>0.375</v>
      </c>
      <c r="AF418">
        <f>_xlfn.XLOOKUP(tblMaster[[#This Row],[Shift]],tblShift[Shift_Name],tblShift[Logout_Time]," ")</f>
        <v>0.75</v>
      </c>
      <c r="AG418">
        <f>_xlfn.XLOOKUP(tblMaster[[#This Row],[Shift]],tblShift[Shift_Name],tblShift[Standard_Working_Hours],"")</f>
        <v>8</v>
      </c>
      <c r="AH418" t="str">
        <f>_xlfn.XLOOKUP(tblMaster[[#This Row],[Attendance_Date]],tblHoliday[Holiday_Date],tblHoliday[Holiday_Name],"Working Day")</f>
        <v>Working Day</v>
      </c>
      <c r="AI418" t="str">
        <f>_xlfn.XLOOKUP(tblMaster[[#This Row],[Attendance_Date]],tblHoliday[Holiday_Date],tblHoliday[Holiday_Type],"Working Day ")</f>
        <v xml:space="preserve">Working Day </v>
      </c>
    </row>
    <row r="419" spans="1:35" hidden="1" x14ac:dyDescent="0.3">
      <c r="A419" t="s">
        <v>608</v>
      </c>
      <c r="B419" s="1">
        <v>45718</v>
      </c>
      <c r="C419" t="s">
        <v>71</v>
      </c>
      <c r="D419" t="s">
        <v>50</v>
      </c>
      <c r="E419" t="s">
        <v>103</v>
      </c>
      <c r="F419" t="s">
        <v>211</v>
      </c>
      <c r="G419" t="s">
        <v>212</v>
      </c>
      <c r="H419" t="s">
        <v>421</v>
      </c>
      <c r="I419" t="s">
        <v>65</v>
      </c>
      <c r="J419" t="s">
        <v>74</v>
      </c>
      <c r="K419" t="s">
        <v>54</v>
      </c>
      <c r="L419" s="2">
        <v>0.375</v>
      </c>
      <c r="M419" s="2">
        <v>0.75</v>
      </c>
      <c r="N419">
        <v>10</v>
      </c>
      <c r="O419">
        <v>2</v>
      </c>
      <c r="P419" t="s">
        <v>32</v>
      </c>
      <c r="R419">
        <v>5</v>
      </c>
      <c r="S419" t="s">
        <v>92</v>
      </c>
      <c r="T419" t="s">
        <v>68</v>
      </c>
      <c r="U419" t="s">
        <v>85</v>
      </c>
      <c r="V419" t="s">
        <v>60</v>
      </c>
      <c r="W419">
        <f>_xlfn.XLOOKUP(F419,tblEmployee[Employee_ID],tblEmployee[Age],"Not Found")</f>
        <v>26</v>
      </c>
      <c r="X419" t="str">
        <f>_xlfn.XLOOKUP(F419,tblEmployee[Employee_ID],tblEmployee[Gender],"Not Found")</f>
        <v>Female</v>
      </c>
      <c r="Y419">
        <f>_xlfn.XLOOKUP(F419,tblEmployee[Employee_ID],tblEmployee[Joining_Date],"")</f>
        <v>43784</v>
      </c>
      <c r="Z419">
        <f>_xlfn.XLOOKUP(H419,tblDepartment[Department],tblDepartment[Annual_Budget_INR],"")</f>
        <v>85000000</v>
      </c>
      <c r="AA419" t="str">
        <f>_xlfn.XLOOKUP(H419,tblDepartment[Department],tblDepartment[Monthly_Target],"")</f>
        <v>99.5% System Uptime</v>
      </c>
      <c r="AB419">
        <f>_xlfn.XLOOKUP(H419,tblDepartment[Department],tblDepartment[Average_Salary_INR],"")</f>
        <v>720000</v>
      </c>
      <c r="AC419" t="str">
        <f>_xlfn.XLOOKUP(H419,tblDepartment[Department],tblDepartment[Priority_Level],"")</f>
        <v>High</v>
      </c>
      <c r="AD419" t="str">
        <f>_xlfn.XLOOKUP(H419,tblDepartment[Department],tblDepartment[Key_KPI],"")</f>
        <v>Project Delivery</v>
      </c>
      <c r="AE419">
        <f>_xlfn.XLOOKUP(tblMaster[[#This Row],[Shift]],tblShift[Shift_Name],tblShift[Login_Time],"")</f>
        <v>0.58333333333333337</v>
      </c>
      <c r="AF419">
        <f>_xlfn.XLOOKUP(tblMaster[[#This Row],[Shift]],tblShift[Shift_Name],tblShift[Logout_Time]," ")</f>
        <v>0.95833333333333337</v>
      </c>
      <c r="AG419">
        <f>_xlfn.XLOOKUP(tblMaster[[#This Row],[Shift]],tblShift[Shift_Name],tblShift[Standard_Working_Hours],"")</f>
        <v>8</v>
      </c>
      <c r="AH419" t="str">
        <f>_xlfn.XLOOKUP(tblMaster[[#This Row],[Attendance_Date]],tblHoliday[Holiday_Date],tblHoliday[Holiday_Name],"Working Day")</f>
        <v>Working Day</v>
      </c>
      <c r="AI419" t="str">
        <f>_xlfn.XLOOKUP(tblMaster[[#This Row],[Attendance_Date]],tblHoliday[Holiday_Date],tblHoliday[Holiday_Type],"Working Day ")</f>
        <v xml:space="preserve">Working Day </v>
      </c>
    </row>
    <row r="420" spans="1:35" hidden="1" x14ac:dyDescent="0.3">
      <c r="A420" t="s">
        <v>609</v>
      </c>
      <c r="B420" s="1">
        <v>45780</v>
      </c>
      <c r="C420" t="s">
        <v>57</v>
      </c>
      <c r="D420" t="s">
        <v>24</v>
      </c>
      <c r="E420" t="s">
        <v>38</v>
      </c>
      <c r="F420" t="s">
        <v>247</v>
      </c>
      <c r="G420" t="s">
        <v>248</v>
      </c>
      <c r="H420" t="s">
        <v>64</v>
      </c>
      <c r="I420" t="s">
        <v>65</v>
      </c>
      <c r="J420" t="s">
        <v>66</v>
      </c>
      <c r="K420" t="s">
        <v>75</v>
      </c>
      <c r="L420" s="2">
        <v>0.375</v>
      </c>
      <c r="M420" s="2">
        <v>0.75</v>
      </c>
      <c r="N420">
        <v>9.5</v>
      </c>
      <c r="O420">
        <v>1.5</v>
      </c>
      <c r="P420" t="s">
        <v>32</v>
      </c>
      <c r="S420" t="s">
        <v>33</v>
      </c>
      <c r="T420" t="s">
        <v>68</v>
      </c>
      <c r="U420" t="s">
        <v>85</v>
      </c>
      <c r="V420" t="s">
        <v>35</v>
      </c>
      <c r="W420">
        <f>_xlfn.XLOOKUP(F420,tblEmployee[Employee_ID],tblEmployee[Age],"Not Found")</f>
        <v>22</v>
      </c>
      <c r="X420" t="str">
        <f>_xlfn.XLOOKUP(F420,tblEmployee[Employee_ID],tblEmployee[Gender],"Not Found")</f>
        <v>Male</v>
      </c>
      <c r="Y420">
        <f>_xlfn.XLOOKUP(F420,tblEmployee[Employee_ID],tblEmployee[Joining_Date],"")</f>
        <v>43480</v>
      </c>
      <c r="Z420">
        <f>_xlfn.XLOOKUP(H420,tblDepartment[Department],tblDepartment[Annual_Budget_INR],"")</f>
        <v>85000000</v>
      </c>
      <c r="AA420" t="str">
        <f>_xlfn.XLOOKUP(H420,tblDepartment[Department],tblDepartment[Monthly_Target],"")</f>
        <v>99.5% System Uptime</v>
      </c>
      <c r="AB420">
        <f>_xlfn.XLOOKUP(H420,tblDepartment[Department],tblDepartment[Average_Salary_INR],"")</f>
        <v>720000</v>
      </c>
      <c r="AC420" t="str">
        <f>_xlfn.XLOOKUP(H420,tblDepartment[Department],tblDepartment[Priority_Level],"")</f>
        <v>High</v>
      </c>
      <c r="AD420" t="str">
        <f>_xlfn.XLOOKUP(H420,tblDepartment[Department],tblDepartment[Key_KPI],"")</f>
        <v>Project Delivery</v>
      </c>
      <c r="AE420">
        <f>_xlfn.XLOOKUP(tblMaster[[#This Row],[Shift]],tblShift[Shift_Name],tblShift[Login_Time],"")</f>
        <v>0.375</v>
      </c>
      <c r="AF420">
        <f>_xlfn.XLOOKUP(tblMaster[[#This Row],[Shift]],tblShift[Shift_Name],tblShift[Logout_Time]," ")</f>
        <v>0.75</v>
      </c>
      <c r="AG420">
        <f>_xlfn.XLOOKUP(tblMaster[[#This Row],[Shift]],tblShift[Shift_Name],tblShift[Standard_Working_Hours],"")</f>
        <v>8</v>
      </c>
      <c r="AH420" t="str">
        <f>_xlfn.XLOOKUP(tblMaster[[#This Row],[Attendance_Date]],tblHoliday[Holiday_Date],tblHoliday[Holiday_Name],"Working Day")</f>
        <v>Working Day</v>
      </c>
      <c r="AI420" t="str">
        <f>_xlfn.XLOOKUP(tblMaster[[#This Row],[Attendance_Date]],tblHoliday[Holiday_Date],tblHoliday[Holiday_Type],"Working Day ")</f>
        <v xml:space="preserve">Working Day </v>
      </c>
    </row>
    <row r="421" spans="1:35" hidden="1" x14ac:dyDescent="0.3">
      <c r="A421" t="s">
        <v>610</v>
      </c>
      <c r="B421" s="1">
        <v>45796</v>
      </c>
      <c r="C421" t="s">
        <v>57</v>
      </c>
      <c r="D421" t="s">
        <v>24</v>
      </c>
      <c r="E421" t="s">
        <v>109</v>
      </c>
      <c r="F421" t="s">
        <v>151</v>
      </c>
      <c r="G421" t="s">
        <v>152</v>
      </c>
      <c r="H421" t="s">
        <v>98</v>
      </c>
      <c r="I421" t="s">
        <v>99</v>
      </c>
      <c r="J421" t="s">
        <v>30</v>
      </c>
      <c r="K421" t="s">
        <v>31</v>
      </c>
      <c r="L421" s="2">
        <v>0.375</v>
      </c>
      <c r="M421" s="2">
        <v>0.75</v>
      </c>
      <c r="N421">
        <v>8</v>
      </c>
      <c r="O421">
        <v>0</v>
      </c>
      <c r="P421" t="s">
        <v>32</v>
      </c>
      <c r="R421">
        <v>5</v>
      </c>
      <c r="S421" t="s">
        <v>45</v>
      </c>
      <c r="T421" t="s">
        <v>101</v>
      </c>
      <c r="U421" t="s">
        <v>85</v>
      </c>
      <c r="V421" t="s">
        <v>60</v>
      </c>
      <c r="W421">
        <f>_xlfn.XLOOKUP(F421,tblEmployee[Employee_ID],tblEmployee[Age],"Not Found")</f>
        <v>38</v>
      </c>
      <c r="X421" t="str">
        <f>_xlfn.XLOOKUP(F421,tblEmployee[Employee_ID],tblEmployee[Gender],"Not Found")</f>
        <v>Female</v>
      </c>
      <c r="Y421">
        <f>_xlfn.XLOOKUP(F421,tblEmployee[Employee_ID],tblEmployee[Joining_Date],"")</f>
        <v>45611</v>
      </c>
      <c r="Z421">
        <f>_xlfn.XLOOKUP(H421,tblDepartment[Department],tblDepartment[Annual_Budget_INR],"")</f>
        <v>22000000</v>
      </c>
      <c r="AA421" t="str">
        <f>_xlfn.XLOOKUP(H421,tblDepartment[Department],tblDepartment[Monthly_Target],"")</f>
        <v>2500 Qualified Leads</v>
      </c>
      <c r="AB421">
        <f>_xlfn.XLOOKUP(H421,tblDepartment[Department],tblDepartment[Average_Salary_INR],"")</f>
        <v>590000</v>
      </c>
      <c r="AC421" t="str">
        <f>_xlfn.XLOOKUP(H421,tblDepartment[Department],tblDepartment[Priority_Level],"")</f>
        <v>Medium</v>
      </c>
      <c r="AD421" t="str">
        <f>_xlfn.XLOOKUP(H421,tblDepartment[Department],tblDepartment[Key_KPI],"")</f>
        <v>Lead Generation</v>
      </c>
      <c r="AE421">
        <f>_xlfn.XLOOKUP(tblMaster[[#This Row],[Shift]],tblShift[Shift_Name],tblShift[Login_Time],"")</f>
        <v>0.25</v>
      </c>
      <c r="AF421">
        <f>_xlfn.XLOOKUP(tblMaster[[#This Row],[Shift]],tblShift[Shift_Name],tblShift[Logout_Time]," ")</f>
        <v>0.625</v>
      </c>
      <c r="AG421">
        <f>_xlfn.XLOOKUP(tblMaster[[#This Row],[Shift]],tblShift[Shift_Name],tblShift[Standard_Working_Hours],"")</f>
        <v>8</v>
      </c>
      <c r="AH421" t="str">
        <f>_xlfn.XLOOKUP(tblMaster[[#This Row],[Attendance_Date]],tblHoliday[Holiday_Date],tblHoliday[Holiday_Name],"Working Day")</f>
        <v>Working Day</v>
      </c>
      <c r="AI421" t="str">
        <f>_xlfn.XLOOKUP(tblMaster[[#This Row],[Attendance_Date]],tblHoliday[Holiday_Date],tblHoliday[Holiday_Type],"Working Day ")</f>
        <v xml:space="preserve">Working Day </v>
      </c>
    </row>
    <row r="422" spans="1:35" hidden="1" x14ac:dyDescent="0.3">
      <c r="A422" t="s">
        <v>611</v>
      </c>
      <c r="B422" s="3">
        <v>45778</v>
      </c>
      <c r="C422" t="s">
        <v>57</v>
      </c>
      <c r="D422" t="s">
        <v>24</v>
      </c>
      <c r="E422" t="s">
        <v>25</v>
      </c>
      <c r="F422" t="s">
        <v>305</v>
      </c>
      <c r="G422" t="s">
        <v>306</v>
      </c>
      <c r="H422" t="s">
        <v>79</v>
      </c>
      <c r="I422" t="s">
        <v>80</v>
      </c>
      <c r="J422" t="s">
        <v>74</v>
      </c>
      <c r="K422" t="s">
        <v>75</v>
      </c>
      <c r="L422" s="2">
        <v>0.375</v>
      </c>
      <c r="M422" s="2">
        <v>0.75</v>
      </c>
      <c r="N422">
        <v>8</v>
      </c>
      <c r="O422">
        <v>0</v>
      </c>
      <c r="P422" t="s">
        <v>32</v>
      </c>
      <c r="S422" t="s">
        <v>92</v>
      </c>
      <c r="T422" t="s">
        <v>84</v>
      </c>
      <c r="U422" t="s">
        <v>55</v>
      </c>
      <c r="V422" t="s">
        <v>35</v>
      </c>
      <c r="W422">
        <f>_xlfn.XLOOKUP(F422,tblEmployee[Employee_ID],tblEmployee[Age],"Not Found")</f>
        <v>36</v>
      </c>
      <c r="X422" t="str">
        <f>_xlfn.XLOOKUP(F422,tblEmployee[Employee_ID],tblEmployee[Gender],"Not Found")</f>
        <v>Female</v>
      </c>
      <c r="Y422">
        <f>_xlfn.XLOOKUP(F422,tblEmployee[Employee_ID],tblEmployee[Joining_Date],"")</f>
        <v>44819</v>
      </c>
      <c r="Z422">
        <f>_xlfn.XLOOKUP(H422,tblDepartment[Department],tblDepartment[Annual_Budget_INR],"")</f>
        <v>26000000</v>
      </c>
      <c r="AA422" t="str">
        <f>_xlfn.XLOOKUP(H422,tblDepartment[Department],tblDepartment[Monthly_Target],"")</f>
        <v>100% Payroll Accuracy</v>
      </c>
      <c r="AB422">
        <f>_xlfn.XLOOKUP(H422,tblDepartment[Department],tblDepartment[Average_Salary_INR],"")</f>
        <v>640000</v>
      </c>
      <c r="AC422" t="str">
        <f>_xlfn.XLOOKUP(H422,tblDepartment[Department],tblDepartment[Priority_Level],"")</f>
        <v>High</v>
      </c>
      <c r="AD422" t="str">
        <f>_xlfn.XLOOKUP(H422,tblDepartment[Department],tblDepartment[Key_KPI],"")</f>
        <v>Financial Compliance</v>
      </c>
      <c r="AE422">
        <f>_xlfn.XLOOKUP(tblMaster[[#This Row],[Shift]],tblShift[Shift_Name],tblShift[Login_Time],"")</f>
        <v>0.375</v>
      </c>
      <c r="AF422">
        <f>_xlfn.XLOOKUP(tblMaster[[#This Row],[Shift]],tblShift[Shift_Name],tblShift[Logout_Time]," ")</f>
        <v>0.75</v>
      </c>
      <c r="AG422">
        <f>_xlfn.XLOOKUP(tblMaster[[#This Row],[Shift]],tblShift[Shift_Name],tblShift[Standard_Working_Hours],"")</f>
        <v>8</v>
      </c>
      <c r="AH422" t="str">
        <f>_xlfn.XLOOKUP(tblMaster[[#This Row],[Attendance_Date]],tblHoliday[Holiday_Date],tblHoliday[Holiday_Name],"Working Day")</f>
        <v>Labour Day</v>
      </c>
      <c r="AI422" t="str">
        <f>_xlfn.XLOOKUP(tblMaster[[#This Row],[Attendance_Date]],tblHoliday[Holiday_Date],tblHoliday[Holiday_Type],"Working Day ")</f>
        <v>National</v>
      </c>
    </row>
    <row r="423" spans="1:35" hidden="1" x14ac:dyDescent="0.3">
      <c r="A423" t="s">
        <v>612</v>
      </c>
      <c r="B423" s="3">
        <v>45752</v>
      </c>
      <c r="C423" t="s">
        <v>37</v>
      </c>
      <c r="D423" t="s">
        <v>24</v>
      </c>
      <c r="E423" t="s">
        <v>38</v>
      </c>
      <c r="F423" t="s">
        <v>104</v>
      </c>
      <c r="G423" t="s">
        <v>105</v>
      </c>
      <c r="H423" t="s">
        <v>28</v>
      </c>
      <c r="I423" t="s">
        <v>29</v>
      </c>
      <c r="J423" t="s">
        <v>30</v>
      </c>
      <c r="K423" t="s">
        <v>81</v>
      </c>
      <c r="L423" s="2">
        <v>0.91666666666666663</v>
      </c>
      <c r="M423" s="2">
        <v>0.29166666666666669</v>
      </c>
      <c r="N423">
        <v>9</v>
      </c>
      <c r="O423">
        <v>1</v>
      </c>
      <c r="P423" t="s">
        <v>32</v>
      </c>
      <c r="R423">
        <v>3</v>
      </c>
      <c r="S423" t="s">
        <v>33</v>
      </c>
      <c r="T423" t="s">
        <v>34</v>
      </c>
      <c r="U423" t="s">
        <v>47</v>
      </c>
      <c r="V423" t="s">
        <v>60</v>
      </c>
      <c r="W423">
        <f>_xlfn.XLOOKUP(F423,tblEmployee[Employee_ID],tblEmployee[Age],"Not Found")</f>
        <v>35</v>
      </c>
      <c r="X423" t="str">
        <f>_xlfn.XLOOKUP(F423,tblEmployee[Employee_ID],tblEmployee[Gender],"Not Found")</f>
        <v>Male</v>
      </c>
      <c r="Y423">
        <f>_xlfn.XLOOKUP(F423,tblEmployee[Employee_ID],tblEmployee[Joining_Date],"")</f>
        <v>43146</v>
      </c>
      <c r="Z423">
        <f>_xlfn.XLOOKUP(H423,tblDepartment[Department],tblDepartment[Annual_Budget_INR],"")</f>
        <v>24000000</v>
      </c>
      <c r="AA423" t="str">
        <f>_xlfn.XLOOKUP(H423,tblDepartment[Department],tblDepartment[Monthly_Target],"")</f>
        <v>90% Customer Satisfaction</v>
      </c>
      <c r="AB423">
        <f>_xlfn.XLOOKUP(H423,tblDepartment[Department],tblDepartment[Average_Salary_INR],"")</f>
        <v>520000</v>
      </c>
      <c r="AC423" t="str">
        <f>_xlfn.XLOOKUP(H423,tblDepartment[Department],tblDepartment[Priority_Level],"")</f>
        <v>High</v>
      </c>
      <c r="AD423" t="str">
        <f>_xlfn.XLOOKUP(H423,tblDepartment[Department],tblDepartment[Key_KPI],"")</f>
        <v>Customer Satisfaction</v>
      </c>
      <c r="AE423">
        <f>_xlfn.XLOOKUP(tblMaster[[#This Row],[Shift]],tblShift[Shift_Name],tblShift[Login_Time],"")</f>
        <v>0.91666666666666663</v>
      </c>
      <c r="AF423">
        <f>_xlfn.XLOOKUP(tblMaster[[#This Row],[Shift]],tblShift[Shift_Name],tblShift[Logout_Time]," ")</f>
        <v>0.29166666666666669</v>
      </c>
      <c r="AG423">
        <f>_xlfn.XLOOKUP(tblMaster[[#This Row],[Shift]],tblShift[Shift_Name],tblShift[Standard_Working_Hours],"")</f>
        <v>8</v>
      </c>
      <c r="AH423" t="str">
        <f>_xlfn.XLOOKUP(tblMaster[[#This Row],[Attendance_Date]],tblHoliday[Holiday_Date],tblHoliday[Holiday_Name],"Working Day")</f>
        <v>Working Day</v>
      </c>
      <c r="AI423" t="str">
        <f>_xlfn.XLOOKUP(tblMaster[[#This Row],[Attendance_Date]],tblHoliday[Holiday_Date],tblHoliday[Holiday_Type],"Working Day ")</f>
        <v xml:space="preserve">Working Day </v>
      </c>
    </row>
    <row r="424" spans="1:35" hidden="1" x14ac:dyDescent="0.3">
      <c r="A424" t="s">
        <v>613</v>
      </c>
      <c r="B424" s="1">
        <v>45817</v>
      </c>
      <c r="C424" t="s">
        <v>23</v>
      </c>
      <c r="D424" t="s">
        <v>24</v>
      </c>
      <c r="E424" t="s">
        <v>109</v>
      </c>
      <c r="F424" t="s">
        <v>185</v>
      </c>
      <c r="G424" t="s">
        <v>186</v>
      </c>
      <c r="H424" t="s">
        <v>79</v>
      </c>
      <c r="I424" t="s">
        <v>80</v>
      </c>
      <c r="J424" t="s">
        <v>66</v>
      </c>
      <c r="K424" t="s">
        <v>31</v>
      </c>
      <c r="L424" s="2">
        <v>0.375</v>
      </c>
      <c r="M424" s="2">
        <v>0.75</v>
      </c>
      <c r="N424">
        <v>8</v>
      </c>
      <c r="O424">
        <v>0</v>
      </c>
      <c r="P424" t="s">
        <v>32</v>
      </c>
      <c r="R424">
        <v>5</v>
      </c>
      <c r="S424" t="s">
        <v>67</v>
      </c>
      <c r="T424" t="s">
        <v>84</v>
      </c>
      <c r="U424" t="s">
        <v>47</v>
      </c>
      <c r="V424" t="s">
        <v>60</v>
      </c>
      <c r="W424">
        <f>_xlfn.XLOOKUP(F424,tblEmployee[Employee_ID],tblEmployee[Age],"Not Found")</f>
        <v>33</v>
      </c>
      <c r="X424" t="str">
        <f>_xlfn.XLOOKUP(F424,tblEmployee[Employee_ID],tblEmployee[Gender],"Not Found")</f>
        <v>Male</v>
      </c>
      <c r="Y424">
        <f>_xlfn.XLOOKUP(F424,tblEmployee[Employee_ID],tblEmployee[Joining_Date],"")</f>
        <v>44910</v>
      </c>
      <c r="Z424">
        <f>_xlfn.XLOOKUP(H424,tblDepartment[Department],tblDepartment[Annual_Budget_INR],"")</f>
        <v>26000000</v>
      </c>
      <c r="AA424" t="str">
        <f>_xlfn.XLOOKUP(H424,tblDepartment[Department],tblDepartment[Monthly_Target],"")</f>
        <v>100% Payroll Accuracy</v>
      </c>
      <c r="AB424">
        <f>_xlfn.XLOOKUP(H424,tblDepartment[Department],tblDepartment[Average_Salary_INR],"")</f>
        <v>640000</v>
      </c>
      <c r="AC424" t="str">
        <f>_xlfn.XLOOKUP(H424,tblDepartment[Department],tblDepartment[Priority_Level],"")</f>
        <v>High</v>
      </c>
      <c r="AD424" t="str">
        <f>_xlfn.XLOOKUP(H424,tblDepartment[Department],tblDepartment[Key_KPI],"")</f>
        <v>Financial Compliance</v>
      </c>
      <c r="AE424">
        <f>_xlfn.XLOOKUP(tblMaster[[#This Row],[Shift]],tblShift[Shift_Name],tblShift[Login_Time],"")</f>
        <v>0.25</v>
      </c>
      <c r="AF424">
        <f>_xlfn.XLOOKUP(tblMaster[[#This Row],[Shift]],tblShift[Shift_Name],tblShift[Logout_Time]," ")</f>
        <v>0.625</v>
      </c>
      <c r="AG424">
        <f>_xlfn.XLOOKUP(tblMaster[[#This Row],[Shift]],tblShift[Shift_Name],tblShift[Standard_Working_Hours],"")</f>
        <v>8</v>
      </c>
      <c r="AH424" t="str">
        <f>_xlfn.XLOOKUP(tblMaster[[#This Row],[Attendance_Date]],tblHoliday[Holiday_Date],tblHoliday[Holiday_Name],"Working Day")</f>
        <v>Working Day</v>
      </c>
      <c r="AI424" t="str">
        <f>_xlfn.XLOOKUP(tblMaster[[#This Row],[Attendance_Date]],tblHoliday[Holiday_Date],tblHoliday[Holiday_Type],"Working Day ")</f>
        <v xml:space="preserve">Working Day </v>
      </c>
    </row>
    <row r="425" spans="1:35" hidden="1" x14ac:dyDescent="0.3">
      <c r="A425" t="s">
        <v>614</v>
      </c>
      <c r="B425" s="3">
        <v>45757</v>
      </c>
      <c r="C425" t="s">
        <v>37</v>
      </c>
      <c r="D425" t="s">
        <v>24</v>
      </c>
      <c r="E425" t="s">
        <v>25</v>
      </c>
      <c r="F425" t="s">
        <v>159</v>
      </c>
      <c r="G425" t="s">
        <v>160</v>
      </c>
      <c r="H425" t="s">
        <v>64</v>
      </c>
      <c r="I425" t="s">
        <v>65</v>
      </c>
      <c r="J425" t="s">
        <v>100</v>
      </c>
      <c r="K425" t="s">
        <v>54</v>
      </c>
      <c r="L425" s="2">
        <v>0.375</v>
      </c>
      <c r="M425" s="2">
        <v>0.75</v>
      </c>
      <c r="N425">
        <v>8.5</v>
      </c>
      <c r="O425">
        <v>0.5</v>
      </c>
      <c r="P425" t="s">
        <v>32</v>
      </c>
      <c r="R425">
        <v>3</v>
      </c>
      <c r="S425" t="s">
        <v>33</v>
      </c>
      <c r="T425" t="s">
        <v>68</v>
      </c>
      <c r="U425" t="s">
        <v>85</v>
      </c>
      <c r="W425">
        <f>_xlfn.XLOOKUP(F425,tblEmployee[Employee_ID],tblEmployee[Age],"Not Found")</f>
        <v>30</v>
      </c>
      <c r="X425" t="str">
        <f>_xlfn.XLOOKUP(F425,tblEmployee[Employee_ID],tblEmployee[Gender],"Not Found")</f>
        <v>Female</v>
      </c>
      <c r="Y425">
        <f>_xlfn.XLOOKUP(F425,tblEmployee[Employee_ID],tblEmployee[Joining_Date],"")</f>
        <v>43723</v>
      </c>
      <c r="Z425">
        <f>_xlfn.XLOOKUP(H425,tblDepartment[Department],tblDepartment[Annual_Budget_INR],"")</f>
        <v>85000000</v>
      </c>
      <c r="AA425" t="str">
        <f>_xlfn.XLOOKUP(H425,tblDepartment[Department],tblDepartment[Monthly_Target],"")</f>
        <v>99.5% System Uptime</v>
      </c>
      <c r="AB425">
        <f>_xlfn.XLOOKUP(H425,tblDepartment[Department],tblDepartment[Average_Salary_INR],"")</f>
        <v>720000</v>
      </c>
      <c r="AC425" t="str">
        <f>_xlfn.XLOOKUP(H425,tblDepartment[Department],tblDepartment[Priority_Level],"")</f>
        <v>High</v>
      </c>
      <c r="AD425" t="str">
        <f>_xlfn.XLOOKUP(H425,tblDepartment[Department],tblDepartment[Key_KPI],"")</f>
        <v>Project Delivery</v>
      </c>
      <c r="AE425">
        <f>_xlfn.XLOOKUP(tblMaster[[#This Row],[Shift]],tblShift[Shift_Name],tblShift[Login_Time],"")</f>
        <v>0.58333333333333337</v>
      </c>
      <c r="AF425">
        <f>_xlfn.XLOOKUP(tblMaster[[#This Row],[Shift]],tblShift[Shift_Name],tblShift[Logout_Time]," ")</f>
        <v>0.95833333333333337</v>
      </c>
      <c r="AG425">
        <f>_xlfn.XLOOKUP(tblMaster[[#This Row],[Shift]],tblShift[Shift_Name],tblShift[Standard_Working_Hours],"")</f>
        <v>8</v>
      </c>
      <c r="AH425" t="str">
        <f>_xlfn.XLOOKUP(tblMaster[[#This Row],[Attendance_Date]],tblHoliday[Holiday_Date],tblHoliday[Holiday_Name],"Working Day")</f>
        <v>Working Day</v>
      </c>
      <c r="AI425" t="str">
        <f>_xlfn.XLOOKUP(tblMaster[[#This Row],[Attendance_Date]],tblHoliday[Holiday_Date],tblHoliday[Holiday_Type],"Working Day ")</f>
        <v xml:space="preserve">Working Day </v>
      </c>
    </row>
    <row r="426" spans="1:35" hidden="1" x14ac:dyDescent="0.3">
      <c r="A426" t="s">
        <v>615</v>
      </c>
      <c r="B426" s="1">
        <v>45772</v>
      </c>
      <c r="C426" t="s">
        <v>37</v>
      </c>
      <c r="D426" t="s">
        <v>24</v>
      </c>
      <c r="E426" t="s">
        <v>119</v>
      </c>
      <c r="F426" t="s">
        <v>159</v>
      </c>
      <c r="G426" t="s">
        <v>160</v>
      </c>
      <c r="H426" t="s">
        <v>64</v>
      </c>
      <c r="I426" t="s">
        <v>65</v>
      </c>
      <c r="J426" t="s">
        <v>100</v>
      </c>
      <c r="K426" t="s">
        <v>44</v>
      </c>
      <c r="L426" s="2">
        <v>0.375</v>
      </c>
      <c r="M426" s="2">
        <v>0.75</v>
      </c>
      <c r="N426">
        <v>9.5</v>
      </c>
      <c r="O426">
        <v>1.5</v>
      </c>
      <c r="P426" t="s">
        <v>32</v>
      </c>
      <c r="R426">
        <v>4</v>
      </c>
      <c r="S426" t="s">
        <v>92</v>
      </c>
      <c r="T426" t="s">
        <v>68</v>
      </c>
      <c r="U426" t="s">
        <v>55</v>
      </c>
      <c r="V426" t="s">
        <v>35</v>
      </c>
      <c r="W426">
        <f>_xlfn.XLOOKUP(F426,tblEmployee[Employee_ID],tblEmployee[Age],"Not Found")</f>
        <v>30</v>
      </c>
      <c r="X426" t="str">
        <f>_xlfn.XLOOKUP(F426,tblEmployee[Employee_ID],tblEmployee[Gender],"Not Found")</f>
        <v>Female</v>
      </c>
      <c r="Y426">
        <f>_xlfn.XLOOKUP(F426,tblEmployee[Employee_ID],tblEmployee[Joining_Date],"")</f>
        <v>43723</v>
      </c>
      <c r="Z426">
        <f>_xlfn.XLOOKUP(H426,tblDepartment[Department],tblDepartment[Annual_Budget_INR],"")</f>
        <v>85000000</v>
      </c>
      <c r="AA426" t="str">
        <f>_xlfn.XLOOKUP(H426,tblDepartment[Department],tblDepartment[Monthly_Target],"")</f>
        <v>99.5% System Uptime</v>
      </c>
      <c r="AB426">
        <f>_xlfn.XLOOKUP(H426,tblDepartment[Department],tblDepartment[Average_Salary_INR],"")</f>
        <v>720000</v>
      </c>
      <c r="AC426" t="str">
        <f>_xlfn.XLOOKUP(H426,tblDepartment[Department],tblDepartment[Priority_Level],"")</f>
        <v>High</v>
      </c>
      <c r="AD426" t="str">
        <f>_xlfn.XLOOKUP(H426,tblDepartment[Department],tblDepartment[Key_KPI],"")</f>
        <v>Project Delivery</v>
      </c>
      <c r="AE426">
        <f>_xlfn.XLOOKUP(tblMaster[[#This Row],[Shift]],tblShift[Shift_Name],tblShift[Login_Time],"")</f>
        <v>0.41666666666666669</v>
      </c>
      <c r="AF426">
        <f>_xlfn.XLOOKUP(tblMaster[[#This Row],[Shift]],tblShift[Shift_Name],tblShift[Logout_Time]," ")</f>
        <v>0.79166666666666663</v>
      </c>
      <c r="AG426">
        <f>_xlfn.XLOOKUP(tblMaster[[#This Row],[Shift]],tblShift[Shift_Name],tblShift[Standard_Working_Hours],"")</f>
        <v>8</v>
      </c>
      <c r="AH426" t="str">
        <f>_xlfn.XLOOKUP(tblMaster[[#This Row],[Attendance_Date]],tblHoliday[Holiday_Date],tblHoliday[Holiday_Name],"Working Day")</f>
        <v>Working Day</v>
      </c>
      <c r="AI426" t="str">
        <f>_xlfn.XLOOKUP(tblMaster[[#This Row],[Attendance_Date]],tblHoliday[Holiday_Date],tblHoliday[Holiday_Type],"Working Day ")</f>
        <v xml:space="preserve">Working Day </v>
      </c>
    </row>
    <row r="427" spans="1:35" hidden="1" x14ac:dyDescent="0.3">
      <c r="A427" t="s">
        <v>616</v>
      </c>
      <c r="B427" s="3">
        <v>45805</v>
      </c>
      <c r="C427" t="s">
        <v>57</v>
      </c>
      <c r="D427" t="s">
        <v>24</v>
      </c>
      <c r="E427" t="s">
        <v>51</v>
      </c>
      <c r="F427" t="s">
        <v>124</v>
      </c>
      <c r="G427" t="s">
        <v>125</v>
      </c>
      <c r="H427" t="s">
        <v>28</v>
      </c>
      <c r="I427" t="s">
        <v>29</v>
      </c>
      <c r="J427" t="s">
        <v>66</v>
      </c>
      <c r="K427" t="s">
        <v>44</v>
      </c>
      <c r="L427" s="2">
        <v>0.375</v>
      </c>
      <c r="M427" s="2">
        <v>0.75</v>
      </c>
      <c r="N427">
        <v>8</v>
      </c>
      <c r="O427">
        <v>0</v>
      </c>
      <c r="P427" t="s">
        <v>32</v>
      </c>
      <c r="R427">
        <v>4</v>
      </c>
      <c r="S427" t="s">
        <v>45</v>
      </c>
      <c r="T427" t="s">
        <v>34</v>
      </c>
      <c r="U427" t="s">
        <v>47</v>
      </c>
      <c r="V427" t="s">
        <v>35</v>
      </c>
      <c r="W427">
        <f>_xlfn.XLOOKUP(F427,tblEmployee[Employee_ID],tblEmployee[Age],"Not Found")</f>
        <v>25</v>
      </c>
      <c r="X427" t="str">
        <f>_xlfn.XLOOKUP(F427,tblEmployee[Employee_ID],tblEmployee[Gender],"Not Found")</f>
        <v>Male</v>
      </c>
      <c r="Y427">
        <f>_xlfn.XLOOKUP(F427,tblEmployee[Employee_ID],tblEmployee[Joining_Date],"")</f>
        <v>43388</v>
      </c>
      <c r="Z427">
        <f>_xlfn.XLOOKUP(H427,tblDepartment[Department],tblDepartment[Annual_Budget_INR],"")</f>
        <v>24000000</v>
      </c>
      <c r="AA427" t="str">
        <f>_xlfn.XLOOKUP(H427,tblDepartment[Department],tblDepartment[Monthly_Target],"")</f>
        <v>90% Customer Satisfaction</v>
      </c>
      <c r="AB427">
        <f>_xlfn.XLOOKUP(H427,tblDepartment[Department],tblDepartment[Average_Salary_INR],"")</f>
        <v>520000</v>
      </c>
      <c r="AC427" t="str">
        <f>_xlfn.XLOOKUP(H427,tblDepartment[Department],tblDepartment[Priority_Level],"")</f>
        <v>High</v>
      </c>
      <c r="AD427" t="str">
        <f>_xlfn.XLOOKUP(H427,tblDepartment[Department],tblDepartment[Key_KPI],"")</f>
        <v>Customer Satisfaction</v>
      </c>
      <c r="AE427">
        <f>_xlfn.XLOOKUP(tblMaster[[#This Row],[Shift]],tblShift[Shift_Name],tblShift[Login_Time],"")</f>
        <v>0.41666666666666669</v>
      </c>
      <c r="AF427">
        <f>_xlfn.XLOOKUP(tblMaster[[#This Row],[Shift]],tblShift[Shift_Name],tblShift[Logout_Time]," ")</f>
        <v>0.79166666666666663</v>
      </c>
      <c r="AG427">
        <f>_xlfn.XLOOKUP(tblMaster[[#This Row],[Shift]],tblShift[Shift_Name],tblShift[Standard_Working_Hours],"")</f>
        <v>8</v>
      </c>
      <c r="AH427" t="str">
        <f>_xlfn.XLOOKUP(tblMaster[[#This Row],[Attendance_Date]],tblHoliday[Holiday_Date],tblHoliday[Holiday_Name],"Working Day")</f>
        <v>Working Day</v>
      </c>
      <c r="AI427" t="str">
        <f>_xlfn.XLOOKUP(tblMaster[[#This Row],[Attendance_Date]],tblHoliday[Holiday_Date],tblHoliday[Holiday_Type],"Working Day ")</f>
        <v xml:space="preserve">Working Day </v>
      </c>
    </row>
    <row r="428" spans="1:35" x14ac:dyDescent="0.3">
      <c r="A428" t="s">
        <v>617</v>
      </c>
      <c r="B428" s="3">
        <v>45771</v>
      </c>
      <c r="C428" t="s">
        <v>37</v>
      </c>
      <c r="D428" t="s">
        <v>24</v>
      </c>
      <c r="E428" t="s">
        <v>25</v>
      </c>
      <c r="F428" t="s">
        <v>58</v>
      </c>
      <c r="G428" t="s">
        <v>59</v>
      </c>
      <c r="H428" t="s">
        <v>41</v>
      </c>
      <c r="I428" t="s">
        <v>42</v>
      </c>
      <c r="J428" t="s">
        <v>30</v>
      </c>
      <c r="K428" t="s">
        <v>31</v>
      </c>
      <c r="L428" s="2">
        <v>0.375</v>
      </c>
      <c r="M428" s="2">
        <v>0.75</v>
      </c>
      <c r="N428">
        <v>8</v>
      </c>
      <c r="O428">
        <v>0</v>
      </c>
      <c r="P428" t="s">
        <v>32</v>
      </c>
      <c r="R428">
        <v>4</v>
      </c>
      <c r="S428" t="s">
        <v>67</v>
      </c>
      <c r="T428" t="s">
        <v>46</v>
      </c>
      <c r="U428" t="str">
        <f>_xlfn.XLOOKUP(tblMaster[[#This Row],[Employee_ID]],tblEmployee[Employee_ID],tblEmployee[Work_Mode]," ")</f>
        <v>Hybrid</v>
      </c>
      <c r="V428" t="s">
        <v>60</v>
      </c>
      <c r="W428">
        <f>_xlfn.XLOOKUP(F428,tblEmployee[Employee_ID],tblEmployee[Age],"Not Found")</f>
        <v>23</v>
      </c>
      <c r="X428" t="str">
        <f>_xlfn.XLOOKUP(F428,tblEmployee[Employee_ID],tblEmployee[Gender],"Not Found")</f>
        <v>Female</v>
      </c>
      <c r="Y428">
        <f>_xlfn.XLOOKUP(F428,tblEmployee[Employee_ID],tblEmployee[Joining_Date],"")</f>
        <v>45153</v>
      </c>
      <c r="Z428">
        <f>_xlfn.XLOOKUP(H428,tblDepartment[Department],tblDepartment[Annual_Budget_INR],"")</f>
        <v>34000000</v>
      </c>
      <c r="AA428" t="str">
        <f>_xlfn.XLOOKUP(H428,tblDepartment[Department],tblDepartment[Monthly_Target],"")</f>
        <v>95% Process Efficiency</v>
      </c>
      <c r="AB428">
        <f>_xlfn.XLOOKUP(H428,tblDepartment[Department],tblDepartment[Average_Salary_INR],"")</f>
        <v>610000</v>
      </c>
      <c r="AC428" t="str">
        <f>_xlfn.XLOOKUP(H428,tblDepartment[Department],tblDepartment[Priority_Level],"")</f>
        <v>High</v>
      </c>
      <c r="AD428" t="str">
        <f>_xlfn.XLOOKUP(H428,tblDepartment[Department],tblDepartment[Key_KPI],"")</f>
        <v>Operational Efficiency</v>
      </c>
      <c r="AE428">
        <f>_xlfn.XLOOKUP(tblMaster[[#This Row],[Shift]],tblShift[Shift_Name],tblShift[Login_Time],"")</f>
        <v>0.25</v>
      </c>
      <c r="AF428">
        <f>_xlfn.XLOOKUP(tblMaster[[#This Row],[Shift]],tblShift[Shift_Name],tblShift[Logout_Time]," ")</f>
        <v>0.625</v>
      </c>
      <c r="AG428">
        <f>_xlfn.XLOOKUP(tblMaster[[#This Row],[Shift]],tblShift[Shift_Name],tblShift[Standard_Working_Hours],"")</f>
        <v>8</v>
      </c>
      <c r="AH428" t="str">
        <f>_xlfn.XLOOKUP(tblMaster[[#This Row],[Attendance_Date]],tblHoliday[Holiday_Date],tblHoliday[Holiday_Name],"Working Day")</f>
        <v>Working Day</v>
      </c>
      <c r="AI428" t="str">
        <f>_xlfn.XLOOKUP(tblMaster[[#This Row],[Attendance_Date]],tblHoliday[Holiday_Date],tblHoliday[Holiday_Type],"Working Day ")</f>
        <v xml:space="preserve">Working Day </v>
      </c>
    </row>
    <row r="429" spans="1:35" x14ac:dyDescent="0.3">
      <c r="A429" t="s">
        <v>618</v>
      </c>
      <c r="B429" s="1">
        <v>45753</v>
      </c>
      <c r="C429" t="s">
        <v>37</v>
      </c>
      <c r="D429" t="s">
        <v>24</v>
      </c>
      <c r="E429" t="s">
        <v>103</v>
      </c>
      <c r="F429" t="s">
        <v>195</v>
      </c>
      <c r="G429" t="s">
        <v>196</v>
      </c>
      <c r="H429" t="s">
        <v>98</v>
      </c>
      <c r="I429" t="s">
        <v>99</v>
      </c>
      <c r="J429" t="s">
        <v>43</v>
      </c>
      <c r="K429" t="s">
        <v>75</v>
      </c>
      <c r="L429" s="2">
        <v>0.375</v>
      </c>
      <c r="M429" s="2">
        <v>0.75</v>
      </c>
      <c r="N429">
        <v>8</v>
      </c>
      <c r="O429">
        <v>0</v>
      </c>
      <c r="P429" t="s">
        <v>32</v>
      </c>
      <c r="R429">
        <v>3</v>
      </c>
      <c r="S429" t="s">
        <v>92</v>
      </c>
      <c r="T429" t="s">
        <v>101</v>
      </c>
      <c r="U429" t="str">
        <f>_xlfn.XLOOKUP(tblMaster[[#This Row],[Employee_ID]],tblEmployee[Employee_ID],tblEmployee[Work_Mode]," ")</f>
        <v>Remote</v>
      </c>
      <c r="V429" t="s">
        <v>69</v>
      </c>
      <c r="W429">
        <f>_xlfn.XLOOKUP(F429,tblEmployee[Employee_ID],tblEmployee[Age],"Not Found")</f>
        <v>24</v>
      </c>
      <c r="X429" t="str">
        <f>_xlfn.XLOOKUP(F429,tblEmployee[Employee_ID],tblEmployee[Gender],"Not Found")</f>
        <v>Male</v>
      </c>
      <c r="Y429">
        <f>_xlfn.XLOOKUP(F429,tblEmployee[Employee_ID],tblEmployee[Joining_Date],"")</f>
        <v>45550</v>
      </c>
      <c r="Z429">
        <f>_xlfn.XLOOKUP(H429,tblDepartment[Department],tblDepartment[Annual_Budget_INR],"")</f>
        <v>22000000</v>
      </c>
      <c r="AA429" t="str">
        <f>_xlfn.XLOOKUP(H429,tblDepartment[Department],tblDepartment[Monthly_Target],"")</f>
        <v>2500 Qualified Leads</v>
      </c>
      <c r="AB429">
        <f>_xlfn.XLOOKUP(H429,tblDepartment[Department],tblDepartment[Average_Salary_INR],"")</f>
        <v>590000</v>
      </c>
      <c r="AC429" t="str">
        <f>_xlfn.XLOOKUP(H429,tblDepartment[Department],tblDepartment[Priority_Level],"")</f>
        <v>Medium</v>
      </c>
      <c r="AD429" t="str">
        <f>_xlfn.XLOOKUP(H429,tblDepartment[Department],tblDepartment[Key_KPI],"")</f>
        <v>Lead Generation</v>
      </c>
      <c r="AE429">
        <f>_xlfn.XLOOKUP(tblMaster[[#This Row],[Shift]],tblShift[Shift_Name],tblShift[Login_Time],"")</f>
        <v>0.375</v>
      </c>
      <c r="AF429">
        <f>_xlfn.XLOOKUP(tblMaster[[#This Row],[Shift]],tblShift[Shift_Name],tblShift[Logout_Time]," ")</f>
        <v>0.75</v>
      </c>
      <c r="AG429">
        <f>_xlfn.XLOOKUP(tblMaster[[#This Row],[Shift]],tblShift[Shift_Name],tblShift[Standard_Working_Hours],"")</f>
        <v>8</v>
      </c>
      <c r="AH429" t="str">
        <f>_xlfn.XLOOKUP(tblMaster[[#This Row],[Attendance_Date]],tblHoliday[Holiday_Date],tblHoliday[Holiday_Name],"Working Day")</f>
        <v>Working Day</v>
      </c>
      <c r="AI429" t="str">
        <f>_xlfn.XLOOKUP(tblMaster[[#This Row],[Attendance_Date]],tblHoliday[Holiday_Date],tblHoliday[Holiday_Type],"Working Day ")</f>
        <v xml:space="preserve">Working Day </v>
      </c>
    </row>
    <row r="430" spans="1:35" hidden="1" x14ac:dyDescent="0.3">
      <c r="A430" t="s">
        <v>619</v>
      </c>
      <c r="B430" s="3">
        <v>45659</v>
      </c>
      <c r="C430" t="s">
        <v>49</v>
      </c>
      <c r="D430" t="s">
        <v>50</v>
      </c>
      <c r="E430" t="s">
        <v>25</v>
      </c>
      <c r="F430" t="s">
        <v>266</v>
      </c>
      <c r="G430" t="s">
        <v>267</v>
      </c>
      <c r="H430" t="s">
        <v>98</v>
      </c>
      <c r="I430" t="s">
        <v>99</v>
      </c>
      <c r="J430" t="s">
        <v>66</v>
      </c>
      <c r="K430" t="s">
        <v>44</v>
      </c>
      <c r="L430" s="2">
        <v>0.375</v>
      </c>
      <c r="M430" s="2">
        <v>0.75</v>
      </c>
      <c r="N430">
        <v>8</v>
      </c>
      <c r="O430">
        <v>0</v>
      </c>
      <c r="P430" t="s">
        <v>32</v>
      </c>
      <c r="R430">
        <v>4</v>
      </c>
      <c r="S430" t="s">
        <v>33</v>
      </c>
      <c r="T430" t="s">
        <v>101</v>
      </c>
      <c r="U430" t="s">
        <v>55</v>
      </c>
      <c r="V430" t="s">
        <v>35</v>
      </c>
      <c r="W430">
        <f>_xlfn.XLOOKUP(F430,tblEmployee[Employee_ID],tblEmployee[Age],"Not Found")</f>
        <v>28</v>
      </c>
      <c r="X430" t="str">
        <f>_xlfn.XLOOKUP(F430,tblEmployee[Employee_ID],tblEmployee[Gender],"Not Found")</f>
        <v>Female</v>
      </c>
      <c r="Y430">
        <f>_xlfn.XLOOKUP(F430,tblEmployee[Employee_ID],tblEmployee[Joining_Date],"")</f>
        <v>45488</v>
      </c>
      <c r="Z430">
        <f>_xlfn.XLOOKUP(H430,tblDepartment[Department],tblDepartment[Annual_Budget_INR],"")</f>
        <v>22000000</v>
      </c>
      <c r="AA430" t="str">
        <f>_xlfn.XLOOKUP(H430,tblDepartment[Department],tblDepartment[Monthly_Target],"")</f>
        <v>2500 Qualified Leads</v>
      </c>
      <c r="AB430">
        <f>_xlfn.XLOOKUP(H430,tblDepartment[Department],tblDepartment[Average_Salary_INR],"")</f>
        <v>590000</v>
      </c>
      <c r="AC430" t="str">
        <f>_xlfn.XLOOKUP(H430,tblDepartment[Department],tblDepartment[Priority_Level],"")</f>
        <v>Medium</v>
      </c>
      <c r="AD430" t="str">
        <f>_xlfn.XLOOKUP(H430,tblDepartment[Department],tblDepartment[Key_KPI],"")</f>
        <v>Lead Generation</v>
      </c>
      <c r="AE430">
        <f>_xlfn.XLOOKUP(tblMaster[[#This Row],[Shift]],tblShift[Shift_Name],tblShift[Login_Time],"")</f>
        <v>0.41666666666666669</v>
      </c>
      <c r="AF430">
        <f>_xlfn.XLOOKUP(tblMaster[[#This Row],[Shift]],tblShift[Shift_Name],tblShift[Logout_Time]," ")</f>
        <v>0.79166666666666663</v>
      </c>
      <c r="AG430">
        <f>_xlfn.XLOOKUP(tblMaster[[#This Row],[Shift]],tblShift[Shift_Name],tblShift[Standard_Working_Hours],"")</f>
        <v>8</v>
      </c>
      <c r="AH430" t="str">
        <f>_xlfn.XLOOKUP(tblMaster[[#This Row],[Attendance_Date]],tblHoliday[Holiday_Date],tblHoliday[Holiday_Name],"Working Day")</f>
        <v>Working Day</v>
      </c>
      <c r="AI430" t="str">
        <f>_xlfn.XLOOKUP(tblMaster[[#This Row],[Attendance_Date]],tblHoliday[Holiday_Date],tblHoliday[Holiday_Type],"Working Day ")</f>
        <v xml:space="preserve">Working Day </v>
      </c>
    </row>
    <row r="431" spans="1:35" x14ac:dyDescent="0.3">
      <c r="A431" t="s">
        <v>620</v>
      </c>
      <c r="B431" s="1">
        <v>45674</v>
      </c>
      <c r="C431" t="s">
        <v>49</v>
      </c>
      <c r="D431" t="s">
        <v>50</v>
      </c>
      <c r="E431" t="s">
        <v>119</v>
      </c>
      <c r="F431" t="s">
        <v>215</v>
      </c>
      <c r="G431" t="s">
        <v>216</v>
      </c>
      <c r="H431" t="s">
        <v>79</v>
      </c>
      <c r="I431" t="s">
        <v>80</v>
      </c>
      <c r="J431" t="s">
        <v>30</v>
      </c>
      <c r="K431" t="s">
        <v>44</v>
      </c>
      <c r="P431" t="s">
        <v>82</v>
      </c>
      <c r="Q431" t="s">
        <v>83</v>
      </c>
      <c r="S431" t="s">
        <v>92</v>
      </c>
      <c r="T431" t="s">
        <v>84</v>
      </c>
      <c r="U431" t="str">
        <f>_xlfn.XLOOKUP(tblMaster[[#This Row],[Employee_ID]],tblEmployee[Employee_ID],tblEmployee[Work_Mode]," ")</f>
        <v>Office</v>
      </c>
      <c r="W431">
        <f>_xlfn.XLOOKUP(F431,tblEmployee[Employee_ID],tblEmployee[Age],"Not Found")</f>
        <v>25</v>
      </c>
      <c r="X431" t="str">
        <f>_xlfn.XLOOKUP(F431,tblEmployee[Employee_ID],tblEmployee[Gender],"Not Found")</f>
        <v>Female</v>
      </c>
      <c r="Y431">
        <f>_xlfn.XLOOKUP(F431,tblEmployee[Employee_ID],tblEmployee[Joining_Date],"")</f>
        <v>44666</v>
      </c>
      <c r="Z431">
        <f>_xlfn.XLOOKUP(H431,tblDepartment[Department],tblDepartment[Annual_Budget_INR],"")</f>
        <v>26000000</v>
      </c>
      <c r="AA431" t="str">
        <f>_xlfn.XLOOKUP(H431,tblDepartment[Department],tblDepartment[Monthly_Target],"")</f>
        <v>100% Payroll Accuracy</v>
      </c>
      <c r="AB431">
        <f>_xlfn.XLOOKUP(H431,tblDepartment[Department],tblDepartment[Average_Salary_INR],"")</f>
        <v>640000</v>
      </c>
      <c r="AC431" t="str">
        <f>_xlfn.XLOOKUP(H431,tblDepartment[Department],tblDepartment[Priority_Level],"")</f>
        <v>High</v>
      </c>
      <c r="AD431" t="str">
        <f>_xlfn.XLOOKUP(H431,tblDepartment[Department],tblDepartment[Key_KPI],"")</f>
        <v>Financial Compliance</v>
      </c>
      <c r="AE431">
        <f>_xlfn.XLOOKUP(tblMaster[[#This Row],[Shift]],tblShift[Shift_Name],tblShift[Login_Time],"")</f>
        <v>0.41666666666666669</v>
      </c>
      <c r="AF431">
        <f>_xlfn.XLOOKUP(tblMaster[[#This Row],[Shift]],tblShift[Shift_Name],tblShift[Logout_Time]," ")</f>
        <v>0.79166666666666663</v>
      </c>
      <c r="AG431">
        <f>_xlfn.XLOOKUP(tblMaster[[#This Row],[Shift]],tblShift[Shift_Name],tblShift[Standard_Working_Hours],"")</f>
        <v>8</v>
      </c>
      <c r="AH431" t="str">
        <f>_xlfn.XLOOKUP(tblMaster[[#This Row],[Attendance_Date]],tblHoliday[Holiday_Date],tblHoliday[Holiday_Name],"Working Day")</f>
        <v>Working Day</v>
      </c>
      <c r="AI431" t="str">
        <f>_xlfn.XLOOKUP(tblMaster[[#This Row],[Attendance_Date]],tblHoliday[Holiday_Date],tblHoliday[Holiday_Type],"Working Day ")</f>
        <v xml:space="preserve">Working Day </v>
      </c>
    </row>
    <row r="432" spans="1:35" hidden="1" x14ac:dyDescent="0.3">
      <c r="A432" t="s">
        <v>621</v>
      </c>
      <c r="B432" s="1">
        <v>45784</v>
      </c>
      <c r="C432" t="s">
        <v>57</v>
      </c>
      <c r="D432" t="s">
        <v>24</v>
      </c>
      <c r="E432" t="s">
        <v>51</v>
      </c>
      <c r="F432" t="s">
        <v>72</v>
      </c>
      <c r="G432" t="s">
        <v>73</v>
      </c>
      <c r="H432" t="s">
        <v>28</v>
      </c>
      <c r="I432" t="s">
        <v>29</v>
      </c>
      <c r="J432" t="s">
        <v>74</v>
      </c>
      <c r="K432" t="s">
        <v>81</v>
      </c>
      <c r="L432" s="2">
        <v>0.91666666666666663</v>
      </c>
      <c r="M432" s="2">
        <v>0.29166666666666669</v>
      </c>
      <c r="N432">
        <v>9.5</v>
      </c>
      <c r="O432">
        <v>1.5</v>
      </c>
      <c r="P432" t="s">
        <v>32</v>
      </c>
      <c r="R432">
        <v>4</v>
      </c>
      <c r="S432" t="s">
        <v>33</v>
      </c>
      <c r="T432" t="s">
        <v>34</v>
      </c>
      <c r="U432" t="s">
        <v>85</v>
      </c>
      <c r="V432" t="s">
        <v>60</v>
      </c>
      <c r="W432">
        <f>_xlfn.XLOOKUP(F432,tblEmployee[Employee_ID],tblEmployee[Age],"Not Found")</f>
        <v>28</v>
      </c>
      <c r="X432" t="str">
        <f>_xlfn.XLOOKUP(F432,tblEmployee[Employee_ID],tblEmployee[Gender],"Not Found")</f>
        <v>Female</v>
      </c>
      <c r="Y432">
        <f>_xlfn.XLOOKUP(F432,tblEmployee[Employee_ID],tblEmployee[Joining_Date],"")</f>
        <v>43296</v>
      </c>
      <c r="Z432">
        <f>_xlfn.XLOOKUP(H432,tblDepartment[Department],tblDepartment[Annual_Budget_INR],"")</f>
        <v>24000000</v>
      </c>
      <c r="AA432" t="str">
        <f>_xlfn.XLOOKUP(H432,tblDepartment[Department],tblDepartment[Monthly_Target],"")</f>
        <v>90% Customer Satisfaction</v>
      </c>
      <c r="AB432">
        <f>_xlfn.XLOOKUP(H432,tblDepartment[Department],tblDepartment[Average_Salary_INR],"")</f>
        <v>520000</v>
      </c>
      <c r="AC432" t="str">
        <f>_xlfn.XLOOKUP(H432,tblDepartment[Department],tblDepartment[Priority_Level],"")</f>
        <v>High</v>
      </c>
      <c r="AD432" t="str">
        <f>_xlfn.XLOOKUP(H432,tblDepartment[Department],tblDepartment[Key_KPI],"")</f>
        <v>Customer Satisfaction</v>
      </c>
      <c r="AE432">
        <f>_xlfn.XLOOKUP(tblMaster[[#This Row],[Shift]],tblShift[Shift_Name],tblShift[Login_Time],"")</f>
        <v>0.91666666666666663</v>
      </c>
      <c r="AF432">
        <f>_xlfn.XLOOKUP(tblMaster[[#This Row],[Shift]],tblShift[Shift_Name],tblShift[Logout_Time]," ")</f>
        <v>0.29166666666666669</v>
      </c>
      <c r="AG432">
        <f>_xlfn.XLOOKUP(tblMaster[[#This Row],[Shift]],tblShift[Shift_Name],tblShift[Standard_Working_Hours],"")</f>
        <v>8</v>
      </c>
      <c r="AH432" t="str">
        <f>_xlfn.XLOOKUP(tblMaster[[#This Row],[Attendance_Date]],tblHoliday[Holiday_Date],tblHoliday[Holiday_Name],"Working Day")</f>
        <v>Working Day</v>
      </c>
      <c r="AI432" t="str">
        <f>_xlfn.XLOOKUP(tblMaster[[#This Row],[Attendance_Date]],tblHoliday[Holiday_Date],tblHoliday[Holiday_Type],"Working Day ")</f>
        <v xml:space="preserve">Working Day </v>
      </c>
    </row>
    <row r="433" spans="1:35" hidden="1" x14ac:dyDescent="0.3">
      <c r="A433" t="s">
        <v>622</v>
      </c>
      <c r="B433" s="1">
        <v>45805</v>
      </c>
      <c r="C433" t="s">
        <v>57</v>
      </c>
      <c r="D433" t="s">
        <v>24</v>
      </c>
      <c r="E433" t="s">
        <v>51</v>
      </c>
      <c r="F433" t="s">
        <v>142</v>
      </c>
      <c r="G433" t="s">
        <v>143</v>
      </c>
      <c r="H433" t="s">
        <v>64</v>
      </c>
      <c r="I433" t="s">
        <v>65</v>
      </c>
      <c r="J433" t="s">
        <v>43</v>
      </c>
      <c r="K433" t="s">
        <v>81</v>
      </c>
      <c r="L433" s="2">
        <v>0.91666666666666663</v>
      </c>
      <c r="M433" s="2">
        <v>0.29166666666666669</v>
      </c>
      <c r="N433">
        <v>9.5</v>
      </c>
      <c r="O433">
        <v>1.5</v>
      </c>
      <c r="P433" t="s">
        <v>32</v>
      </c>
      <c r="R433">
        <v>5</v>
      </c>
      <c r="S433" t="s">
        <v>45</v>
      </c>
      <c r="T433" t="s">
        <v>68</v>
      </c>
      <c r="U433" t="s">
        <v>85</v>
      </c>
      <c r="V433" t="s">
        <v>60</v>
      </c>
      <c r="W433">
        <f>_xlfn.XLOOKUP(F433,tblEmployee[Employee_ID],tblEmployee[Age],"Not Found")</f>
        <v>37</v>
      </c>
      <c r="X433" t="str">
        <f>_xlfn.XLOOKUP(F433,tblEmployee[Employee_ID],tblEmployee[Gender],"Not Found")</f>
        <v>Male</v>
      </c>
      <c r="Y433">
        <f>_xlfn.XLOOKUP(F433,tblEmployee[Employee_ID],tblEmployee[Joining_Date],"")</f>
        <v>43570</v>
      </c>
      <c r="Z433">
        <f>_xlfn.XLOOKUP(H433,tblDepartment[Department],tblDepartment[Annual_Budget_INR],"")</f>
        <v>85000000</v>
      </c>
      <c r="AA433" t="str">
        <f>_xlfn.XLOOKUP(H433,tblDepartment[Department],tblDepartment[Monthly_Target],"")</f>
        <v>99.5% System Uptime</v>
      </c>
      <c r="AB433">
        <f>_xlfn.XLOOKUP(H433,tblDepartment[Department],tblDepartment[Average_Salary_INR],"")</f>
        <v>720000</v>
      </c>
      <c r="AC433" t="str">
        <f>_xlfn.XLOOKUP(H433,tblDepartment[Department],tblDepartment[Priority_Level],"")</f>
        <v>High</v>
      </c>
      <c r="AD433" t="str">
        <f>_xlfn.XLOOKUP(H433,tblDepartment[Department],tblDepartment[Key_KPI],"")</f>
        <v>Project Delivery</v>
      </c>
      <c r="AE433">
        <f>_xlfn.XLOOKUP(tblMaster[[#This Row],[Shift]],tblShift[Shift_Name],tblShift[Login_Time],"")</f>
        <v>0.91666666666666663</v>
      </c>
      <c r="AF433">
        <f>_xlfn.XLOOKUP(tblMaster[[#This Row],[Shift]],tblShift[Shift_Name],tblShift[Logout_Time]," ")</f>
        <v>0.29166666666666669</v>
      </c>
      <c r="AG433">
        <f>_xlfn.XLOOKUP(tblMaster[[#This Row],[Shift]],tblShift[Shift_Name],tblShift[Standard_Working_Hours],"")</f>
        <v>8</v>
      </c>
      <c r="AH433" t="str">
        <f>_xlfn.XLOOKUP(tblMaster[[#This Row],[Attendance_Date]],tblHoliday[Holiday_Date],tblHoliday[Holiday_Name],"Working Day")</f>
        <v>Working Day</v>
      </c>
      <c r="AI433" t="str">
        <f>_xlfn.XLOOKUP(tblMaster[[#This Row],[Attendance_Date]],tblHoliday[Holiday_Date],tblHoliday[Holiday_Type],"Working Day ")</f>
        <v xml:space="preserve">Working Day </v>
      </c>
    </row>
    <row r="434" spans="1:35" hidden="1" x14ac:dyDescent="0.3">
      <c r="A434" t="s">
        <v>623</v>
      </c>
      <c r="B434" s="1">
        <v>45696</v>
      </c>
      <c r="C434" t="s">
        <v>95</v>
      </c>
      <c r="D434" t="s">
        <v>50</v>
      </c>
      <c r="E434" t="s">
        <v>38</v>
      </c>
      <c r="F434" t="s">
        <v>215</v>
      </c>
      <c r="G434" t="s">
        <v>216</v>
      </c>
      <c r="H434" t="s">
        <v>79</v>
      </c>
      <c r="I434" t="s">
        <v>80</v>
      </c>
      <c r="J434" t="s">
        <v>30</v>
      </c>
      <c r="K434" t="s">
        <v>81</v>
      </c>
      <c r="L434" s="2">
        <v>0.91666666666666663</v>
      </c>
      <c r="M434" s="2">
        <v>0.29166666666666669</v>
      </c>
      <c r="N434">
        <v>9.5</v>
      </c>
      <c r="O434">
        <v>1.5</v>
      </c>
      <c r="P434" t="s">
        <v>32</v>
      </c>
      <c r="R434">
        <v>5</v>
      </c>
      <c r="S434" t="s">
        <v>67</v>
      </c>
      <c r="T434" t="s">
        <v>84</v>
      </c>
      <c r="U434" t="s">
        <v>85</v>
      </c>
      <c r="V434" t="s">
        <v>60</v>
      </c>
      <c r="W434">
        <f>_xlfn.XLOOKUP(F434,tblEmployee[Employee_ID],tblEmployee[Age],"Not Found")</f>
        <v>25</v>
      </c>
      <c r="X434" t="str">
        <f>_xlfn.XLOOKUP(F434,tblEmployee[Employee_ID],tblEmployee[Gender],"Not Found")</f>
        <v>Female</v>
      </c>
      <c r="Y434">
        <f>_xlfn.XLOOKUP(F434,tblEmployee[Employee_ID],tblEmployee[Joining_Date],"")</f>
        <v>44666</v>
      </c>
      <c r="Z434">
        <f>_xlfn.XLOOKUP(H434,tblDepartment[Department],tblDepartment[Annual_Budget_INR],"")</f>
        <v>26000000</v>
      </c>
      <c r="AA434" t="str">
        <f>_xlfn.XLOOKUP(H434,tblDepartment[Department],tblDepartment[Monthly_Target],"")</f>
        <v>100% Payroll Accuracy</v>
      </c>
      <c r="AB434">
        <f>_xlfn.XLOOKUP(H434,tblDepartment[Department],tblDepartment[Average_Salary_INR],"")</f>
        <v>640000</v>
      </c>
      <c r="AC434" t="str">
        <f>_xlfn.XLOOKUP(H434,tblDepartment[Department],tblDepartment[Priority_Level],"")</f>
        <v>High</v>
      </c>
      <c r="AD434" t="str">
        <f>_xlfn.XLOOKUP(H434,tblDepartment[Department],tblDepartment[Key_KPI],"")</f>
        <v>Financial Compliance</v>
      </c>
      <c r="AE434">
        <f>_xlfn.XLOOKUP(tblMaster[[#This Row],[Shift]],tblShift[Shift_Name],tblShift[Login_Time],"")</f>
        <v>0.91666666666666663</v>
      </c>
      <c r="AF434">
        <f>_xlfn.XLOOKUP(tblMaster[[#This Row],[Shift]],tblShift[Shift_Name],tblShift[Logout_Time]," ")</f>
        <v>0.29166666666666669</v>
      </c>
      <c r="AG434">
        <f>_xlfn.XLOOKUP(tblMaster[[#This Row],[Shift]],tblShift[Shift_Name],tblShift[Standard_Working_Hours],"")</f>
        <v>8</v>
      </c>
      <c r="AH434" t="str">
        <f>_xlfn.XLOOKUP(tblMaster[[#This Row],[Attendance_Date]],tblHoliday[Holiday_Date],tblHoliday[Holiday_Name],"Working Day")</f>
        <v>Working Day</v>
      </c>
      <c r="AI434" t="str">
        <f>_xlfn.XLOOKUP(tblMaster[[#This Row],[Attendance_Date]],tblHoliday[Holiday_Date],tblHoliday[Holiday_Type],"Working Day ")</f>
        <v xml:space="preserve">Working Day </v>
      </c>
    </row>
    <row r="435" spans="1:35" x14ac:dyDescent="0.3">
      <c r="A435" t="s">
        <v>624</v>
      </c>
      <c r="B435" s="3">
        <v>45703</v>
      </c>
      <c r="C435" t="s">
        <v>95</v>
      </c>
      <c r="D435" t="s">
        <v>50</v>
      </c>
      <c r="E435" t="s">
        <v>38</v>
      </c>
      <c r="F435" t="s">
        <v>124</v>
      </c>
      <c r="G435" t="s">
        <v>125</v>
      </c>
      <c r="H435" t="s">
        <v>28</v>
      </c>
      <c r="I435" t="s">
        <v>29</v>
      </c>
      <c r="J435" t="s">
        <v>66</v>
      </c>
      <c r="K435" t="s">
        <v>54</v>
      </c>
      <c r="P435" t="s">
        <v>135</v>
      </c>
      <c r="S435" t="s">
        <v>67</v>
      </c>
      <c r="T435" t="s">
        <v>34</v>
      </c>
      <c r="U435" t="str">
        <f>_xlfn.XLOOKUP(tblMaster[[#This Row],[Employee_ID]],tblEmployee[Employee_ID],tblEmployee[Work_Mode]," ")</f>
        <v>Office</v>
      </c>
      <c r="V435" t="s">
        <v>35</v>
      </c>
      <c r="W435">
        <f>_xlfn.XLOOKUP(F435,tblEmployee[Employee_ID],tblEmployee[Age],"Not Found")</f>
        <v>25</v>
      </c>
      <c r="X435" t="str">
        <f>_xlfn.XLOOKUP(F435,tblEmployee[Employee_ID],tblEmployee[Gender],"Not Found")</f>
        <v>Male</v>
      </c>
      <c r="Y435">
        <f>_xlfn.XLOOKUP(F435,tblEmployee[Employee_ID],tblEmployee[Joining_Date],"")</f>
        <v>43388</v>
      </c>
      <c r="Z435">
        <f>_xlfn.XLOOKUP(H435,tblDepartment[Department],tblDepartment[Annual_Budget_INR],"")</f>
        <v>24000000</v>
      </c>
      <c r="AA435" t="str">
        <f>_xlfn.XLOOKUP(H435,tblDepartment[Department],tblDepartment[Monthly_Target],"")</f>
        <v>90% Customer Satisfaction</v>
      </c>
      <c r="AB435">
        <f>_xlfn.XLOOKUP(H435,tblDepartment[Department],tblDepartment[Average_Salary_INR],"")</f>
        <v>520000</v>
      </c>
      <c r="AC435" t="str">
        <f>_xlfn.XLOOKUP(H435,tblDepartment[Department],tblDepartment[Priority_Level],"")</f>
        <v>High</v>
      </c>
      <c r="AD435" t="str">
        <f>_xlfn.XLOOKUP(H435,tblDepartment[Department],tblDepartment[Key_KPI],"")</f>
        <v>Customer Satisfaction</v>
      </c>
      <c r="AE435">
        <f>_xlfn.XLOOKUP(tblMaster[[#This Row],[Shift]],tblShift[Shift_Name],tblShift[Login_Time],"")</f>
        <v>0.58333333333333337</v>
      </c>
      <c r="AF435">
        <f>_xlfn.XLOOKUP(tblMaster[[#This Row],[Shift]],tblShift[Shift_Name],tblShift[Logout_Time]," ")</f>
        <v>0.95833333333333337</v>
      </c>
      <c r="AG435">
        <f>_xlfn.XLOOKUP(tblMaster[[#This Row],[Shift]],tblShift[Shift_Name],tblShift[Standard_Working_Hours],"")</f>
        <v>8</v>
      </c>
      <c r="AH435" t="str">
        <f>_xlfn.XLOOKUP(tblMaster[[#This Row],[Attendance_Date]],tblHoliday[Holiday_Date],tblHoliday[Holiday_Name],"Working Day")</f>
        <v>Working Day</v>
      </c>
      <c r="AI435" t="str">
        <f>_xlfn.XLOOKUP(tblMaster[[#This Row],[Attendance_Date]],tblHoliday[Holiday_Date],tblHoliday[Holiday_Type],"Working Day ")</f>
        <v xml:space="preserve">Working Day </v>
      </c>
    </row>
    <row r="436" spans="1:35" hidden="1" x14ac:dyDescent="0.3">
      <c r="A436" t="s">
        <v>625</v>
      </c>
      <c r="B436" s="3">
        <v>45758</v>
      </c>
      <c r="C436" t="s">
        <v>37</v>
      </c>
      <c r="D436" t="s">
        <v>24</v>
      </c>
      <c r="E436" t="s">
        <v>119</v>
      </c>
      <c r="F436" t="s">
        <v>170</v>
      </c>
      <c r="G436" t="s">
        <v>171</v>
      </c>
      <c r="H436" t="s">
        <v>64</v>
      </c>
      <c r="I436" t="s">
        <v>65</v>
      </c>
      <c r="J436" t="s">
        <v>43</v>
      </c>
      <c r="K436" t="s">
        <v>54</v>
      </c>
      <c r="P436" t="s">
        <v>135</v>
      </c>
      <c r="S436" t="s">
        <v>33</v>
      </c>
      <c r="T436" t="s">
        <v>68</v>
      </c>
      <c r="U436" t="s">
        <v>85</v>
      </c>
      <c r="V436" t="s">
        <v>69</v>
      </c>
      <c r="W436">
        <f>_xlfn.XLOOKUP(F436,tblEmployee[Employee_ID],tblEmployee[Age],"Not Found")</f>
        <v>36</v>
      </c>
      <c r="X436" t="str">
        <f>_xlfn.XLOOKUP(F436,tblEmployee[Employee_ID],tblEmployee[Gender],"Not Found")</f>
        <v>Female</v>
      </c>
      <c r="Y436">
        <f>_xlfn.XLOOKUP(F436,tblEmployee[Employee_ID],tblEmployee[Joining_Date],"")</f>
        <v>43539</v>
      </c>
      <c r="Z436">
        <f>_xlfn.XLOOKUP(H436,tblDepartment[Department],tblDepartment[Annual_Budget_INR],"")</f>
        <v>85000000</v>
      </c>
      <c r="AA436" t="str">
        <f>_xlfn.XLOOKUP(H436,tblDepartment[Department],tblDepartment[Monthly_Target],"")</f>
        <v>99.5% System Uptime</v>
      </c>
      <c r="AB436">
        <f>_xlfn.XLOOKUP(H436,tblDepartment[Department],tblDepartment[Average_Salary_INR],"")</f>
        <v>720000</v>
      </c>
      <c r="AC436" t="str">
        <f>_xlfn.XLOOKUP(H436,tblDepartment[Department],tblDepartment[Priority_Level],"")</f>
        <v>High</v>
      </c>
      <c r="AD436" t="str">
        <f>_xlfn.XLOOKUP(H436,tblDepartment[Department],tblDepartment[Key_KPI],"")</f>
        <v>Project Delivery</v>
      </c>
      <c r="AE436">
        <f>_xlfn.XLOOKUP(tblMaster[[#This Row],[Shift]],tblShift[Shift_Name],tblShift[Login_Time],"")</f>
        <v>0.58333333333333337</v>
      </c>
      <c r="AF436">
        <f>_xlfn.XLOOKUP(tblMaster[[#This Row],[Shift]],tblShift[Shift_Name],tblShift[Logout_Time]," ")</f>
        <v>0.95833333333333337</v>
      </c>
      <c r="AG436">
        <f>_xlfn.XLOOKUP(tblMaster[[#This Row],[Shift]],tblShift[Shift_Name],tblShift[Standard_Working_Hours],"")</f>
        <v>8</v>
      </c>
      <c r="AH436" t="str">
        <f>_xlfn.XLOOKUP(tblMaster[[#This Row],[Attendance_Date]],tblHoliday[Holiday_Date],tblHoliday[Holiday_Name],"Working Day")</f>
        <v>Working Day</v>
      </c>
      <c r="AI436" t="str">
        <f>_xlfn.XLOOKUP(tblMaster[[#This Row],[Attendance_Date]],tblHoliday[Holiday_Date],tblHoliday[Holiday_Type],"Working Day ")</f>
        <v xml:space="preserve">Working Day </v>
      </c>
    </row>
    <row r="437" spans="1:35" hidden="1" x14ac:dyDescent="0.3">
      <c r="A437" t="s">
        <v>626</v>
      </c>
      <c r="B437" s="3">
        <v>45761</v>
      </c>
      <c r="C437" t="s">
        <v>37</v>
      </c>
      <c r="D437" t="s">
        <v>24</v>
      </c>
      <c r="E437" t="s">
        <v>109</v>
      </c>
      <c r="F437" t="s">
        <v>211</v>
      </c>
      <c r="G437" t="s">
        <v>212</v>
      </c>
      <c r="H437" t="s">
        <v>64</v>
      </c>
      <c r="I437" t="s">
        <v>65</v>
      </c>
      <c r="J437" t="s">
        <v>74</v>
      </c>
      <c r="K437" t="s">
        <v>44</v>
      </c>
      <c r="L437" s="2">
        <v>0.375</v>
      </c>
      <c r="M437" s="2">
        <v>0.75</v>
      </c>
      <c r="N437">
        <v>8.5</v>
      </c>
      <c r="O437">
        <v>0.5</v>
      </c>
      <c r="P437" t="s">
        <v>32</v>
      </c>
      <c r="R437">
        <v>5</v>
      </c>
      <c r="S437" t="s">
        <v>45</v>
      </c>
      <c r="T437" t="s">
        <v>68</v>
      </c>
      <c r="U437" t="s">
        <v>55</v>
      </c>
      <c r="W437">
        <f>_xlfn.XLOOKUP(F437,tblEmployee[Employee_ID],tblEmployee[Age],"Not Found")</f>
        <v>26</v>
      </c>
      <c r="X437" t="str">
        <f>_xlfn.XLOOKUP(F437,tblEmployee[Employee_ID],tblEmployee[Gender],"Not Found")</f>
        <v>Female</v>
      </c>
      <c r="Y437">
        <f>_xlfn.XLOOKUP(F437,tblEmployee[Employee_ID],tblEmployee[Joining_Date],"")</f>
        <v>43784</v>
      </c>
      <c r="Z437">
        <f>_xlfn.XLOOKUP(H437,tblDepartment[Department],tblDepartment[Annual_Budget_INR],"")</f>
        <v>85000000</v>
      </c>
      <c r="AA437" t="str">
        <f>_xlfn.XLOOKUP(H437,tblDepartment[Department],tblDepartment[Monthly_Target],"")</f>
        <v>99.5% System Uptime</v>
      </c>
      <c r="AB437">
        <f>_xlfn.XLOOKUP(H437,tblDepartment[Department],tblDepartment[Average_Salary_INR],"")</f>
        <v>720000</v>
      </c>
      <c r="AC437" t="str">
        <f>_xlfn.XLOOKUP(H437,tblDepartment[Department],tblDepartment[Priority_Level],"")</f>
        <v>High</v>
      </c>
      <c r="AD437" t="str">
        <f>_xlfn.XLOOKUP(H437,tblDepartment[Department],tblDepartment[Key_KPI],"")</f>
        <v>Project Delivery</v>
      </c>
      <c r="AE437">
        <f>_xlfn.XLOOKUP(tblMaster[[#This Row],[Shift]],tblShift[Shift_Name],tblShift[Login_Time],"")</f>
        <v>0.41666666666666669</v>
      </c>
      <c r="AF437">
        <f>_xlfn.XLOOKUP(tblMaster[[#This Row],[Shift]],tblShift[Shift_Name],tblShift[Logout_Time]," ")</f>
        <v>0.79166666666666663</v>
      </c>
      <c r="AG437">
        <f>_xlfn.XLOOKUP(tblMaster[[#This Row],[Shift]],tblShift[Shift_Name],tblShift[Standard_Working_Hours],"")</f>
        <v>8</v>
      </c>
      <c r="AH437" t="str">
        <f>_xlfn.XLOOKUP(tblMaster[[#This Row],[Attendance_Date]],tblHoliday[Holiday_Date],tblHoliday[Holiday_Name],"Working Day")</f>
        <v>Tamil New Year</v>
      </c>
      <c r="AI437" t="str">
        <f>_xlfn.XLOOKUP(tblMaster[[#This Row],[Attendance_Date]],tblHoliday[Holiday_Date],tblHoliday[Holiday_Type],"Working Day ")</f>
        <v>Festival</v>
      </c>
    </row>
    <row r="438" spans="1:35" hidden="1" x14ac:dyDescent="0.3">
      <c r="A438" t="s">
        <v>627</v>
      </c>
      <c r="B438" s="3">
        <v>45695</v>
      </c>
      <c r="C438" t="s">
        <v>95</v>
      </c>
      <c r="D438" t="s">
        <v>50</v>
      </c>
      <c r="E438" t="s">
        <v>119</v>
      </c>
      <c r="F438" t="s">
        <v>104</v>
      </c>
      <c r="G438" t="s">
        <v>105</v>
      </c>
      <c r="H438" t="s">
        <v>28</v>
      </c>
      <c r="I438" t="s">
        <v>29</v>
      </c>
      <c r="J438" t="s">
        <v>30</v>
      </c>
      <c r="K438" t="s">
        <v>44</v>
      </c>
      <c r="L438" s="2">
        <v>0.375</v>
      </c>
      <c r="M438" s="2">
        <v>0.75</v>
      </c>
      <c r="N438">
        <v>8</v>
      </c>
      <c r="O438">
        <v>0</v>
      </c>
      <c r="P438" t="s">
        <v>32</v>
      </c>
      <c r="R438">
        <v>4</v>
      </c>
      <c r="S438" t="s">
        <v>45</v>
      </c>
      <c r="T438" t="s">
        <v>34</v>
      </c>
      <c r="U438" t="s">
        <v>47</v>
      </c>
      <c r="V438" t="s">
        <v>35</v>
      </c>
      <c r="W438">
        <f>_xlfn.XLOOKUP(F438,tblEmployee[Employee_ID],tblEmployee[Age],"Not Found")</f>
        <v>35</v>
      </c>
      <c r="X438" t="str">
        <f>_xlfn.XLOOKUP(F438,tblEmployee[Employee_ID],tblEmployee[Gender],"Not Found")</f>
        <v>Male</v>
      </c>
      <c r="Y438">
        <f>_xlfn.XLOOKUP(F438,tblEmployee[Employee_ID],tblEmployee[Joining_Date],"")</f>
        <v>43146</v>
      </c>
      <c r="Z438">
        <f>_xlfn.XLOOKUP(H438,tblDepartment[Department],tblDepartment[Annual_Budget_INR],"")</f>
        <v>24000000</v>
      </c>
      <c r="AA438" t="str">
        <f>_xlfn.XLOOKUP(H438,tblDepartment[Department],tblDepartment[Monthly_Target],"")</f>
        <v>90% Customer Satisfaction</v>
      </c>
      <c r="AB438">
        <f>_xlfn.XLOOKUP(H438,tblDepartment[Department],tblDepartment[Average_Salary_INR],"")</f>
        <v>520000</v>
      </c>
      <c r="AC438" t="str">
        <f>_xlfn.XLOOKUP(H438,tblDepartment[Department],tblDepartment[Priority_Level],"")</f>
        <v>High</v>
      </c>
      <c r="AD438" t="str">
        <f>_xlfn.XLOOKUP(H438,tblDepartment[Department],tblDepartment[Key_KPI],"")</f>
        <v>Customer Satisfaction</v>
      </c>
      <c r="AE438">
        <f>_xlfn.XLOOKUP(tblMaster[[#This Row],[Shift]],tblShift[Shift_Name],tblShift[Login_Time],"")</f>
        <v>0.41666666666666669</v>
      </c>
      <c r="AF438">
        <f>_xlfn.XLOOKUP(tblMaster[[#This Row],[Shift]],tblShift[Shift_Name],tblShift[Logout_Time]," ")</f>
        <v>0.79166666666666663</v>
      </c>
      <c r="AG438">
        <f>_xlfn.XLOOKUP(tblMaster[[#This Row],[Shift]],tblShift[Shift_Name],tblShift[Standard_Working_Hours],"")</f>
        <v>8</v>
      </c>
      <c r="AH438" t="str">
        <f>_xlfn.XLOOKUP(tblMaster[[#This Row],[Attendance_Date]],tblHoliday[Holiday_Date],tblHoliday[Holiday_Name],"Working Day")</f>
        <v>Working Day</v>
      </c>
      <c r="AI438" t="str">
        <f>_xlfn.XLOOKUP(tblMaster[[#This Row],[Attendance_Date]],tblHoliday[Holiday_Date],tblHoliday[Holiday_Type],"Working Day ")</f>
        <v xml:space="preserve">Working Day </v>
      </c>
    </row>
    <row r="439" spans="1:35" hidden="1" x14ac:dyDescent="0.3">
      <c r="A439" t="s">
        <v>628</v>
      </c>
      <c r="B439" s="3">
        <v>45756</v>
      </c>
      <c r="C439" t="s">
        <v>37</v>
      </c>
      <c r="D439" t="s">
        <v>24</v>
      </c>
      <c r="E439" t="s">
        <v>51</v>
      </c>
      <c r="F439" t="s">
        <v>185</v>
      </c>
      <c r="G439" t="s">
        <v>186</v>
      </c>
      <c r="H439" t="s">
        <v>79</v>
      </c>
      <c r="I439" t="s">
        <v>80</v>
      </c>
      <c r="J439" t="s">
        <v>66</v>
      </c>
      <c r="K439" t="s">
        <v>81</v>
      </c>
      <c r="L439" s="2">
        <v>0.91666666666666663</v>
      </c>
      <c r="M439" s="2">
        <v>0.29166666666666669</v>
      </c>
      <c r="N439">
        <v>9.5</v>
      </c>
      <c r="O439">
        <v>1.5</v>
      </c>
      <c r="P439" t="s">
        <v>32</v>
      </c>
      <c r="R439">
        <v>4</v>
      </c>
      <c r="S439" t="s">
        <v>67</v>
      </c>
      <c r="T439" t="s">
        <v>84</v>
      </c>
      <c r="U439" t="s">
        <v>47</v>
      </c>
      <c r="V439" t="s">
        <v>60</v>
      </c>
      <c r="W439">
        <f>_xlfn.XLOOKUP(F439,tblEmployee[Employee_ID],tblEmployee[Age],"Not Found")</f>
        <v>33</v>
      </c>
      <c r="X439" t="str">
        <f>_xlfn.XLOOKUP(F439,tblEmployee[Employee_ID],tblEmployee[Gender],"Not Found")</f>
        <v>Male</v>
      </c>
      <c r="Y439">
        <f>_xlfn.XLOOKUP(F439,tblEmployee[Employee_ID],tblEmployee[Joining_Date],"")</f>
        <v>44910</v>
      </c>
      <c r="Z439">
        <f>_xlfn.XLOOKUP(H439,tblDepartment[Department],tblDepartment[Annual_Budget_INR],"")</f>
        <v>26000000</v>
      </c>
      <c r="AA439" t="str">
        <f>_xlfn.XLOOKUP(H439,tblDepartment[Department],tblDepartment[Monthly_Target],"")</f>
        <v>100% Payroll Accuracy</v>
      </c>
      <c r="AB439">
        <f>_xlfn.XLOOKUP(H439,tblDepartment[Department],tblDepartment[Average_Salary_INR],"")</f>
        <v>640000</v>
      </c>
      <c r="AC439" t="str">
        <f>_xlfn.XLOOKUP(H439,tblDepartment[Department],tblDepartment[Priority_Level],"")</f>
        <v>High</v>
      </c>
      <c r="AD439" t="str">
        <f>_xlfn.XLOOKUP(H439,tblDepartment[Department],tblDepartment[Key_KPI],"")</f>
        <v>Financial Compliance</v>
      </c>
      <c r="AE439">
        <f>_xlfn.XLOOKUP(tblMaster[[#This Row],[Shift]],tblShift[Shift_Name],tblShift[Login_Time],"")</f>
        <v>0.91666666666666663</v>
      </c>
      <c r="AF439">
        <f>_xlfn.XLOOKUP(tblMaster[[#This Row],[Shift]],tblShift[Shift_Name],tblShift[Logout_Time]," ")</f>
        <v>0.29166666666666669</v>
      </c>
      <c r="AG439">
        <f>_xlfn.XLOOKUP(tblMaster[[#This Row],[Shift]],tblShift[Shift_Name],tblShift[Standard_Working_Hours],"")</f>
        <v>8</v>
      </c>
      <c r="AH439" t="str">
        <f>_xlfn.XLOOKUP(tblMaster[[#This Row],[Attendance_Date]],tblHoliday[Holiday_Date],tblHoliday[Holiday_Name],"Working Day")</f>
        <v>Working Day</v>
      </c>
      <c r="AI439" t="str">
        <f>_xlfn.XLOOKUP(tblMaster[[#This Row],[Attendance_Date]],tblHoliday[Holiday_Date],tblHoliday[Holiday_Type],"Working Day ")</f>
        <v xml:space="preserve">Working Day </v>
      </c>
    </row>
    <row r="440" spans="1:35" x14ac:dyDescent="0.3">
      <c r="A440" t="s">
        <v>629</v>
      </c>
      <c r="B440" s="3">
        <v>45682</v>
      </c>
      <c r="C440" t="s">
        <v>49</v>
      </c>
      <c r="D440" t="s">
        <v>50</v>
      </c>
      <c r="E440" t="s">
        <v>38</v>
      </c>
      <c r="F440" t="s">
        <v>185</v>
      </c>
      <c r="G440" t="s">
        <v>186</v>
      </c>
      <c r="H440" t="s">
        <v>79</v>
      </c>
      <c r="I440" t="s">
        <v>80</v>
      </c>
      <c r="J440" t="s">
        <v>66</v>
      </c>
      <c r="K440" t="s">
        <v>31</v>
      </c>
      <c r="L440" s="2">
        <v>0.375</v>
      </c>
      <c r="M440" s="2">
        <v>0.75</v>
      </c>
      <c r="N440">
        <v>8</v>
      </c>
      <c r="O440">
        <v>0</v>
      </c>
      <c r="P440" t="s">
        <v>32</v>
      </c>
      <c r="R440">
        <v>5</v>
      </c>
      <c r="S440" t="s">
        <v>92</v>
      </c>
      <c r="T440" t="s">
        <v>84</v>
      </c>
      <c r="U440" t="str">
        <f>_xlfn.XLOOKUP(tblMaster[[#This Row],[Employee_ID]],tblEmployee[Employee_ID],tblEmployee[Work_Mode]," ")</f>
        <v>Remote</v>
      </c>
      <c r="W440">
        <f>_xlfn.XLOOKUP(F440,tblEmployee[Employee_ID],tblEmployee[Age],"Not Found")</f>
        <v>33</v>
      </c>
      <c r="X440" t="str">
        <f>_xlfn.XLOOKUP(F440,tblEmployee[Employee_ID],tblEmployee[Gender],"Not Found")</f>
        <v>Male</v>
      </c>
      <c r="Y440">
        <f>_xlfn.XLOOKUP(F440,tblEmployee[Employee_ID],tblEmployee[Joining_Date],"")</f>
        <v>44910</v>
      </c>
      <c r="Z440">
        <f>_xlfn.XLOOKUP(H440,tblDepartment[Department],tblDepartment[Annual_Budget_INR],"")</f>
        <v>26000000</v>
      </c>
      <c r="AA440" t="str">
        <f>_xlfn.XLOOKUP(H440,tblDepartment[Department],tblDepartment[Monthly_Target],"")</f>
        <v>100% Payroll Accuracy</v>
      </c>
      <c r="AB440">
        <f>_xlfn.XLOOKUP(H440,tblDepartment[Department],tblDepartment[Average_Salary_INR],"")</f>
        <v>640000</v>
      </c>
      <c r="AC440" t="str">
        <f>_xlfn.XLOOKUP(H440,tblDepartment[Department],tblDepartment[Priority_Level],"")</f>
        <v>High</v>
      </c>
      <c r="AD440" t="str">
        <f>_xlfn.XLOOKUP(H440,tblDepartment[Department],tblDepartment[Key_KPI],"")</f>
        <v>Financial Compliance</v>
      </c>
      <c r="AE440">
        <f>_xlfn.XLOOKUP(tblMaster[[#This Row],[Shift]],tblShift[Shift_Name],tblShift[Login_Time],"")</f>
        <v>0.25</v>
      </c>
      <c r="AF440">
        <f>_xlfn.XLOOKUP(tblMaster[[#This Row],[Shift]],tblShift[Shift_Name],tblShift[Logout_Time]," ")</f>
        <v>0.625</v>
      </c>
      <c r="AG440">
        <f>_xlfn.XLOOKUP(tblMaster[[#This Row],[Shift]],tblShift[Shift_Name],tblShift[Standard_Working_Hours],"")</f>
        <v>8</v>
      </c>
      <c r="AH440" t="str">
        <f>_xlfn.XLOOKUP(tblMaster[[#This Row],[Attendance_Date]],tblHoliday[Holiday_Date],tblHoliday[Holiday_Name],"Working Day")</f>
        <v>Working Day</v>
      </c>
      <c r="AI440" t="str">
        <f>_xlfn.XLOOKUP(tblMaster[[#This Row],[Attendance_Date]],tblHoliday[Holiday_Date],tblHoliday[Holiday_Type],"Working Day ")</f>
        <v xml:space="preserve">Working Day </v>
      </c>
    </row>
    <row r="441" spans="1:35" hidden="1" x14ac:dyDescent="0.3">
      <c r="A441" t="s">
        <v>630</v>
      </c>
      <c r="B441" s="1">
        <v>45735</v>
      </c>
      <c r="C441" t="s">
        <v>71</v>
      </c>
      <c r="D441" t="s">
        <v>50</v>
      </c>
      <c r="E441" t="s">
        <v>51</v>
      </c>
      <c r="F441" t="s">
        <v>204</v>
      </c>
      <c r="G441" t="s">
        <v>205</v>
      </c>
      <c r="H441" t="s">
        <v>90</v>
      </c>
      <c r="I441" t="s">
        <v>91</v>
      </c>
      <c r="J441" t="s">
        <v>74</v>
      </c>
      <c r="K441" t="s">
        <v>81</v>
      </c>
      <c r="L441" s="2">
        <v>0.91666666666666663</v>
      </c>
      <c r="M441" s="2">
        <v>0.29166666666666669</v>
      </c>
      <c r="N441">
        <v>10</v>
      </c>
      <c r="O441">
        <v>2</v>
      </c>
      <c r="P441" t="s">
        <v>32</v>
      </c>
      <c r="R441">
        <v>4</v>
      </c>
      <c r="S441" t="s">
        <v>33</v>
      </c>
      <c r="T441" t="s">
        <v>93</v>
      </c>
      <c r="U441" t="s">
        <v>47</v>
      </c>
      <c r="V441" t="s">
        <v>60</v>
      </c>
      <c r="W441">
        <f>_xlfn.XLOOKUP(F441,tblEmployee[Employee_ID],tblEmployee[Age],"Not Found")</f>
        <v>24</v>
      </c>
      <c r="X441" t="str">
        <f>_xlfn.XLOOKUP(F441,tblEmployee[Employee_ID],tblEmployee[Gender],"Not Found")</f>
        <v>Female</v>
      </c>
      <c r="Y441">
        <f>_xlfn.XLOOKUP(F441,tblEmployee[Employee_ID],tblEmployee[Joining_Date],"")</f>
        <v>43905</v>
      </c>
      <c r="Z441">
        <f>_xlfn.XLOOKUP(H441,tblDepartment[Department],tblDepartment[Annual_Budget_INR],"")</f>
        <v>18000000</v>
      </c>
      <c r="AA441" t="str">
        <f>_xlfn.XLOOKUP(H441,tblDepartment[Department],tblDepartment[Monthly_Target],"")</f>
        <v>&lt;30 Days Hiring Cycle</v>
      </c>
      <c r="AB441">
        <f>_xlfn.XLOOKUP(H441,tblDepartment[Department],tblDepartment[Average_Salary_INR],"")</f>
        <v>560000</v>
      </c>
      <c r="AC441" t="str">
        <f>_xlfn.XLOOKUP(H441,tblDepartment[Department],tblDepartment[Priority_Level],"")</f>
        <v>Medium</v>
      </c>
      <c r="AD441" t="str">
        <f>_xlfn.XLOOKUP(H441,tblDepartment[Department],tblDepartment[Key_KPI],"")</f>
        <v>Hiring &amp; Retention</v>
      </c>
      <c r="AE441">
        <f>_xlfn.XLOOKUP(tblMaster[[#This Row],[Shift]],tblShift[Shift_Name],tblShift[Login_Time],"")</f>
        <v>0.91666666666666663</v>
      </c>
      <c r="AF441">
        <f>_xlfn.XLOOKUP(tblMaster[[#This Row],[Shift]],tblShift[Shift_Name],tblShift[Logout_Time]," ")</f>
        <v>0.29166666666666669</v>
      </c>
      <c r="AG441">
        <f>_xlfn.XLOOKUP(tblMaster[[#This Row],[Shift]],tblShift[Shift_Name],tblShift[Standard_Working_Hours],"")</f>
        <v>8</v>
      </c>
      <c r="AH441" t="str">
        <f>_xlfn.XLOOKUP(tblMaster[[#This Row],[Attendance_Date]],tblHoliday[Holiday_Date],tblHoliday[Holiday_Name],"Working Day")</f>
        <v>Working Day</v>
      </c>
      <c r="AI441" t="str">
        <f>_xlfn.XLOOKUP(tblMaster[[#This Row],[Attendance_Date]],tblHoliday[Holiday_Date],tblHoliday[Holiday_Type],"Working Day ")</f>
        <v xml:space="preserve">Working Day </v>
      </c>
    </row>
    <row r="442" spans="1:35" hidden="1" x14ac:dyDescent="0.3">
      <c r="A442" t="s">
        <v>631</v>
      </c>
      <c r="B442" s="3">
        <v>45712</v>
      </c>
      <c r="C442" t="s">
        <v>95</v>
      </c>
      <c r="D442" t="s">
        <v>50</v>
      </c>
      <c r="E442" t="s">
        <v>109</v>
      </c>
      <c r="F442" t="s">
        <v>240</v>
      </c>
      <c r="G442" t="s">
        <v>241</v>
      </c>
      <c r="H442" t="s">
        <v>41</v>
      </c>
      <c r="I442" t="s">
        <v>42</v>
      </c>
      <c r="J442" t="s">
        <v>66</v>
      </c>
      <c r="K442" t="s">
        <v>31</v>
      </c>
      <c r="L442" s="2">
        <v>0.375</v>
      </c>
      <c r="M442" s="2">
        <v>0.75</v>
      </c>
      <c r="N442">
        <v>8</v>
      </c>
      <c r="O442">
        <v>0</v>
      </c>
      <c r="P442" t="s">
        <v>32</v>
      </c>
      <c r="R442">
        <v>4</v>
      </c>
      <c r="S442" t="s">
        <v>92</v>
      </c>
      <c r="T442" t="s">
        <v>46</v>
      </c>
      <c r="U442" t="s">
        <v>47</v>
      </c>
      <c r="V442" t="s">
        <v>69</v>
      </c>
      <c r="W442">
        <f>_xlfn.XLOOKUP(F442,tblEmployee[Employee_ID],tblEmployee[Age],"Not Found")</f>
        <v>30</v>
      </c>
      <c r="X442" t="str">
        <f>_xlfn.XLOOKUP(F442,tblEmployee[Employee_ID],tblEmployee[Gender],"Not Found")</f>
        <v>Female</v>
      </c>
      <c r="Y442">
        <f>_xlfn.XLOOKUP(F442,tblEmployee[Employee_ID],tblEmployee[Joining_Date],"")</f>
        <v>45000</v>
      </c>
      <c r="Z442">
        <f>_xlfn.XLOOKUP(H442,tblDepartment[Department],tblDepartment[Annual_Budget_INR],"")</f>
        <v>34000000</v>
      </c>
      <c r="AA442" t="str">
        <f>_xlfn.XLOOKUP(H442,tblDepartment[Department],tblDepartment[Monthly_Target],"")</f>
        <v>95% Process Efficiency</v>
      </c>
      <c r="AB442">
        <f>_xlfn.XLOOKUP(H442,tblDepartment[Department],tblDepartment[Average_Salary_INR],"")</f>
        <v>610000</v>
      </c>
      <c r="AC442" t="str">
        <f>_xlfn.XLOOKUP(H442,tblDepartment[Department],tblDepartment[Priority_Level],"")</f>
        <v>High</v>
      </c>
      <c r="AD442" t="str">
        <f>_xlfn.XLOOKUP(H442,tblDepartment[Department],tblDepartment[Key_KPI],"")</f>
        <v>Operational Efficiency</v>
      </c>
      <c r="AE442">
        <f>_xlfn.XLOOKUP(tblMaster[[#This Row],[Shift]],tblShift[Shift_Name],tblShift[Login_Time],"")</f>
        <v>0.25</v>
      </c>
      <c r="AF442">
        <f>_xlfn.XLOOKUP(tblMaster[[#This Row],[Shift]],tblShift[Shift_Name],tblShift[Logout_Time]," ")</f>
        <v>0.625</v>
      </c>
      <c r="AG442">
        <f>_xlfn.XLOOKUP(tblMaster[[#This Row],[Shift]],tblShift[Shift_Name],tblShift[Standard_Working_Hours],"")</f>
        <v>8</v>
      </c>
      <c r="AH442" t="str">
        <f>_xlfn.XLOOKUP(tblMaster[[#This Row],[Attendance_Date]],tblHoliday[Holiday_Date],tblHoliday[Holiday_Name],"Working Day")</f>
        <v>Working Day</v>
      </c>
      <c r="AI442" t="str">
        <f>_xlfn.XLOOKUP(tblMaster[[#This Row],[Attendance_Date]],tblHoliday[Holiday_Date],tblHoliday[Holiday_Type],"Working Day ")</f>
        <v xml:space="preserve">Working Day </v>
      </c>
    </row>
    <row r="443" spans="1:35" hidden="1" x14ac:dyDescent="0.3">
      <c r="A443" t="s">
        <v>632</v>
      </c>
      <c r="B443" s="1">
        <v>45692</v>
      </c>
      <c r="C443" t="s">
        <v>95</v>
      </c>
      <c r="D443" t="s">
        <v>50</v>
      </c>
      <c r="E443" t="s">
        <v>87</v>
      </c>
      <c r="F443" t="s">
        <v>127</v>
      </c>
      <c r="G443" t="s">
        <v>128</v>
      </c>
      <c r="H443" t="s">
        <v>90</v>
      </c>
      <c r="I443" t="s">
        <v>91</v>
      </c>
      <c r="J443" t="s">
        <v>66</v>
      </c>
      <c r="K443" t="s">
        <v>44</v>
      </c>
      <c r="L443" s="2">
        <v>0.375</v>
      </c>
      <c r="M443" s="2">
        <v>0.75</v>
      </c>
      <c r="N443">
        <v>8</v>
      </c>
      <c r="O443">
        <v>0</v>
      </c>
      <c r="P443" t="s">
        <v>32</v>
      </c>
      <c r="R443">
        <v>5</v>
      </c>
      <c r="S443" t="s">
        <v>92</v>
      </c>
      <c r="T443" t="s">
        <v>93</v>
      </c>
      <c r="U443" t="s">
        <v>85</v>
      </c>
      <c r="V443" t="s">
        <v>35</v>
      </c>
      <c r="W443">
        <f>_xlfn.XLOOKUP(F443,tblEmployee[Employee_ID],tblEmployee[Age],"Not Found")</f>
        <v>38</v>
      </c>
      <c r="X443" t="str">
        <f>_xlfn.XLOOKUP(F443,tblEmployee[Employee_ID],tblEmployee[Gender],"Not Found")</f>
        <v>Female</v>
      </c>
      <c r="Y443">
        <f>_xlfn.XLOOKUP(F443,tblEmployee[Employee_ID],tblEmployee[Joining_Date],"")</f>
        <v>43966</v>
      </c>
      <c r="Z443">
        <f>_xlfn.XLOOKUP(H443,tblDepartment[Department],tblDepartment[Annual_Budget_INR],"")</f>
        <v>18000000</v>
      </c>
      <c r="AA443" t="str">
        <f>_xlfn.XLOOKUP(H443,tblDepartment[Department],tblDepartment[Monthly_Target],"")</f>
        <v>&lt;30 Days Hiring Cycle</v>
      </c>
      <c r="AB443">
        <f>_xlfn.XLOOKUP(H443,tblDepartment[Department],tblDepartment[Average_Salary_INR],"")</f>
        <v>560000</v>
      </c>
      <c r="AC443" t="str">
        <f>_xlfn.XLOOKUP(H443,tblDepartment[Department],tblDepartment[Priority_Level],"")</f>
        <v>Medium</v>
      </c>
      <c r="AD443" t="str">
        <f>_xlfn.XLOOKUP(H443,tblDepartment[Department],tblDepartment[Key_KPI],"")</f>
        <v>Hiring &amp; Retention</v>
      </c>
      <c r="AE443">
        <f>_xlfn.XLOOKUP(tblMaster[[#This Row],[Shift]],tblShift[Shift_Name],tblShift[Login_Time],"")</f>
        <v>0.41666666666666669</v>
      </c>
      <c r="AF443">
        <f>_xlfn.XLOOKUP(tblMaster[[#This Row],[Shift]],tblShift[Shift_Name],tblShift[Logout_Time]," ")</f>
        <v>0.79166666666666663</v>
      </c>
      <c r="AG443">
        <f>_xlfn.XLOOKUP(tblMaster[[#This Row],[Shift]],tblShift[Shift_Name],tblShift[Standard_Working_Hours],"")</f>
        <v>8</v>
      </c>
      <c r="AH443" t="str">
        <f>_xlfn.XLOOKUP(tblMaster[[#This Row],[Attendance_Date]],tblHoliday[Holiday_Date],tblHoliday[Holiday_Name],"Working Day")</f>
        <v>Working Day</v>
      </c>
      <c r="AI443" t="str">
        <f>_xlfn.XLOOKUP(tblMaster[[#This Row],[Attendance_Date]],tblHoliday[Holiday_Date],tblHoliday[Holiday_Type],"Working Day ")</f>
        <v xml:space="preserve">Working Day </v>
      </c>
    </row>
    <row r="444" spans="1:35" x14ac:dyDescent="0.3">
      <c r="A444" t="s">
        <v>633</v>
      </c>
      <c r="B444" s="3">
        <v>45714</v>
      </c>
      <c r="C444" t="s">
        <v>95</v>
      </c>
      <c r="D444" t="s">
        <v>50</v>
      </c>
      <c r="E444" t="s">
        <v>51</v>
      </c>
      <c r="F444" t="s">
        <v>228</v>
      </c>
      <c r="G444" t="s">
        <v>229</v>
      </c>
      <c r="H444" t="s">
        <v>79</v>
      </c>
      <c r="I444" t="s">
        <v>80</v>
      </c>
      <c r="J444" t="s">
        <v>43</v>
      </c>
      <c r="K444" t="s">
        <v>44</v>
      </c>
      <c r="L444" s="2">
        <v>0.375</v>
      </c>
      <c r="M444" s="2">
        <v>0.75</v>
      </c>
      <c r="N444">
        <v>8</v>
      </c>
      <c r="O444">
        <v>0</v>
      </c>
      <c r="P444" t="s">
        <v>32</v>
      </c>
      <c r="R444">
        <v>4</v>
      </c>
      <c r="S444" t="s">
        <v>92</v>
      </c>
      <c r="T444" t="s">
        <v>84</v>
      </c>
      <c r="U444" t="str">
        <f>_xlfn.XLOOKUP(tblMaster[[#This Row],[Employee_ID]],tblEmployee[Employee_ID],tblEmployee[Work_Mode]," ")</f>
        <v>Hybrid</v>
      </c>
      <c r="V444" t="s">
        <v>60</v>
      </c>
      <c r="W444">
        <f>_xlfn.XLOOKUP(F444,tblEmployee[Employee_ID],tblEmployee[Age],"Not Found")</f>
        <v>29</v>
      </c>
      <c r="X444" t="str">
        <f>_xlfn.XLOOKUP(F444,tblEmployee[Employee_ID],tblEmployee[Gender],"Not Found")</f>
        <v>Female</v>
      </c>
      <c r="Y444">
        <f>_xlfn.XLOOKUP(F444,tblEmployee[Employee_ID],tblEmployee[Joining_Date],"")</f>
        <v>44607</v>
      </c>
      <c r="Z444">
        <f>_xlfn.XLOOKUP(H444,tblDepartment[Department],tblDepartment[Annual_Budget_INR],"")</f>
        <v>26000000</v>
      </c>
      <c r="AA444" t="str">
        <f>_xlfn.XLOOKUP(H444,tblDepartment[Department],tblDepartment[Monthly_Target],"")</f>
        <v>100% Payroll Accuracy</v>
      </c>
      <c r="AB444">
        <f>_xlfn.XLOOKUP(H444,tblDepartment[Department],tblDepartment[Average_Salary_INR],"")</f>
        <v>640000</v>
      </c>
      <c r="AC444" t="str">
        <f>_xlfn.XLOOKUP(H444,tblDepartment[Department],tblDepartment[Priority_Level],"")</f>
        <v>High</v>
      </c>
      <c r="AD444" t="str">
        <f>_xlfn.XLOOKUP(H444,tblDepartment[Department],tblDepartment[Key_KPI],"")</f>
        <v>Financial Compliance</v>
      </c>
      <c r="AE444">
        <f>_xlfn.XLOOKUP(tblMaster[[#This Row],[Shift]],tblShift[Shift_Name],tblShift[Login_Time],"")</f>
        <v>0.41666666666666669</v>
      </c>
      <c r="AF444">
        <f>_xlfn.XLOOKUP(tblMaster[[#This Row],[Shift]],tblShift[Shift_Name],tblShift[Logout_Time]," ")</f>
        <v>0.79166666666666663</v>
      </c>
      <c r="AG444">
        <f>_xlfn.XLOOKUP(tblMaster[[#This Row],[Shift]],tblShift[Shift_Name],tblShift[Standard_Working_Hours],"")</f>
        <v>8</v>
      </c>
      <c r="AH444" t="str">
        <f>_xlfn.XLOOKUP(tblMaster[[#This Row],[Attendance_Date]],tblHoliday[Holiday_Date],tblHoliday[Holiday_Name],"Working Day")</f>
        <v>Mahashivratri</v>
      </c>
      <c r="AI444" t="str">
        <f>_xlfn.XLOOKUP(tblMaster[[#This Row],[Attendance_Date]],tblHoliday[Holiday_Date],tblHoliday[Holiday_Type],"Working Day ")</f>
        <v>Restricted</v>
      </c>
    </row>
    <row r="445" spans="1:35" hidden="1" x14ac:dyDescent="0.3">
      <c r="A445" t="s">
        <v>634</v>
      </c>
      <c r="B445" s="1">
        <v>45808</v>
      </c>
      <c r="C445" t="s">
        <v>57</v>
      </c>
      <c r="D445" t="s">
        <v>24</v>
      </c>
      <c r="E445" t="s">
        <v>38</v>
      </c>
      <c r="F445" t="s">
        <v>166</v>
      </c>
      <c r="G445" t="s">
        <v>167</v>
      </c>
      <c r="H445" t="s">
        <v>41</v>
      </c>
      <c r="I445" t="s">
        <v>42</v>
      </c>
      <c r="J445" t="s">
        <v>100</v>
      </c>
      <c r="K445" t="s">
        <v>81</v>
      </c>
      <c r="L445" s="2">
        <v>0.91666666666666663</v>
      </c>
      <c r="M445" s="2">
        <v>0.29166666666666669</v>
      </c>
      <c r="N445">
        <v>8.5</v>
      </c>
      <c r="O445">
        <v>0.5</v>
      </c>
      <c r="P445" t="s">
        <v>32</v>
      </c>
      <c r="R445">
        <v>4</v>
      </c>
      <c r="S445" t="s">
        <v>92</v>
      </c>
      <c r="T445" t="s">
        <v>46</v>
      </c>
      <c r="U445" t="s">
        <v>47</v>
      </c>
      <c r="V445" t="s">
        <v>60</v>
      </c>
      <c r="W445">
        <f>_xlfn.XLOOKUP(F445,tblEmployee[Employee_ID],tblEmployee[Age],"Not Found")</f>
        <v>37</v>
      </c>
      <c r="X445" t="str">
        <f>_xlfn.XLOOKUP(F445,tblEmployee[Employee_ID],tblEmployee[Gender],"Not Found")</f>
        <v>Male</v>
      </c>
      <c r="Y445">
        <f>_xlfn.XLOOKUP(F445,tblEmployee[Employee_ID],tblEmployee[Joining_Date],"")</f>
        <v>45214</v>
      </c>
      <c r="Z445">
        <f>_xlfn.XLOOKUP(H445,tblDepartment[Department],tblDepartment[Annual_Budget_INR],"")</f>
        <v>34000000</v>
      </c>
      <c r="AA445" t="str">
        <f>_xlfn.XLOOKUP(H445,tblDepartment[Department],tblDepartment[Monthly_Target],"")</f>
        <v>95% Process Efficiency</v>
      </c>
      <c r="AB445">
        <f>_xlfn.XLOOKUP(H445,tblDepartment[Department],tblDepartment[Average_Salary_INR],"")</f>
        <v>610000</v>
      </c>
      <c r="AC445" t="str">
        <f>_xlfn.XLOOKUP(H445,tblDepartment[Department],tblDepartment[Priority_Level],"")</f>
        <v>High</v>
      </c>
      <c r="AD445" t="str">
        <f>_xlfn.XLOOKUP(H445,tblDepartment[Department],tblDepartment[Key_KPI],"")</f>
        <v>Operational Efficiency</v>
      </c>
      <c r="AE445">
        <f>_xlfn.XLOOKUP(tblMaster[[#This Row],[Shift]],tblShift[Shift_Name],tblShift[Login_Time],"")</f>
        <v>0.91666666666666663</v>
      </c>
      <c r="AF445">
        <f>_xlfn.XLOOKUP(tblMaster[[#This Row],[Shift]],tblShift[Shift_Name],tblShift[Logout_Time]," ")</f>
        <v>0.29166666666666669</v>
      </c>
      <c r="AG445">
        <f>_xlfn.XLOOKUP(tblMaster[[#This Row],[Shift]],tblShift[Shift_Name],tblShift[Standard_Working_Hours],"")</f>
        <v>8</v>
      </c>
      <c r="AH445" t="str">
        <f>_xlfn.XLOOKUP(tblMaster[[#This Row],[Attendance_Date]],tblHoliday[Holiday_Date],tblHoliday[Holiday_Name],"Working Day")</f>
        <v>Working Day</v>
      </c>
      <c r="AI445" t="str">
        <f>_xlfn.XLOOKUP(tblMaster[[#This Row],[Attendance_Date]],tblHoliday[Holiday_Date],tblHoliday[Holiday_Type],"Working Day ")</f>
        <v xml:space="preserve">Working Day </v>
      </c>
    </row>
    <row r="446" spans="1:35" x14ac:dyDescent="0.3">
      <c r="A446" t="s">
        <v>635</v>
      </c>
      <c r="B446" s="3">
        <v>45707</v>
      </c>
      <c r="C446" t="s">
        <v>95</v>
      </c>
      <c r="D446" t="s">
        <v>50</v>
      </c>
      <c r="E446" t="s">
        <v>51</v>
      </c>
      <c r="F446" t="s">
        <v>201</v>
      </c>
      <c r="G446" t="s">
        <v>202</v>
      </c>
      <c r="H446" t="s">
        <v>112</v>
      </c>
      <c r="I446" t="s">
        <v>113</v>
      </c>
      <c r="J446" t="s">
        <v>66</v>
      </c>
      <c r="K446" t="s">
        <v>44</v>
      </c>
      <c r="L446" s="2">
        <v>0.375</v>
      </c>
      <c r="N446">
        <v>8</v>
      </c>
      <c r="O446">
        <v>0</v>
      </c>
      <c r="P446" t="s">
        <v>32</v>
      </c>
      <c r="R446">
        <v>5</v>
      </c>
      <c r="S446" t="s">
        <v>67</v>
      </c>
      <c r="T446" t="s">
        <v>114</v>
      </c>
      <c r="U446" t="str">
        <f>_xlfn.XLOOKUP(tblMaster[[#This Row],[Employee_ID]],tblEmployee[Employee_ID],tblEmployee[Work_Mode]," ")</f>
        <v>Hybrid</v>
      </c>
      <c r="V446" t="s">
        <v>60</v>
      </c>
      <c r="W446">
        <f>_xlfn.XLOOKUP(F446,tblEmployee[Employee_ID],tblEmployee[Age],"Not Found")</f>
        <v>35</v>
      </c>
      <c r="X446" t="str">
        <f>_xlfn.XLOOKUP(F446,tblEmployee[Employee_ID],tblEmployee[Gender],"Not Found")</f>
        <v>Male</v>
      </c>
      <c r="Y446">
        <f>_xlfn.XLOOKUP(F446,tblEmployee[Employee_ID],tblEmployee[Joining_Date],"")</f>
        <v>44423</v>
      </c>
      <c r="Z446">
        <f>_xlfn.XLOOKUP(H446,tblDepartment[Department],tblDepartment[Annual_Budget_INR],"")</f>
        <v>42000000</v>
      </c>
      <c r="AA446" t="str">
        <f>_xlfn.XLOOKUP(H446,tblDepartment[Department],tblDepartment[Monthly_Target],"")</f>
        <v>₹2.5 Cr Monthly Sales</v>
      </c>
      <c r="AB446">
        <f>_xlfn.XLOOKUP(H446,tblDepartment[Department],tblDepartment[Average_Salary_INR],"")</f>
        <v>680000</v>
      </c>
      <c r="AC446" t="str">
        <f>_xlfn.XLOOKUP(H446,tblDepartment[Department],tblDepartment[Priority_Level],"")</f>
        <v>High</v>
      </c>
      <c r="AD446" t="str">
        <f>_xlfn.XLOOKUP(H446,tblDepartment[Department],tblDepartment[Key_KPI],"")</f>
        <v>Revenue Achievement</v>
      </c>
      <c r="AE446">
        <f>_xlfn.XLOOKUP(tblMaster[[#This Row],[Shift]],tblShift[Shift_Name],tblShift[Login_Time],"")</f>
        <v>0.41666666666666669</v>
      </c>
      <c r="AF446">
        <f>_xlfn.XLOOKUP(tblMaster[[#This Row],[Shift]],tblShift[Shift_Name],tblShift[Logout_Time]," ")</f>
        <v>0.79166666666666663</v>
      </c>
      <c r="AG446">
        <f>_xlfn.XLOOKUP(tblMaster[[#This Row],[Shift]],tblShift[Shift_Name],tblShift[Standard_Working_Hours],"")</f>
        <v>8</v>
      </c>
      <c r="AH446" t="str">
        <f>_xlfn.XLOOKUP(tblMaster[[#This Row],[Attendance_Date]],tblHoliday[Holiday_Date],tblHoliday[Holiday_Name],"Working Day")</f>
        <v>Working Day</v>
      </c>
      <c r="AI446" t="str">
        <f>_xlfn.XLOOKUP(tblMaster[[#This Row],[Attendance_Date]],tblHoliday[Holiday_Date],tblHoliday[Holiday_Type],"Working Day ")</f>
        <v xml:space="preserve">Working Day </v>
      </c>
    </row>
    <row r="447" spans="1:35" hidden="1" x14ac:dyDescent="0.3">
      <c r="A447" t="s">
        <v>636</v>
      </c>
      <c r="B447" s="3">
        <v>45678</v>
      </c>
      <c r="C447" t="s">
        <v>49</v>
      </c>
      <c r="D447" t="s">
        <v>50</v>
      </c>
      <c r="E447" t="s">
        <v>87</v>
      </c>
      <c r="F447" t="s">
        <v>154</v>
      </c>
      <c r="G447" t="s">
        <v>155</v>
      </c>
      <c r="H447" t="s">
        <v>41</v>
      </c>
      <c r="I447" t="s">
        <v>42</v>
      </c>
      <c r="J447" t="s">
        <v>74</v>
      </c>
      <c r="K447" t="s">
        <v>44</v>
      </c>
      <c r="L447" s="2">
        <v>0.375</v>
      </c>
      <c r="M447" s="2">
        <v>0.75</v>
      </c>
      <c r="N447">
        <v>8</v>
      </c>
      <c r="O447">
        <v>0</v>
      </c>
      <c r="P447" t="s">
        <v>32</v>
      </c>
      <c r="R447">
        <v>4</v>
      </c>
      <c r="S447" t="s">
        <v>33</v>
      </c>
      <c r="T447" t="s">
        <v>46</v>
      </c>
      <c r="U447" t="s">
        <v>55</v>
      </c>
      <c r="V447" t="s">
        <v>60</v>
      </c>
      <c r="W447">
        <f>_xlfn.XLOOKUP(F447,tblEmployee[Employee_ID],tblEmployee[Age],"Not Found")</f>
        <v>33</v>
      </c>
      <c r="X447" t="str">
        <f>_xlfn.XLOOKUP(F447,tblEmployee[Employee_ID],tblEmployee[Gender],"Not Found")</f>
        <v>Male</v>
      </c>
      <c r="Y447">
        <f>_xlfn.XLOOKUP(F447,tblEmployee[Employee_ID],tblEmployee[Joining_Date],"")</f>
        <v>45275</v>
      </c>
      <c r="Z447">
        <f>_xlfn.XLOOKUP(H447,tblDepartment[Department],tblDepartment[Annual_Budget_INR],"")</f>
        <v>34000000</v>
      </c>
      <c r="AA447" t="str">
        <f>_xlfn.XLOOKUP(H447,tblDepartment[Department],tblDepartment[Monthly_Target],"")</f>
        <v>95% Process Efficiency</v>
      </c>
      <c r="AB447">
        <f>_xlfn.XLOOKUP(H447,tblDepartment[Department],tblDepartment[Average_Salary_INR],"")</f>
        <v>610000</v>
      </c>
      <c r="AC447" t="str">
        <f>_xlfn.XLOOKUP(H447,tblDepartment[Department],tblDepartment[Priority_Level],"")</f>
        <v>High</v>
      </c>
      <c r="AD447" t="str">
        <f>_xlfn.XLOOKUP(H447,tblDepartment[Department],tblDepartment[Key_KPI],"")</f>
        <v>Operational Efficiency</v>
      </c>
      <c r="AE447">
        <f>_xlfn.XLOOKUP(tblMaster[[#This Row],[Shift]],tblShift[Shift_Name],tblShift[Login_Time],"")</f>
        <v>0.41666666666666669</v>
      </c>
      <c r="AF447">
        <f>_xlfn.XLOOKUP(tblMaster[[#This Row],[Shift]],tblShift[Shift_Name],tblShift[Logout_Time]," ")</f>
        <v>0.79166666666666663</v>
      </c>
      <c r="AG447">
        <f>_xlfn.XLOOKUP(tblMaster[[#This Row],[Shift]],tblShift[Shift_Name],tblShift[Standard_Working_Hours],"")</f>
        <v>8</v>
      </c>
      <c r="AH447" t="str">
        <f>_xlfn.XLOOKUP(tblMaster[[#This Row],[Attendance_Date]],tblHoliday[Holiday_Date],tblHoliday[Holiday_Name],"Working Day")</f>
        <v>Working Day</v>
      </c>
      <c r="AI447" t="str">
        <f>_xlfn.XLOOKUP(tblMaster[[#This Row],[Attendance_Date]],tblHoliday[Holiday_Date],tblHoliday[Holiday_Type],"Working Day ")</f>
        <v xml:space="preserve">Working Day </v>
      </c>
    </row>
    <row r="448" spans="1:35" x14ac:dyDescent="0.3">
      <c r="A448" t="s">
        <v>637</v>
      </c>
      <c r="B448" s="3">
        <v>45726</v>
      </c>
      <c r="C448" t="s">
        <v>71</v>
      </c>
      <c r="D448" t="s">
        <v>50</v>
      </c>
      <c r="E448" t="s">
        <v>109</v>
      </c>
      <c r="F448" t="s">
        <v>288</v>
      </c>
      <c r="G448" t="s">
        <v>289</v>
      </c>
      <c r="H448" t="s">
        <v>28</v>
      </c>
      <c r="I448" t="s">
        <v>29</v>
      </c>
      <c r="J448" t="s">
        <v>74</v>
      </c>
      <c r="K448" t="s">
        <v>44</v>
      </c>
      <c r="L448" s="2">
        <v>0.375</v>
      </c>
      <c r="M448" s="2">
        <v>0.75</v>
      </c>
      <c r="N448">
        <v>8</v>
      </c>
      <c r="O448">
        <v>0</v>
      </c>
      <c r="P448" t="s">
        <v>32</v>
      </c>
      <c r="S448" t="s">
        <v>33</v>
      </c>
      <c r="T448" t="s">
        <v>34</v>
      </c>
      <c r="U448" t="str">
        <f>_xlfn.XLOOKUP(tblMaster[[#This Row],[Employee_ID]],tblEmployee[Employee_ID],tblEmployee[Work_Mode]," ")</f>
        <v>Hybrid</v>
      </c>
      <c r="W448">
        <f>_xlfn.XLOOKUP(F448,tblEmployee[Employee_ID],tblEmployee[Age],"Not Found")</f>
        <v>29</v>
      </c>
      <c r="X448" t="str">
        <f>_xlfn.XLOOKUP(F448,tblEmployee[Employee_ID],tblEmployee[Gender],"Not Found")</f>
        <v>Male</v>
      </c>
      <c r="Y448">
        <f>_xlfn.XLOOKUP(F448,tblEmployee[Employee_ID],tblEmployee[Joining_Date],"")</f>
        <v>43327</v>
      </c>
      <c r="Z448">
        <f>_xlfn.XLOOKUP(H448,tblDepartment[Department],tblDepartment[Annual_Budget_INR],"")</f>
        <v>24000000</v>
      </c>
      <c r="AA448" t="str">
        <f>_xlfn.XLOOKUP(H448,tblDepartment[Department],tblDepartment[Monthly_Target],"")</f>
        <v>90% Customer Satisfaction</v>
      </c>
      <c r="AB448">
        <f>_xlfn.XLOOKUP(H448,tblDepartment[Department],tblDepartment[Average_Salary_INR],"")</f>
        <v>520000</v>
      </c>
      <c r="AC448" t="str">
        <f>_xlfn.XLOOKUP(H448,tblDepartment[Department],tblDepartment[Priority_Level],"")</f>
        <v>High</v>
      </c>
      <c r="AD448" t="str">
        <f>_xlfn.XLOOKUP(H448,tblDepartment[Department],tblDepartment[Key_KPI],"")</f>
        <v>Customer Satisfaction</v>
      </c>
      <c r="AE448">
        <f>_xlfn.XLOOKUP(tblMaster[[#This Row],[Shift]],tblShift[Shift_Name],tblShift[Login_Time],"")</f>
        <v>0.41666666666666669</v>
      </c>
      <c r="AF448">
        <f>_xlfn.XLOOKUP(tblMaster[[#This Row],[Shift]],tblShift[Shift_Name],tblShift[Logout_Time]," ")</f>
        <v>0.79166666666666663</v>
      </c>
      <c r="AG448">
        <f>_xlfn.XLOOKUP(tblMaster[[#This Row],[Shift]],tblShift[Shift_Name],tblShift[Standard_Working_Hours],"")</f>
        <v>8</v>
      </c>
      <c r="AH448" t="str">
        <f>_xlfn.XLOOKUP(tblMaster[[#This Row],[Attendance_Date]],tblHoliday[Holiday_Date],tblHoliday[Holiday_Name],"Working Day")</f>
        <v>Working Day</v>
      </c>
      <c r="AI448" t="str">
        <f>_xlfn.XLOOKUP(tblMaster[[#This Row],[Attendance_Date]],tblHoliday[Holiday_Date],tblHoliday[Holiday_Type],"Working Day ")</f>
        <v xml:space="preserve">Working Day </v>
      </c>
    </row>
    <row r="449" spans="1:35" hidden="1" x14ac:dyDescent="0.3">
      <c r="A449" t="s">
        <v>638</v>
      </c>
      <c r="B449" s="1">
        <v>45713</v>
      </c>
      <c r="C449" t="s">
        <v>95</v>
      </c>
      <c r="D449" t="s">
        <v>50</v>
      </c>
      <c r="E449" t="s">
        <v>87</v>
      </c>
      <c r="F449" t="s">
        <v>195</v>
      </c>
      <c r="G449" t="s">
        <v>196</v>
      </c>
      <c r="H449" t="s">
        <v>98</v>
      </c>
      <c r="I449" t="s">
        <v>99</v>
      </c>
      <c r="J449" t="s">
        <v>43</v>
      </c>
      <c r="K449" t="s">
        <v>75</v>
      </c>
      <c r="L449" s="2">
        <v>0.375</v>
      </c>
      <c r="M449" s="2">
        <v>0.75</v>
      </c>
      <c r="N449">
        <v>8</v>
      </c>
      <c r="O449">
        <v>0</v>
      </c>
      <c r="P449" t="s">
        <v>32</v>
      </c>
      <c r="S449" t="s">
        <v>45</v>
      </c>
      <c r="T449" t="s">
        <v>101</v>
      </c>
      <c r="U449" t="s">
        <v>85</v>
      </c>
      <c r="V449" t="s">
        <v>60</v>
      </c>
      <c r="W449">
        <f>_xlfn.XLOOKUP(F449,tblEmployee[Employee_ID],tblEmployee[Age],"Not Found")</f>
        <v>24</v>
      </c>
      <c r="X449" t="str">
        <f>_xlfn.XLOOKUP(F449,tblEmployee[Employee_ID],tblEmployee[Gender],"Not Found")</f>
        <v>Male</v>
      </c>
      <c r="Y449">
        <f>_xlfn.XLOOKUP(F449,tblEmployee[Employee_ID],tblEmployee[Joining_Date],"")</f>
        <v>45550</v>
      </c>
      <c r="Z449">
        <f>_xlfn.XLOOKUP(H449,tblDepartment[Department],tblDepartment[Annual_Budget_INR],"")</f>
        <v>22000000</v>
      </c>
      <c r="AA449" t="str">
        <f>_xlfn.XLOOKUP(H449,tblDepartment[Department],tblDepartment[Monthly_Target],"")</f>
        <v>2500 Qualified Leads</v>
      </c>
      <c r="AB449">
        <f>_xlfn.XLOOKUP(H449,tblDepartment[Department],tblDepartment[Average_Salary_INR],"")</f>
        <v>590000</v>
      </c>
      <c r="AC449" t="str">
        <f>_xlfn.XLOOKUP(H449,tblDepartment[Department],tblDepartment[Priority_Level],"")</f>
        <v>Medium</v>
      </c>
      <c r="AD449" t="str">
        <f>_xlfn.XLOOKUP(H449,tblDepartment[Department],tblDepartment[Key_KPI],"")</f>
        <v>Lead Generation</v>
      </c>
      <c r="AE449">
        <f>_xlfn.XLOOKUP(tblMaster[[#This Row],[Shift]],tblShift[Shift_Name],tblShift[Login_Time],"")</f>
        <v>0.375</v>
      </c>
      <c r="AF449">
        <f>_xlfn.XLOOKUP(tblMaster[[#This Row],[Shift]],tblShift[Shift_Name],tblShift[Logout_Time]," ")</f>
        <v>0.75</v>
      </c>
      <c r="AG449">
        <f>_xlfn.XLOOKUP(tblMaster[[#This Row],[Shift]],tblShift[Shift_Name],tblShift[Standard_Working_Hours],"")</f>
        <v>8</v>
      </c>
      <c r="AH449" t="str">
        <f>_xlfn.XLOOKUP(tblMaster[[#This Row],[Attendance_Date]],tblHoliday[Holiday_Date],tblHoliday[Holiday_Name],"Working Day")</f>
        <v>Working Day</v>
      </c>
      <c r="AI449" t="str">
        <f>_xlfn.XLOOKUP(tblMaster[[#This Row],[Attendance_Date]],tblHoliday[Holiday_Date],tblHoliday[Holiday_Type],"Working Day ")</f>
        <v xml:space="preserve">Working Day </v>
      </c>
    </row>
    <row r="450" spans="1:35" hidden="1" x14ac:dyDescent="0.3">
      <c r="A450" t="s">
        <v>639</v>
      </c>
      <c r="B450" s="3">
        <v>45770</v>
      </c>
      <c r="C450" t="s">
        <v>37</v>
      </c>
      <c r="D450" t="s">
        <v>24</v>
      </c>
      <c r="E450" t="s">
        <v>51</v>
      </c>
      <c r="F450" t="s">
        <v>195</v>
      </c>
      <c r="G450" t="s">
        <v>196</v>
      </c>
      <c r="H450" t="s">
        <v>98</v>
      </c>
      <c r="I450" t="s">
        <v>99</v>
      </c>
      <c r="J450" t="s">
        <v>43</v>
      </c>
      <c r="K450" t="s">
        <v>31</v>
      </c>
      <c r="L450" s="2">
        <v>0.375</v>
      </c>
      <c r="M450" s="2">
        <v>0.75</v>
      </c>
      <c r="N450">
        <v>8</v>
      </c>
      <c r="O450">
        <v>0</v>
      </c>
      <c r="P450" t="s">
        <v>32</v>
      </c>
      <c r="S450" t="s">
        <v>92</v>
      </c>
      <c r="T450" t="s">
        <v>101</v>
      </c>
      <c r="U450" t="s">
        <v>47</v>
      </c>
      <c r="V450" t="s">
        <v>69</v>
      </c>
      <c r="W450">
        <f>_xlfn.XLOOKUP(F450,tblEmployee[Employee_ID],tblEmployee[Age],"Not Found")</f>
        <v>24</v>
      </c>
      <c r="X450" t="str">
        <f>_xlfn.XLOOKUP(F450,tblEmployee[Employee_ID],tblEmployee[Gender],"Not Found")</f>
        <v>Male</v>
      </c>
      <c r="Y450">
        <f>_xlfn.XLOOKUP(F450,tblEmployee[Employee_ID],tblEmployee[Joining_Date],"")</f>
        <v>45550</v>
      </c>
      <c r="Z450">
        <f>_xlfn.XLOOKUP(H450,tblDepartment[Department],tblDepartment[Annual_Budget_INR],"")</f>
        <v>22000000</v>
      </c>
      <c r="AA450" t="str">
        <f>_xlfn.XLOOKUP(H450,tblDepartment[Department],tblDepartment[Monthly_Target],"")</f>
        <v>2500 Qualified Leads</v>
      </c>
      <c r="AB450">
        <f>_xlfn.XLOOKUP(H450,tblDepartment[Department],tblDepartment[Average_Salary_INR],"")</f>
        <v>590000</v>
      </c>
      <c r="AC450" t="str">
        <f>_xlfn.XLOOKUP(H450,tblDepartment[Department],tblDepartment[Priority_Level],"")</f>
        <v>Medium</v>
      </c>
      <c r="AD450" t="str">
        <f>_xlfn.XLOOKUP(H450,tblDepartment[Department],tblDepartment[Key_KPI],"")</f>
        <v>Lead Generation</v>
      </c>
      <c r="AE450">
        <f>_xlfn.XLOOKUP(tblMaster[[#This Row],[Shift]],tblShift[Shift_Name],tblShift[Login_Time],"")</f>
        <v>0.25</v>
      </c>
      <c r="AF450">
        <f>_xlfn.XLOOKUP(tblMaster[[#This Row],[Shift]],tblShift[Shift_Name],tblShift[Logout_Time]," ")</f>
        <v>0.625</v>
      </c>
      <c r="AG450">
        <f>_xlfn.XLOOKUP(tblMaster[[#This Row],[Shift]],tblShift[Shift_Name],tblShift[Standard_Working_Hours],"")</f>
        <v>8</v>
      </c>
      <c r="AH450" t="str">
        <f>_xlfn.XLOOKUP(tblMaster[[#This Row],[Attendance_Date]],tblHoliday[Holiday_Date],tblHoliday[Holiday_Name],"Working Day")</f>
        <v>Working Day</v>
      </c>
      <c r="AI450" t="str">
        <f>_xlfn.XLOOKUP(tblMaster[[#This Row],[Attendance_Date]],tblHoliday[Holiday_Date],tblHoliday[Holiday_Type],"Working Day ")</f>
        <v xml:space="preserve">Working Day </v>
      </c>
    </row>
    <row r="451" spans="1:35" hidden="1" x14ac:dyDescent="0.3">
      <c r="A451" t="s">
        <v>640</v>
      </c>
      <c r="B451" s="3">
        <v>45838</v>
      </c>
      <c r="C451" t="s">
        <v>23</v>
      </c>
      <c r="D451" t="s">
        <v>24</v>
      </c>
      <c r="E451" t="s">
        <v>109</v>
      </c>
      <c r="F451" t="s">
        <v>151</v>
      </c>
      <c r="G451" t="s">
        <v>152</v>
      </c>
      <c r="H451" t="s">
        <v>581</v>
      </c>
      <c r="I451" t="s">
        <v>99</v>
      </c>
      <c r="J451" t="s">
        <v>30</v>
      </c>
      <c r="K451" t="s">
        <v>81</v>
      </c>
      <c r="L451" s="2">
        <v>0.91666666666666663</v>
      </c>
      <c r="M451" s="2">
        <v>0.29166666666666669</v>
      </c>
      <c r="N451">
        <v>10</v>
      </c>
      <c r="O451">
        <v>2</v>
      </c>
      <c r="P451" t="s">
        <v>32</v>
      </c>
      <c r="R451">
        <v>4</v>
      </c>
      <c r="S451" t="s">
        <v>45</v>
      </c>
      <c r="T451" t="s">
        <v>101</v>
      </c>
      <c r="U451" t="s">
        <v>47</v>
      </c>
      <c r="V451" t="s">
        <v>69</v>
      </c>
      <c r="W451">
        <f>_xlfn.XLOOKUP(F451,tblEmployee[Employee_ID],tblEmployee[Age],"Not Found")</f>
        <v>38</v>
      </c>
      <c r="X451" t="str">
        <f>_xlfn.XLOOKUP(F451,tblEmployee[Employee_ID],tblEmployee[Gender],"Not Found")</f>
        <v>Female</v>
      </c>
      <c r="Y451">
        <f>_xlfn.XLOOKUP(F451,tblEmployee[Employee_ID],tblEmployee[Joining_Date],"")</f>
        <v>45611</v>
      </c>
      <c r="Z451">
        <f>_xlfn.XLOOKUP(H451,tblDepartment[Department],tblDepartment[Annual_Budget_INR],"")</f>
        <v>22000000</v>
      </c>
      <c r="AA451" t="str">
        <f>_xlfn.XLOOKUP(H451,tblDepartment[Department],tblDepartment[Monthly_Target],"")</f>
        <v>2500 Qualified Leads</v>
      </c>
      <c r="AB451">
        <f>_xlfn.XLOOKUP(H451,tblDepartment[Department],tblDepartment[Average_Salary_INR],"")</f>
        <v>590000</v>
      </c>
      <c r="AC451" t="str">
        <f>_xlfn.XLOOKUP(H451,tblDepartment[Department],tblDepartment[Priority_Level],"")</f>
        <v>Medium</v>
      </c>
      <c r="AD451" t="str">
        <f>_xlfn.XLOOKUP(H451,tblDepartment[Department],tblDepartment[Key_KPI],"")</f>
        <v>Lead Generation</v>
      </c>
      <c r="AE451">
        <f>_xlfn.XLOOKUP(tblMaster[[#This Row],[Shift]],tblShift[Shift_Name],tblShift[Login_Time],"")</f>
        <v>0.91666666666666663</v>
      </c>
      <c r="AF451">
        <f>_xlfn.XLOOKUP(tblMaster[[#This Row],[Shift]],tblShift[Shift_Name],tblShift[Logout_Time]," ")</f>
        <v>0.29166666666666669</v>
      </c>
      <c r="AG451">
        <f>_xlfn.XLOOKUP(tblMaster[[#This Row],[Shift]],tblShift[Shift_Name],tblShift[Standard_Working_Hours],"")</f>
        <v>8</v>
      </c>
      <c r="AH451" t="str">
        <f>_xlfn.XLOOKUP(tblMaster[[#This Row],[Attendance_Date]],tblHoliday[Holiday_Date],tblHoliday[Holiday_Name],"Working Day")</f>
        <v>Working Day</v>
      </c>
      <c r="AI451" t="str">
        <f>_xlfn.XLOOKUP(tblMaster[[#This Row],[Attendance_Date]],tblHoliday[Holiday_Date],tblHoliday[Holiday_Type],"Working Day ")</f>
        <v xml:space="preserve">Working Day </v>
      </c>
    </row>
    <row r="452" spans="1:35" hidden="1" x14ac:dyDescent="0.3">
      <c r="A452" t="s">
        <v>641</v>
      </c>
      <c r="B452" s="3">
        <v>45770</v>
      </c>
      <c r="C452" t="s">
        <v>37</v>
      </c>
      <c r="D452" t="s">
        <v>24</v>
      </c>
      <c r="E452" t="s">
        <v>51</v>
      </c>
      <c r="F452" t="s">
        <v>145</v>
      </c>
      <c r="G452" t="s">
        <v>146</v>
      </c>
      <c r="H452" t="s">
        <v>90</v>
      </c>
      <c r="I452" t="s">
        <v>91</v>
      </c>
      <c r="J452" t="s">
        <v>100</v>
      </c>
      <c r="K452" t="s">
        <v>81</v>
      </c>
      <c r="L452" s="2">
        <v>0.91666666666666663</v>
      </c>
      <c r="M452" s="2">
        <v>0.29166666666666669</v>
      </c>
      <c r="N452">
        <v>9</v>
      </c>
      <c r="O452">
        <v>1</v>
      </c>
      <c r="P452" t="s">
        <v>32</v>
      </c>
      <c r="R452">
        <v>4</v>
      </c>
      <c r="S452" t="s">
        <v>45</v>
      </c>
      <c r="T452" t="s">
        <v>93</v>
      </c>
      <c r="U452" t="s">
        <v>47</v>
      </c>
      <c r="W452">
        <f>_xlfn.XLOOKUP(F452,tblEmployee[Employee_ID],tblEmployee[Age],"Not Found")</f>
        <v>27</v>
      </c>
      <c r="X452" t="str">
        <f>_xlfn.XLOOKUP(F452,tblEmployee[Employee_ID],tblEmployee[Gender],"Not Found")</f>
        <v>Male</v>
      </c>
      <c r="Y452">
        <f>_xlfn.XLOOKUP(F452,tblEmployee[Employee_ID],tblEmployee[Joining_Date],"")</f>
        <v>44180</v>
      </c>
      <c r="Z452">
        <f>_xlfn.XLOOKUP(H452,tblDepartment[Department],tblDepartment[Annual_Budget_INR],"")</f>
        <v>18000000</v>
      </c>
      <c r="AA452" t="str">
        <f>_xlfn.XLOOKUP(H452,tblDepartment[Department],tblDepartment[Monthly_Target],"")</f>
        <v>&lt;30 Days Hiring Cycle</v>
      </c>
      <c r="AB452">
        <f>_xlfn.XLOOKUP(H452,tblDepartment[Department],tblDepartment[Average_Salary_INR],"")</f>
        <v>560000</v>
      </c>
      <c r="AC452" t="str">
        <f>_xlfn.XLOOKUP(H452,tblDepartment[Department],tblDepartment[Priority_Level],"")</f>
        <v>Medium</v>
      </c>
      <c r="AD452" t="str">
        <f>_xlfn.XLOOKUP(H452,tblDepartment[Department],tblDepartment[Key_KPI],"")</f>
        <v>Hiring &amp; Retention</v>
      </c>
      <c r="AE452">
        <f>_xlfn.XLOOKUP(tblMaster[[#This Row],[Shift]],tblShift[Shift_Name],tblShift[Login_Time],"")</f>
        <v>0.91666666666666663</v>
      </c>
      <c r="AF452">
        <f>_xlfn.XLOOKUP(tblMaster[[#This Row],[Shift]],tblShift[Shift_Name],tblShift[Logout_Time]," ")</f>
        <v>0.29166666666666669</v>
      </c>
      <c r="AG452">
        <f>_xlfn.XLOOKUP(tblMaster[[#This Row],[Shift]],tblShift[Shift_Name],tblShift[Standard_Working_Hours],"")</f>
        <v>8</v>
      </c>
      <c r="AH452" t="str">
        <f>_xlfn.XLOOKUP(tblMaster[[#This Row],[Attendance_Date]],tblHoliday[Holiday_Date],tblHoliday[Holiday_Name],"Working Day")</f>
        <v>Working Day</v>
      </c>
      <c r="AI452" t="str">
        <f>_xlfn.XLOOKUP(tblMaster[[#This Row],[Attendance_Date]],tblHoliday[Holiday_Date],tblHoliday[Holiday_Type],"Working Day ")</f>
        <v xml:space="preserve">Working Day </v>
      </c>
    </row>
    <row r="453" spans="1:35" hidden="1" x14ac:dyDescent="0.3">
      <c r="A453" t="s">
        <v>642</v>
      </c>
      <c r="B453" s="3">
        <v>45787</v>
      </c>
      <c r="C453" t="s">
        <v>57</v>
      </c>
      <c r="D453" t="s">
        <v>24</v>
      </c>
      <c r="E453" t="s">
        <v>38</v>
      </c>
      <c r="F453" t="s">
        <v>58</v>
      </c>
      <c r="G453" t="s">
        <v>59</v>
      </c>
      <c r="H453" t="s">
        <v>41</v>
      </c>
      <c r="I453" t="s">
        <v>42</v>
      </c>
      <c r="J453" t="s">
        <v>30</v>
      </c>
      <c r="K453" t="s">
        <v>31</v>
      </c>
      <c r="L453" s="2">
        <v>0.375</v>
      </c>
      <c r="M453" s="2">
        <v>0.75</v>
      </c>
      <c r="N453">
        <v>8</v>
      </c>
      <c r="O453">
        <v>0</v>
      </c>
      <c r="P453" t="s">
        <v>32</v>
      </c>
      <c r="R453">
        <v>5</v>
      </c>
      <c r="S453" t="s">
        <v>45</v>
      </c>
      <c r="T453" t="s">
        <v>46</v>
      </c>
      <c r="U453" t="s">
        <v>47</v>
      </c>
      <c r="V453" t="s">
        <v>35</v>
      </c>
      <c r="W453">
        <f>_xlfn.XLOOKUP(F453,tblEmployee[Employee_ID],tblEmployee[Age],"Not Found")</f>
        <v>23</v>
      </c>
      <c r="X453" t="str">
        <f>_xlfn.XLOOKUP(F453,tblEmployee[Employee_ID],tblEmployee[Gender],"Not Found")</f>
        <v>Female</v>
      </c>
      <c r="Y453">
        <f>_xlfn.XLOOKUP(F453,tblEmployee[Employee_ID],tblEmployee[Joining_Date],"")</f>
        <v>45153</v>
      </c>
      <c r="Z453">
        <f>_xlfn.XLOOKUP(H453,tblDepartment[Department],tblDepartment[Annual_Budget_INR],"")</f>
        <v>34000000</v>
      </c>
      <c r="AA453" t="str">
        <f>_xlfn.XLOOKUP(H453,tblDepartment[Department],tblDepartment[Monthly_Target],"")</f>
        <v>95% Process Efficiency</v>
      </c>
      <c r="AB453">
        <f>_xlfn.XLOOKUP(H453,tblDepartment[Department],tblDepartment[Average_Salary_INR],"")</f>
        <v>610000</v>
      </c>
      <c r="AC453" t="str">
        <f>_xlfn.XLOOKUP(H453,tblDepartment[Department],tblDepartment[Priority_Level],"")</f>
        <v>High</v>
      </c>
      <c r="AD453" t="str">
        <f>_xlfn.XLOOKUP(H453,tblDepartment[Department],tblDepartment[Key_KPI],"")</f>
        <v>Operational Efficiency</v>
      </c>
      <c r="AE453">
        <f>_xlfn.XLOOKUP(tblMaster[[#This Row],[Shift]],tblShift[Shift_Name],tblShift[Login_Time],"")</f>
        <v>0.25</v>
      </c>
      <c r="AF453">
        <f>_xlfn.XLOOKUP(tblMaster[[#This Row],[Shift]],tblShift[Shift_Name],tblShift[Logout_Time]," ")</f>
        <v>0.625</v>
      </c>
      <c r="AG453">
        <f>_xlfn.XLOOKUP(tblMaster[[#This Row],[Shift]],tblShift[Shift_Name],tblShift[Standard_Working_Hours],"")</f>
        <v>8</v>
      </c>
      <c r="AH453" t="str">
        <f>_xlfn.XLOOKUP(tblMaster[[#This Row],[Attendance_Date]],tblHoliday[Holiday_Date],tblHoliday[Holiday_Name],"Working Day")</f>
        <v>Working Day</v>
      </c>
      <c r="AI453" t="str">
        <f>_xlfn.XLOOKUP(tblMaster[[#This Row],[Attendance_Date]],tblHoliday[Holiday_Date],tblHoliday[Holiday_Type],"Working Day ")</f>
        <v xml:space="preserve">Working Day </v>
      </c>
    </row>
    <row r="454" spans="1:35" hidden="1" x14ac:dyDescent="0.3">
      <c r="A454" t="s">
        <v>643</v>
      </c>
      <c r="B454" s="1">
        <v>45755</v>
      </c>
      <c r="C454" t="s">
        <v>37</v>
      </c>
      <c r="D454" t="s">
        <v>24</v>
      </c>
      <c r="E454" t="s">
        <v>87</v>
      </c>
      <c r="F454" t="s">
        <v>266</v>
      </c>
      <c r="G454" t="s">
        <v>267</v>
      </c>
      <c r="H454" t="s">
        <v>98</v>
      </c>
      <c r="I454" t="s">
        <v>99</v>
      </c>
      <c r="J454" t="s">
        <v>66</v>
      </c>
      <c r="K454" t="s">
        <v>31</v>
      </c>
      <c r="L454" s="2">
        <v>0.375</v>
      </c>
      <c r="M454" s="2">
        <v>0.75</v>
      </c>
      <c r="N454">
        <v>8</v>
      </c>
      <c r="O454">
        <v>0</v>
      </c>
      <c r="P454" t="s">
        <v>32</v>
      </c>
      <c r="R454">
        <v>4</v>
      </c>
      <c r="S454" t="s">
        <v>67</v>
      </c>
      <c r="T454" t="s">
        <v>101</v>
      </c>
      <c r="U454" t="s">
        <v>55</v>
      </c>
      <c r="W454">
        <f>_xlfn.XLOOKUP(F454,tblEmployee[Employee_ID],tblEmployee[Age],"Not Found")</f>
        <v>28</v>
      </c>
      <c r="X454" t="str">
        <f>_xlfn.XLOOKUP(F454,tblEmployee[Employee_ID],tblEmployee[Gender],"Not Found")</f>
        <v>Female</v>
      </c>
      <c r="Y454">
        <f>_xlfn.XLOOKUP(F454,tblEmployee[Employee_ID],tblEmployee[Joining_Date],"")</f>
        <v>45488</v>
      </c>
      <c r="Z454">
        <f>_xlfn.XLOOKUP(H454,tblDepartment[Department],tblDepartment[Annual_Budget_INR],"")</f>
        <v>22000000</v>
      </c>
      <c r="AA454" t="str">
        <f>_xlfn.XLOOKUP(H454,tblDepartment[Department],tblDepartment[Monthly_Target],"")</f>
        <v>2500 Qualified Leads</v>
      </c>
      <c r="AB454">
        <f>_xlfn.XLOOKUP(H454,tblDepartment[Department],tblDepartment[Average_Salary_INR],"")</f>
        <v>590000</v>
      </c>
      <c r="AC454" t="str">
        <f>_xlfn.XLOOKUP(H454,tblDepartment[Department],tblDepartment[Priority_Level],"")</f>
        <v>Medium</v>
      </c>
      <c r="AD454" t="str">
        <f>_xlfn.XLOOKUP(H454,tblDepartment[Department],tblDepartment[Key_KPI],"")</f>
        <v>Lead Generation</v>
      </c>
      <c r="AE454">
        <f>_xlfn.XLOOKUP(tblMaster[[#This Row],[Shift]],tblShift[Shift_Name],tblShift[Login_Time],"")</f>
        <v>0.25</v>
      </c>
      <c r="AF454">
        <f>_xlfn.XLOOKUP(tblMaster[[#This Row],[Shift]],tblShift[Shift_Name],tblShift[Logout_Time]," ")</f>
        <v>0.625</v>
      </c>
      <c r="AG454">
        <f>_xlfn.XLOOKUP(tblMaster[[#This Row],[Shift]],tblShift[Shift_Name],tblShift[Standard_Working_Hours],"")</f>
        <v>8</v>
      </c>
      <c r="AH454" t="str">
        <f>_xlfn.XLOOKUP(tblMaster[[#This Row],[Attendance_Date]],tblHoliday[Holiday_Date],tblHoliday[Holiday_Name],"Working Day")</f>
        <v>Working Day</v>
      </c>
      <c r="AI454" t="str">
        <f>_xlfn.XLOOKUP(tblMaster[[#This Row],[Attendance_Date]],tblHoliday[Holiday_Date],tblHoliday[Holiday_Type],"Working Day ")</f>
        <v xml:space="preserve">Working Day </v>
      </c>
    </row>
    <row r="455" spans="1:35" hidden="1" x14ac:dyDescent="0.3">
      <c r="A455" t="s">
        <v>644</v>
      </c>
      <c r="B455" s="3">
        <v>45800</v>
      </c>
      <c r="C455" t="s">
        <v>57</v>
      </c>
      <c r="D455" t="s">
        <v>24</v>
      </c>
      <c r="E455" t="s">
        <v>119</v>
      </c>
      <c r="F455" t="s">
        <v>77</v>
      </c>
      <c r="G455" t="s">
        <v>78</v>
      </c>
      <c r="H455" t="s">
        <v>79</v>
      </c>
      <c r="I455" t="s">
        <v>80</v>
      </c>
      <c r="J455" t="s">
        <v>30</v>
      </c>
      <c r="K455" t="s">
        <v>81</v>
      </c>
      <c r="L455" s="2">
        <v>0.91666666666666663</v>
      </c>
      <c r="M455" s="2">
        <v>0.29166666666666669</v>
      </c>
      <c r="N455">
        <v>10</v>
      </c>
      <c r="O455">
        <v>2</v>
      </c>
      <c r="P455" t="s">
        <v>32</v>
      </c>
      <c r="R455">
        <v>3</v>
      </c>
      <c r="S455" t="s">
        <v>33</v>
      </c>
      <c r="T455" t="s">
        <v>84</v>
      </c>
      <c r="U455" t="s">
        <v>55</v>
      </c>
      <c r="V455" t="s">
        <v>35</v>
      </c>
      <c r="W455">
        <f>_xlfn.XLOOKUP(F455,tblEmployee[Employee_ID],tblEmployee[Age],"Not Found")</f>
        <v>26</v>
      </c>
      <c r="X455" t="str">
        <f>_xlfn.XLOOKUP(F455,tblEmployee[Employee_ID],tblEmployee[Gender],"Not Found")</f>
        <v>Female</v>
      </c>
      <c r="Y455">
        <f>_xlfn.XLOOKUP(F455,tblEmployee[Employee_ID],tblEmployee[Joining_Date],"")</f>
        <v>44696</v>
      </c>
      <c r="Z455">
        <f>_xlfn.XLOOKUP(H455,tblDepartment[Department],tblDepartment[Annual_Budget_INR],"")</f>
        <v>26000000</v>
      </c>
      <c r="AA455" t="str">
        <f>_xlfn.XLOOKUP(H455,tblDepartment[Department],tblDepartment[Monthly_Target],"")</f>
        <v>100% Payroll Accuracy</v>
      </c>
      <c r="AB455">
        <f>_xlfn.XLOOKUP(H455,tblDepartment[Department],tblDepartment[Average_Salary_INR],"")</f>
        <v>640000</v>
      </c>
      <c r="AC455" t="str">
        <f>_xlfn.XLOOKUP(H455,tblDepartment[Department],tblDepartment[Priority_Level],"")</f>
        <v>High</v>
      </c>
      <c r="AD455" t="str">
        <f>_xlfn.XLOOKUP(H455,tblDepartment[Department],tblDepartment[Key_KPI],"")</f>
        <v>Financial Compliance</v>
      </c>
      <c r="AE455">
        <f>_xlfn.XLOOKUP(tblMaster[[#This Row],[Shift]],tblShift[Shift_Name],tblShift[Login_Time],"")</f>
        <v>0.91666666666666663</v>
      </c>
      <c r="AF455">
        <f>_xlfn.XLOOKUP(tblMaster[[#This Row],[Shift]],tblShift[Shift_Name],tblShift[Logout_Time]," ")</f>
        <v>0.29166666666666669</v>
      </c>
      <c r="AG455">
        <f>_xlfn.XLOOKUP(tblMaster[[#This Row],[Shift]],tblShift[Shift_Name],tblShift[Standard_Working_Hours],"")</f>
        <v>8</v>
      </c>
      <c r="AH455" t="str">
        <f>_xlfn.XLOOKUP(tblMaster[[#This Row],[Attendance_Date]],tblHoliday[Holiday_Date],tblHoliday[Holiday_Name],"Working Day")</f>
        <v>Working Day</v>
      </c>
      <c r="AI455" t="str">
        <f>_xlfn.XLOOKUP(tblMaster[[#This Row],[Attendance_Date]],tblHoliday[Holiday_Date],tblHoliday[Holiday_Type],"Working Day ")</f>
        <v xml:space="preserve">Working Day </v>
      </c>
    </row>
    <row r="456" spans="1:35" hidden="1" x14ac:dyDescent="0.3">
      <c r="A456" t="s">
        <v>645</v>
      </c>
      <c r="B456" s="3">
        <v>45812</v>
      </c>
      <c r="C456" t="s">
        <v>23</v>
      </c>
      <c r="D456" t="s">
        <v>24</v>
      </c>
      <c r="E456" t="s">
        <v>51</v>
      </c>
      <c r="F456" t="s">
        <v>58</v>
      </c>
      <c r="G456" t="s">
        <v>59</v>
      </c>
      <c r="H456" t="s">
        <v>41</v>
      </c>
      <c r="I456" t="s">
        <v>42</v>
      </c>
      <c r="J456" t="s">
        <v>30</v>
      </c>
      <c r="K456" t="s">
        <v>81</v>
      </c>
      <c r="L456" s="2">
        <v>0.91666666666666663</v>
      </c>
      <c r="M456" s="2">
        <v>0.29166666666666669</v>
      </c>
      <c r="N456">
        <v>8.5</v>
      </c>
      <c r="O456">
        <v>0.5</v>
      </c>
      <c r="P456" t="s">
        <v>32</v>
      </c>
      <c r="R456">
        <v>3</v>
      </c>
      <c r="S456" t="s">
        <v>45</v>
      </c>
      <c r="T456" t="s">
        <v>46</v>
      </c>
      <c r="U456" t="s">
        <v>47</v>
      </c>
      <c r="V456" t="s">
        <v>69</v>
      </c>
      <c r="W456">
        <f>_xlfn.XLOOKUP(F456,tblEmployee[Employee_ID],tblEmployee[Age],"Not Found")</f>
        <v>23</v>
      </c>
      <c r="X456" t="str">
        <f>_xlfn.XLOOKUP(F456,tblEmployee[Employee_ID],tblEmployee[Gender],"Not Found")</f>
        <v>Female</v>
      </c>
      <c r="Y456">
        <f>_xlfn.XLOOKUP(F456,tblEmployee[Employee_ID],tblEmployee[Joining_Date],"")</f>
        <v>45153</v>
      </c>
      <c r="Z456">
        <f>_xlfn.XLOOKUP(H456,tblDepartment[Department],tblDepartment[Annual_Budget_INR],"")</f>
        <v>34000000</v>
      </c>
      <c r="AA456" t="str">
        <f>_xlfn.XLOOKUP(H456,tblDepartment[Department],tblDepartment[Monthly_Target],"")</f>
        <v>95% Process Efficiency</v>
      </c>
      <c r="AB456">
        <f>_xlfn.XLOOKUP(H456,tblDepartment[Department],tblDepartment[Average_Salary_INR],"")</f>
        <v>610000</v>
      </c>
      <c r="AC456" t="str">
        <f>_xlfn.XLOOKUP(H456,tblDepartment[Department],tblDepartment[Priority_Level],"")</f>
        <v>High</v>
      </c>
      <c r="AD456" t="str">
        <f>_xlfn.XLOOKUP(H456,tblDepartment[Department],tblDepartment[Key_KPI],"")</f>
        <v>Operational Efficiency</v>
      </c>
      <c r="AE456">
        <f>_xlfn.XLOOKUP(tblMaster[[#This Row],[Shift]],tblShift[Shift_Name],tblShift[Login_Time],"")</f>
        <v>0.91666666666666663</v>
      </c>
      <c r="AF456">
        <f>_xlfn.XLOOKUP(tblMaster[[#This Row],[Shift]],tblShift[Shift_Name],tblShift[Logout_Time]," ")</f>
        <v>0.29166666666666669</v>
      </c>
      <c r="AG456">
        <f>_xlfn.XLOOKUP(tblMaster[[#This Row],[Shift]],tblShift[Shift_Name],tblShift[Standard_Working_Hours],"")</f>
        <v>8</v>
      </c>
      <c r="AH456" t="str">
        <f>_xlfn.XLOOKUP(tblMaster[[#This Row],[Attendance_Date]],tblHoliday[Holiday_Date],tblHoliday[Holiday_Name],"Working Day")</f>
        <v>Working Day</v>
      </c>
      <c r="AI456" t="str">
        <f>_xlfn.XLOOKUP(tblMaster[[#This Row],[Attendance_Date]],tblHoliday[Holiday_Date],tblHoliday[Holiday_Type],"Working Day ")</f>
        <v xml:space="preserve">Working Day </v>
      </c>
    </row>
    <row r="457" spans="1:35" hidden="1" x14ac:dyDescent="0.3">
      <c r="A457" t="s">
        <v>646</v>
      </c>
      <c r="B457" s="1">
        <v>45822</v>
      </c>
      <c r="C457" t="s">
        <v>23</v>
      </c>
      <c r="D457" t="s">
        <v>24</v>
      </c>
      <c r="E457" t="s">
        <v>38</v>
      </c>
      <c r="F457" t="s">
        <v>185</v>
      </c>
      <c r="G457" t="s">
        <v>186</v>
      </c>
      <c r="H457" t="s">
        <v>79</v>
      </c>
      <c r="I457" t="s">
        <v>80</v>
      </c>
      <c r="J457" t="s">
        <v>66</v>
      </c>
      <c r="K457" t="s">
        <v>54</v>
      </c>
      <c r="L457" s="2">
        <v>0.375</v>
      </c>
      <c r="M457" s="2">
        <v>0.75</v>
      </c>
      <c r="N457">
        <v>8</v>
      </c>
      <c r="O457">
        <v>0</v>
      </c>
      <c r="P457" t="s">
        <v>32</v>
      </c>
      <c r="R457">
        <v>3</v>
      </c>
      <c r="S457" t="s">
        <v>45</v>
      </c>
      <c r="T457" t="s">
        <v>84</v>
      </c>
      <c r="U457" t="s">
        <v>55</v>
      </c>
      <c r="V457" t="s">
        <v>69</v>
      </c>
      <c r="W457">
        <f>_xlfn.XLOOKUP(F457,tblEmployee[Employee_ID],tblEmployee[Age],"Not Found")</f>
        <v>33</v>
      </c>
      <c r="X457" t="str">
        <f>_xlfn.XLOOKUP(F457,tblEmployee[Employee_ID],tblEmployee[Gender],"Not Found")</f>
        <v>Male</v>
      </c>
      <c r="Y457">
        <f>_xlfn.XLOOKUP(F457,tblEmployee[Employee_ID],tblEmployee[Joining_Date],"")</f>
        <v>44910</v>
      </c>
      <c r="Z457">
        <f>_xlfn.XLOOKUP(H457,tblDepartment[Department],tblDepartment[Annual_Budget_INR],"")</f>
        <v>26000000</v>
      </c>
      <c r="AA457" t="str">
        <f>_xlfn.XLOOKUP(H457,tblDepartment[Department],tblDepartment[Monthly_Target],"")</f>
        <v>100% Payroll Accuracy</v>
      </c>
      <c r="AB457">
        <f>_xlfn.XLOOKUP(H457,tblDepartment[Department],tblDepartment[Average_Salary_INR],"")</f>
        <v>640000</v>
      </c>
      <c r="AC457" t="str">
        <f>_xlfn.XLOOKUP(H457,tblDepartment[Department],tblDepartment[Priority_Level],"")</f>
        <v>High</v>
      </c>
      <c r="AD457" t="str">
        <f>_xlfn.XLOOKUP(H457,tblDepartment[Department],tblDepartment[Key_KPI],"")</f>
        <v>Financial Compliance</v>
      </c>
      <c r="AE457">
        <f>_xlfn.XLOOKUP(tblMaster[[#This Row],[Shift]],tblShift[Shift_Name],tblShift[Login_Time],"")</f>
        <v>0.58333333333333337</v>
      </c>
      <c r="AF457">
        <f>_xlfn.XLOOKUP(tblMaster[[#This Row],[Shift]],tblShift[Shift_Name],tblShift[Logout_Time]," ")</f>
        <v>0.95833333333333337</v>
      </c>
      <c r="AG457">
        <f>_xlfn.XLOOKUP(tblMaster[[#This Row],[Shift]],tblShift[Shift_Name],tblShift[Standard_Working_Hours],"")</f>
        <v>8</v>
      </c>
      <c r="AH457" t="str">
        <f>_xlfn.XLOOKUP(tblMaster[[#This Row],[Attendance_Date]],tblHoliday[Holiday_Date],tblHoliday[Holiday_Name],"Working Day")</f>
        <v>Working Day</v>
      </c>
      <c r="AI457" t="str">
        <f>_xlfn.XLOOKUP(tblMaster[[#This Row],[Attendance_Date]],tblHoliday[Holiday_Date],tblHoliday[Holiday_Type],"Working Day ")</f>
        <v xml:space="preserve">Working Day </v>
      </c>
    </row>
    <row r="458" spans="1:35" hidden="1" x14ac:dyDescent="0.3">
      <c r="A458" t="s">
        <v>647</v>
      </c>
      <c r="B458" s="3">
        <v>45783</v>
      </c>
      <c r="C458" t="s">
        <v>57</v>
      </c>
      <c r="D458" t="s">
        <v>24</v>
      </c>
      <c r="E458" t="s">
        <v>87</v>
      </c>
      <c r="F458" t="s">
        <v>127</v>
      </c>
      <c r="G458" t="s">
        <v>128</v>
      </c>
      <c r="H458" t="s">
        <v>90</v>
      </c>
      <c r="I458" t="s">
        <v>91</v>
      </c>
      <c r="J458" t="s">
        <v>66</v>
      </c>
      <c r="K458" t="s">
        <v>44</v>
      </c>
      <c r="P458" t="s">
        <v>135</v>
      </c>
      <c r="S458" t="s">
        <v>33</v>
      </c>
      <c r="T458" t="s">
        <v>93</v>
      </c>
      <c r="U458" t="s">
        <v>85</v>
      </c>
      <c r="V458" t="s">
        <v>69</v>
      </c>
      <c r="W458">
        <f>_xlfn.XLOOKUP(F458,tblEmployee[Employee_ID],tblEmployee[Age],"Not Found")</f>
        <v>38</v>
      </c>
      <c r="X458" t="str">
        <f>_xlfn.XLOOKUP(F458,tblEmployee[Employee_ID],tblEmployee[Gender],"Not Found")</f>
        <v>Female</v>
      </c>
      <c r="Y458">
        <f>_xlfn.XLOOKUP(F458,tblEmployee[Employee_ID],tblEmployee[Joining_Date],"")</f>
        <v>43966</v>
      </c>
      <c r="Z458">
        <f>_xlfn.XLOOKUP(H458,tblDepartment[Department],tblDepartment[Annual_Budget_INR],"")</f>
        <v>18000000</v>
      </c>
      <c r="AA458" t="str">
        <f>_xlfn.XLOOKUP(H458,tblDepartment[Department],tblDepartment[Monthly_Target],"")</f>
        <v>&lt;30 Days Hiring Cycle</v>
      </c>
      <c r="AB458">
        <f>_xlfn.XLOOKUP(H458,tblDepartment[Department],tblDepartment[Average_Salary_INR],"")</f>
        <v>560000</v>
      </c>
      <c r="AC458" t="str">
        <f>_xlfn.XLOOKUP(H458,tblDepartment[Department],tblDepartment[Priority_Level],"")</f>
        <v>Medium</v>
      </c>
      <c r="AD458" t="str">
        <f>_xlfn.XLOOKUP(H458,tblDepartment[Department],tblDepartment[Key_KPI],"")</f>
        <v>Hiring &amp; Retention</v>
      </c>
      <c r="AE458">
        <f>_xlfn.XLOOKUP(tblMaster[[#This Row],[Shift]],tblShift[Shift_Name],tblShift[Login_Time],"")</f>
        <v>0.41666666666666669</v>
      </c>
      <c r="AF458">
        <f>_xlfn.XLOOKUP(tblMaster[[#This Row],[Shift]],tblShift[Shift_Name],tblShift[Logout_Time]," ")</f>
        <v>0.79166666666666663</v>
      </c>
      <c r="AG458">
        <f>_xlfn.XLOOKUP(tblMaster[[#This Row],[Shift]],tblShift[Shift_Name],tblShift[Standard_Working_Hours],"")</f>
        <v>8</v>
      </c>
      <c r="AH458" t="str">
        <f>_xlfn.XLOOKUP(tblMaster[[#This Row],[Attendance_Date]],tblHoliday[Holiday_Date],tblHoliday[Holiday_Name],"Working Day")</f>
        <v>Working Day</v>
      </c>
      <c r="AI458" t="str">
        <f>_xlfn.XLOOKUP(tblMaster[[#This Row],[Attendance_Date]],tblHoliday[Holiday_Date],tblHoliday[Holiday_Type],"Working Day ")</f>
        <v xml:space="preserve">Working Day </v>
      </c>
    </row>
    <row r="459" spans="1:35" x14ac:dyDescent="0.3">
      <c r="A459" t="s">
        <v>648</v>
      </c>
      <c r="B459" s="1">
        <v>45777</v>
      </c>
      <c r="C459" t="s">
        <v>37</v>
      </c>
      <c r="D459" t="s">
        <v>24</v>
      </c>
      <c r="E459" t="s">
        <v>51</v>
      </c>
      <c r="F459" t="s">
        <v>231</v>
      </c>
      <c r="G459" t="s">
        <v>232</v>
      </c>
      <c r="H459" t="s">
        <v>98</v>
      </c>
      <c r="I459" t="s">
        <v>99</v>
      </c>
      <c r="J459" t="s">
        <v>74</v>
      </c>
      <c r="K459" t="s">
        <v>31</v>
      </c>
      <c r="L459" s="2">
        <v>0.375</v>
      </c>
      <c r="M459" s="2">
        <v>0.75</v>
      </c>
      <c r="N459">
        <v>8</v>
      </c>
      <c r="O459">
        <v>0</v>
      </c>
      <c r="P459" t="s">
        <v>32</v>
      </c>
      <c r="S459" t="s">
        <v>33</v>
      </c>
      <c r="T459" t="s">
        <v>101</v>
      </c>
      <c r="U459" t="str">
        <f>_xlfn.XLOOKUP(tblMaster[[#This Row],[Employee_ID]],tblEmployee[Employee_ID],tblEmployee[Work_Mode]," ")</f>
        <v>Office</v>
      </c>
      <c r="V459" t="s">
        <v>60</v>
      </c>
      <c r="W459">
        <f>_xlfn.XLOOKUP(F459,tblEmployee[Employee_ID],tblEmployee[Age],"Not Found")</f>
        <v>31</v>
      </c>
      <c r="X459" t="str">
        <f>_xlfn.XLOOKUP(F459,tblEmployee[Employee_ID],tblEmployee[Gender],"Not Found")</f>
        <v>Male</v>
      </c>
      <c r="Y459">
        <f>_xlfn.XLOOKUP(F459,tblEmployee[Employee_ID],tblEmployee[Joining_Date],"")</f>
        <v>45397</v>
      </c>
      <c r="Z459">
        <f>_xlfn.XLOOKUP(H459,tblDepartment[Department],tblDepartment[Annual_Budget_INR],"")</f>
        <v>22000000</v>
      </c>
      <c r="AA459" t="str">
        <f>_xlfn.XLOOKUP(H459,tblDepartment[Department],tblDepartment[Monthly_Target],"")</f>
        <v>2500 Qualified Leads</v>
      </c>
      <c r="AB459">
        <f>_xlfn.XLOOKUP(H459,tblDepartment[Department],tblDepartment[Average_Salary_INR],"")</f>
        <v>590000</v>
      </c>
      <c r="AC459" t="str">
        <f>_xlfn.XLOOKUP(H459,tblDepartment[Department],tblDepartment[Priority_Level],"")</f>
        <v>Medium</v>
      </c>
      <c r="AD459" t="str">
        <f>_xlfn.XLOOKUP(H459,tblDepartment[Department],tblDepartment[Key_KPI],"")</f>
        <v>Lead Generation</v>
      </c>
      <c r="AE459">
        <f>_xlfn.XLOOKUP(tblMaster[[#This Row],[Shift]],tblShift[Shift_Name],tblShift[Login_Time],"")</f>
        <v>0.25</v>
      </c>
      <c r="AF459">
        <f>_xlfn.XLOOKUP(tblMaster[[#This Row],[Shift]],tblShift[Shift_Name],tblShift[Logout_Time]," ")</f>
        <v>0.625</v>
      </c>
      <c r="AG459">
        <f>_xlfn.XLOOKUP(tblMaster[[#This Row],[Shift]],tblShift[Shift_Name],tblShift[Standard_Working_Hours],"")</f>
        <v>8</v>
      </c>
      <c r="AH459" t="str">
        <f>_xlfn.XLOOKUP(tblMaster[[#This Row],[Attendance_Date]],tblHoliday[Holiday_Date],tblHoliday[Holiday_Name],"Working Day")</f>
        <v>Working Day</v>
      </c>
      <c r="AI459" t="str">
        <f>_xlfn.XLOOKUP(tblMaster[[#This Row],[Attendance_Date]],tblHoliday[Holiday_Date],tblHoliday[Holiday_Type],"Working Day ")</f>
        <v xml:space="preserve">Working Day </v>
      </c>
    </row>
    <row r="460" spans="1:35" hidden="1" x14ac:dyDescent="0.3">
      <c r="A460" t="s">
        <v>649</v>
      </c>
      <c r="B460" s="1">
        <v>45717</v>
      </c>
      <c r="C460" t="s">
        <v>71</v>
      </c>
      <c r="D460" t="s">
        <v>50</v>
      </c>
      <c r="E460" t="s">
        <v>38</v>
      </c>
      <c r="F460" t="s">
        <v>173</v>
      </c>
      <c r="G460" t="s">
        <v>174</v>
      </c>
      <c r="H460" t="s">
        <v>90</v>
      </c>
      <c r="I460" t="s">
        <v>91</v>
      </c>
      <c r="J460" t="s">
        <v>74</v>
      </c>
      <c r="K460" t="s">
        <v>81</v>
      </c>
      <c r="M460" s="2">
        <v>0.29166666666666669</v>
      </c>
      <c r="N460">
        <v>9</v>
      </c>
      <c r="O460">
        <v>1</v>
      </c>
      <c r="P460" t="s">
        <v>32</v>
      </c>
      <c r="R460">
        <v>4</v>
      </c>
      <c r="S460" t="s">
        <v>67</v>
      </c>
      <c r="T460" t="s">
        <v>93</v>
      </c>
      <c r="U460" t="s">
        <v>55</v>
      </c>
      <c r="W460">
        <f>_xlfn.XLOOKUP(F460,tblEmployee[Employee_ID],tblEmployee[Age],"Not Found")</f>
        <v>23</v>
      </c>
      <c r="X460" t="str">
        <f>_xlfn.XLOOKUP(F460,tblEmployee[Employee_ID],tblEmployee[Gender],"Not Found")</f>
        <v>Female</v>
      </c>
      <c r="Y460">
        <f>_xlfn.XLOOKUP(F460,tblEmployee[Employee_ID],tblEmployee[Joining_Date],"")</f>
        <v>43876</v>
      </c>
      <c r="Z460">
        <f>_xlfn.XLOOKUP(H460,tblDepartment[Department],tblDepartment[Annual_Budget_INR],"")</f>
        <v>18000000</v>
      </c>
      <c r="AA460" t="str">
        <f>_xlfn.XLOOKUP(H460,tblDepartment[Department],tblDepartment[Monthly_Target],"")</f>
        <v>&lt;30 Days Hiring Cycle</v>
      </c>
      <c r="AB460">
        <f>_xlfn.XLOOKUP(H460,tblDepartment[Department],tblDepartment[Average_Salary_INR],"")</f>
        <v>560000</v>
      </c>
      <c r="AC460" t="str">
        <f>_xlfn.XLOOKUP(H460,tblDepartment[Department],tblDepartment[Priority_Level],"")</f>
        <v>Medium</v>
      </c>
      <c r="AD460" t="str">
        <f>_xlfn.XLOOKUP(H460,tblDepartment[Department],tblDepartment[Key_KPI],"")</f>
        <v>Hiring &amp; Retention</v>
      </c>
      <c r="AE460">
        <f>_xlfn.XLOOKUP(tblMaster[[#This Row],[Shift]],tblShift[Shift_Name],tblShift[Login_Time],"")</f>
        <v>0.91666666666666663</v>
      </c>
      <c r="AF460">
        <f>_xlfn.XLOOKUP(tblMaster[[#This Row],[Shift]],tblShift[Shift_Name],tblShift[Logout_Time]," ")</f>
        <v>0.29166666666666669</v>
      </c>
      <c r="AG460">
        <f>_xlfn.XLOOKUP(tblMaster[[#This Row],[Shift]],tblShift[Shift_Name],tblShift[Standard_Working_Hours],"")</f>
        <v>8</v>
      </c>
      <c r="AH460" t="str">
        <f>_xlfn.XLOOKUP(tblMaster[[#This Row],[Attendance_Date]],tblHoliday[Holiday_Date],tblHoliday[Holiday_Name],"Working Day")</f>
        <v>Working Day</v>
      </c>
      <c r="AI460" t="str">
        <f>_xlfn.XLOOKUP(tblMaster[[#This Row],[Attendance_Date]],tblHoliday[Holiday_Date],tblHoliday[Holiday_Type],"Working Day ")</f>
        <v xml:space="preserve">Working Day </v>
      </c>
    </row>
    <row r="461" spans="1:35" hidden="1" x14ac:dyDescent="0.3">
      <c r="A461" t="s">
        <v>650</v>
      </c>
      <c r="B461" s="1">
        <v>45740</v>
      </c>
      <c r="C461" t="s">
        <v>71</v>
      </c>
      <c r="D461" t="s">
        <v>50</v>
      </c>
      <c r="E461" t="s">
        <v>109</v>
      </c>
      <c r="F461" t="s">
        <v>211</v>
      </c>
      <c r="G461" t="s">
        <v>212</v>
      </c>
      <c r="H461" t="s">
        <v>64</v>
      </c>
      <c r="I461" t="s">
        <v>65</v>
      </c>
      <c r="J461" t="s">
        <v>74</v>
      </c>
      <c r="K461" t="s">
        <v>75</v>
      </c>
      <c r="L461" s="2">
        <v>0.375</v>
      </c>
      <c r="M461" s="2">
        <v>0.75</v>
      </c>
      <c r="N461">
        <v>9</v>
      </c>
      <c r="O461">
        <v>1</v>
      </c>
      <c r="P461" t="s">
        <v>32</v>
      </c>
      <c r="R461">
        <v>3</v>
      </c>
      <c r="S461" t="s">
        <v>45</v>
      </c>
      <c r="T461" t="s">
        <v>68</v>
      </c>
      <c r="U461" t="s">
        <v>55</v>
      </c>
      <c r="V461" t="s">
        <v>35</v>
      </c>
      <c r="W461">
        <f>_xlfn.XLOOKUP(F461,tblEmployee[Employee_ID],tblEmployee[Age],"Not Found")</f>
        <v>26</v>
      </c>
      <c r="X461" t="str">
        <f>_xlfn.XLOOKUP(F461,tblEmployee[Employee_ID],tblEmployee[Gender],"Not Found")</f>
        <v>Female</v>
      </c>
      <c r="Y461">
        <f>_xlfn.XLOOKUP(F461,tblEmployee[Employee_ID],tblEmployee[Joining_Date],"")</f>
        <v>43784</v>
      </c>
      <c r="Z461">
        <f>_xlfn.XLOOKUP(H461,tblDepartment[Department],tblDepartment[Annual_Budget_INR],"")</f>
        <v>85000000</v>
      </c>
      <c r="AA461" t="str">
        <f>_xlfn.XLOOKUP(H461,tblDepartment[Department],tblDepartment[Monthly_Target],"")</f>
        <v>99.5% System Uptime</v>
      </c>
      <c r="AB461">
        <f>_xlfn.XLOOKUP(H461,tblDepartment[Department],tblDepartment[Average_Salary_INR],"")</f>
        <v>720000</v>
      </c>
      <c r="AC461" t="str">
        <f>_xlfn.XLOOKUP(H461,tblDepartment[Department],tblDepartment[Priority_Level],"")</f>
        <v>High</v>
      </c>
      <c r="AD461" t="str">
        <f>_xlfn.XLOOKUP(H461,tblDepartment[Department],tblDepartment[Key_KPI],"")</f>
        <v>Project Delivery</v>
      </c>
      <c r="AE461">
        <f>_xlfn.XLOOKUP(tblMaster[[#This Row],[Shift]],tblShift[Shift_Name],tblShift[Login_Time],"")</f>
        <v>0.375</v>
      </c>
      <c r="AF461">
        <f>_xlfn.XLOOKUP(tblMaster[[#This Row],[Shift]],tblShift[Shift_Name],tblShift[Logout_Time]," ")</f>
        <v>0.75</v>
      </c>
      <c r="AG461">
        <f>_xlfn.XLOOKUP(tblMaster[[#This Row],[Shift]],tblShift[Shift_Name],tblShift[Standard_Working_Hours],"")</f>
        <v>8</v>
      </c>
      <c r="AH461" t="str">
        <f>_xlfn.XLOOKUP(tblMaster[[#This Row],[Attendance_Date]],tblHoliday[Holiday_Date],tblHoliday[Holiday_Name],"Working Day")</f>
        <v>Working Day</v>
      </c>
      <c r="AI461" t="str">
        <f>_xlfn.XLOOKUP(tblMaster[[#This Row],[Attendance_Date]],tblHoliday[Holiday_Date],tblHoliday[Holiday_Type],"Working Day ")</f>
        <v xml:space="preserve">Working Day </v>
      </c>
    </row>
    <row r="462" spans="1:35" x14ac:dyDescent="0.3">
      <c r="A462" t="s">
        <v>651</v>
      </c>
      <c r="B462" s="3">
        <v>45796</v>
      </c>
      <c r="C462" t="s">
        <v>57</v>
      </c>
      <c r="D462" t="s">
        <v>24</v>
      </c>
      <c r="E462" t="s">
        <v>109</v>
      </c>
      <c r="F462" t="s">
        <v>173</v>
      </c>
      <c r="G462" t="s">
        <v>174</v>
      </c>
      <c r="H462" t="s">
        <v>90</v>
      </c>
      <c r="I462" t="s">
        <v>91</v>
      </c>
      <c r="J462" t="s">
        <v>74</v>
      </c>
      <c r="K462" t="s">
        <v>75</v>
      </c>
      <c r="L462" s="2">
        <v>0.375</v>
      </c>
      <c r="M462" s="2">
        <v>0.75</v>
      </c>
      <c r="N462">
        <v>8</v>
      </c>
      <c r="O462">
        <v>0</v>
      </c>
      <c r="P462" t="s">
        <v>32</v>
      </c>
      <c r="R462">
        <v>4</v>
      </c>
      <c r="S462" t="s">
        <v>45</v>
      </c>
      <c r="T462" t="s">
        <v>93</v>
      </c>
      <c r="U462" t="str">
        <f>_xlfn.XLOOKUP(tblMaster[[#This Row],[Employee_ID]],tblEmployee[Employee_ID],tblEmployee[Work_Mode]," ")</f>
        <v>Hybrid</v>
      </c>
      <c r="W462">
        <f>_xlfn.XLOOKUP(F462,tblEmployee[Employee_ID],tblEmployee[Age],"Not Found")</f>
        <v>23</v>
      </c>
      <c r="X462" t="str">
        <f>_xlfn.XLOOKUP(F462,tblEmployee[Employee_ID],tblEmployee[Gender],"Not Found")</f>
        <v>Female</v>
      </c>
      <c r="Y462">
        <f>_xlfn.XLOOKUP(F462,tblEmployee[Employee_ID],tblEmployee[Joining_Date],"")</f>
        <v>43876</v>
      </c>
      <c r="Z462">
        <f>_xlfn.XLOOKUP(H462,tblDepartment[Department],tblDepartment[Annual_Budget_INR],"")</f>
        <v>18000000</v>
      </c>
      <c r="AA462" t="str">
        <f>_xlfn.XLOOKUP(H462,tblDepartment[Department],tblDepartment[Monthly_Target],"")</f>
        <v>&lt;30 Days Hiring Cycle</v>
      </c>
      <c r="AB462">
        <f>_xlfn.XLOOKUP(H462,tblDepartment[Department],tblDepartment[Average_Salary_INR],"")</f>
        <v>560000</v>
      </c>
      <c r="AC462" t="str">
        <f>_xlfn.XLOOKUP(H462,tblDepartment[Department],tblDepartment[Priority_Level],"")</f>
        <v>Medium</v>
      </c>
      <c r="AD462" t="str">
        <f>_xlfn.XLOOKUP(H462,tblDepartment[Department],tblDepartment[Key_KPI],"")</f>
        <v>Hiring &amp; Retention</v>
      </c>
      <c r="AE462">
        <f>_xlfn.XLOOKUP(tblMaster[[#This Row],[Shift]],tblShift[Shift_Name],tblShift[Login_Time],"")</f>
        <v>0.375</v>
      </c>
      <c r="AF462">
        <f>_xlfn.XLOOKUP(tblMaster[[#This Row],[Shift]],tblShift[Shift_Name],tblShift[Logout_Time]," ")</f>
        <v>0.75</v>
      </c>
      <c r="AG462">
        <f>_xlfn.XLOOKUP(tblMaster[[#This Row],[Shift]],tblShift[Shift_Name],tblShift[Standard_Working_Hours],"")</f>
        <v>8</v>
      </c>
      <c r="AH462" t="str">
        <f>_xlfn.XLOOKUP(tblMaster[[#This Row],[Attendance_Date]],tblHoliday[Holiday_Date],tblHoliday[Holiday_Name],"Working Day")</f>
        <v>Working Day</v>
      </c>
      <c r="AI462" t="str">
        <f>_xlfn.XLOOKUP(tblMaster[[#This Row],[Attendance_Date]],tblHoliday[Holiday_Date],tblHoliday[Holiday_Type],"Working Day ")</f>
        <v xml:space="preserve">Working Day </v>
      </c>
    </row>
    <row r="463" spans="1:35" hidden="1" x14ac:dyDescent="0.3">
      <c r="A463" t="s">
        <v>652</v>
      </c>
      <c r="B463" s="1">
        <v>45777</v>
      </c>
      <c r="C463" t="s">
        <v>37</v>
      </c>
      <c r="D463" t="s">
        <v>24</v>
      </c>
      <c r="E463" t="s">
        <v>51</v>
      </c>
      <c r="F463" t="s">
        <v>195</v>
      </c>
      <c r="G463" t="s">
        <v>196</v>
      </c>
      <c r="H463" t="s">
        <v>98</v>
      </c>
      <c r="I463" t="s">
        <v>99</v>
      </c>
      <c r="J463" t="s">
        <v>43</v>
      </c>
      <c r="K463" t="s">
        <v>75</v>
      </c>
      <c r="L463" s="2">
        <v>0.375</v>
      </c>
      <c r="M463" s="2">
        <v>0.75</v>
      </c>
      <c r="N463">
        <v>8</v>
      </c>
      <c r="O463">
        <v>0</v>
      </c>
      <c r="P463" t="s">
        <v>32</v>
      </c>
      <c r="R463">
        <v>5</v>
      </c>
      <c r="S463" t="s">
        <v>92</v>
      </c>
      <c r="T463" t="s">
        <v>101</v>
      </c>
      <c r="U463" t="s">
        <v>47</v>
      </c>
      <c r="V463" t="s">
        <v>60</v>
      </c>
      <c r="W463">
        <f>_xlfn.XLOOKUP(F463,tblEmployee[Employee_ID],tblEmployee[Age],"Not Found")</f>
        <v>24</v>
      </c>
      <c r="X463" t="str">
        <f>_xlfn.XLOOKUP(F463,tblEmployee[Employee_ID],tblEmployee[Gender],"Not Found")</f>
        <v>Male</v>
      </c>
      <c r="Y463">
        <f>_xlfn.XLOOKUP(F463,tblEmployee[Employee_ID],tblEmployee[Joining_Date],"")</f>
        <v>45550</v>
      </c>
      <c r="Z463">
        <f>_xlfn.XLOOKUP(H463,tblDepartment[Department],tblDepartment[Annual_Budget_INR],"")</f>
        <v>22000000</v>
      </c>
      <c r="AA463" t="str">
        <f>_xlfn.XLOOKUP(H463,tblDepartment[Department],tblDepartment[Monthly_Target],"")</f>
        <v>2500 Qualified Leads</v>
      </c>
      <c r="AB463">
        <f>_xlfn.XLOOKUP(H463,tblDepartment[Department],tblDepartment[Average_Salary_INR],"")</f>
        <v>590000</v>
      </c>
      <c r="AC463" t="str">
        <f>_xlfn.XLOOKUP(H463,tblDepartment[Department],tblDepartment[Priority_Level],"")</f>
        <v>Medium</v>
      </c>
      <c r="AD463" t="str">
        <f>_xlfn.XLOOKUP(H463,tblDepartment[Department],tblDepartment[Key_KPI],"")</f>
        <v>Lead Generation</v>
      </c>
      <c r="AE463">
        <f>_xlfn.XLOOKUP(tblMaster[[#This Row],[Shift]],tblShift[Shift_Name],tblShift[Login_Time],"")</f>
        <v>0.375</v>
      </c>
      <c r="AF463">
        <f>_xlfn.XLOOKUP(tblMaster[[#This Row],[Shift]],tblShift[Shift_Name],tblShift[Logout_Time]," ")</f>
        <v>0.75</v>
      </c>
      <c r="AG463">
        <f>_xlfn.XLOOKUP(tblMaster[[#This Row],[Shift]],tblShift[Shift_Name],tblShift[Standard_Working_Hours],"")</f>
        <v>8</v>
      </c>
      <c r="AH463" t="str">
        <f>_xlfn.XLOOKUP(tblMaster[[#This Row],[Attendance_Date]],tblHoliday[Holiday_Date],tblHoliday[Holiday_Name],"Working Day")</f>
        <v>Working Day</v>
      </c>
      <c r="AI463" t="str">
        <f>_xlfn.XLOOKUP(tblMaster[[#This Row],[Attendance_Date]],tblHoliday[Holiday_Date],tblHoliday[Holiday_Type],"Working Day ")</f>
        <v xml:space="preserve">Working Day </v>
      </c>
    </row>
    <row r="464" spans="1:35" x14ac:dyDescent="0.3">
      <c r="A464" t="s">
        <v>653</v>
      </c>
      <c r="B464" s="1">
        <v>45758</v>
      </c>
      <c r="C464" t="s">
        <v>37</v>
      </c>
      <c r="D464" t="s">
        <v>24</v>
      </c>
      <c r="E464" t="s">
        <v>119</v>
      </c>
      <c r="F464" t="s">
        <v>145</v>
      </c>
      <c r="G464" t="s">
        <v>146</v>
      </c>
      <c r="H464" t="s">
        <v>90</v>
      </c>
      <c r="I464" t="s">
        <v>91</v>
      </c>
      <c r="J464" t="s">
        <v>100</v>
      </c>
      <c r="K464" t="s">
        <v>75</v>
      </c>
      <c r="L464" s="2">
        <v>0.375</v>
      </c>
      <c r="M464" s="2">
        <v>0.75</v>
      </c>
      <c r="N464">
        <v>8</v>
      </c>
      <c r="O464">
        <v>0</v>
      </c>
      <c r="P464" t="s">
        <v>32</v>
      </c>
      <c r="R464">
        <v>3</v>
      </c>
      <c r="S464" t="s">
        <v>33</v>
      </c>
      <c r="T464" t="s">
        <v>93</v>
      </c>
      <c r="U464" t="str">
        <f>_xlfn.XLOOKUP(tblMaster[[#This Row],[Employee_ID]],tblEmployee[Employee_ID],tblEmployee[Work_Mode]," ")</f>
        <v>Remote</v>
      </c>
      <c r="V464" t="s">
        <v>60</v>
      </c>
      <c r="W464">
        <f>_xlfn.XLOOKUP(F464,tblEmployee[Employee_ID],tblEmployee[Age],"Not Found")</f>
        <v>27</v>
      </c>
      <c r="X464" t="str">
        <f>_xlfn.XLOOKUP(F464,tblEmployee[Employee_ID],tblEmployee[Gender],"Not Found")</f>
        <v>Male</v>
      </c>
      <c r="Y464">
        <f>_xlfn.XLOOKUP(F464,tblEmployee[Employee_ID],tblEmployee[Joining_Date],"")</f>
        <v>44180</v>
      </c>
      <c r="Z464">
        <f>_xlfn.XLOOKUP(H464,tblDepartment[Department],tblDepartment[Annual_Budget_INR],"")</f>
        <v>18000000</v>
      </c>
      <c r="AA464" t="str">
        <f>_xlfn.XLOOKUP(H464,tblDepartment[Department],tblDepartment[Monthly_Target],"")</f>
        <v>&lt;30 Days Hiring Cycle</v>
      </c>
      <c r="AB464">
        <f>_xlfn.XLOOKUP(H464,tblDepartment[Department],tblDepartment[Average_Salary_INR],"")</f>
        <v>560000</v>
      </c>
      <c r="AC464" t="str">
        <f>_xlfn.XLOOKUP(H464,tblDepartment[Department],tblDepartment[Priority_Level],"")</f>
        <v>Medium</v>
      </c>
      <c r="AD464" t="str">
        <f>_xlfn.XLOOKUP(H464,tblDepartment[Department],tblDepartment[Key_KPI],"")</f>
        <v>Hiring &amp; Retention</v>
      </c>
      <c r="AE464">
        <f>_xlfn.XLOOKUP(tblMaster[[#This Row],[Shift]],tblShift[Shift_Name],tblShift[Login_Time],"")</f>
        <v>0.375</v>
      </c>
      <c r="AF464">
        <f>_xlfn.XLOOKUP(tblMaster[[#This Row],[Shift]],tblShift[Shift_Name],tblShift[Logout_Time]," ")</f>
        <v>0.75</v>
      </c>
      <c r="AG464">
        <f>_xlfn.XLOOKUP(tblMaster[[#This Row],[Shift]],tblShift[Shift_Name],tblShift[Standard_Working_Hours],"")</f>
        <v>8</v>
      </c>
      <c r="AH464" t="str">
        <f>_xlfn.XLOOKUP(tblMaster[[#This Row],[Attendance_Date]],tblHoliday[Holiday_Date],tblHoliday[Holiday_Name],"Working Day")</f>
        <v>Working Day</v>
      </c>
      <c r="AI464" t="str">
        <f>_xlfn.XLOOKUP(tblMaster[[#This Row],[Attendance_Date]],tblHoliday[Holiday_Date],tblHoliday[Holiday_Type],"Working Day ")</f>
        <v xml:space="preserve">Working Day </v>
      </c>
    </row>
    <row r="465" spans="1:35" hidden="1" x14ac:dyDescent="0.3">
      <c r="A465" t="s">
        <v>654</v>
      </c>
      <c r="B465" s="3">
        <v>45785</v>
      </c>
      <c r="C465" t="s">
        <v>57</v>
      </c>
      <c r="D465" t="s">
        <v>24</v>
      </c>
      <c r="E465" t="s">
        <v>25</v>
      </c>
      <c r="F465" t="s">
        <v>240</v>
      </c>
      <c r="G465" t="s">
        <v>241</v>
      </c>
      <c r="H465" t="s">
        <v>41</v>
      </c>
      <c r="I465" t="s">
        <v>42</v>
      </c>
      <c r="J465" t="s">
        <v>66</v>
      </c>
      <c r="K465" t="s">
        <v>75</v>
      </c>
      <c r="L465" s="2">
        <v>0.375</v>
      </c>
      <c r="M465" s="2">
        <v>0.75</v>
      </c>
      <c r="N465">
        <v>8</v>
      </c>
      <c r="O465">
        <v>0</v>
      </c>
      <c r="P465" t="s">
        <v>32</v>
      </c>
      <c r="R465">
        <v>4</v>
      </c>
      <c r="S465" t="s">
        <v>92</v>
      </c>
      <c r="T465" t="s">
        <v>46</v>
      </c>
      <c r="U465" t="s">
        <v>55</v>
      </c>
      <c r="W465">
        <f>_xlfn.XLOOKUP(F465,tblEmployee[Employee_ID],tblEmployee[Age],"Not Found")</f>
        <v>30</v>
      </c>
      <c r="X465" t="str">
        <f>_xlfn.XLOOKUP(F465,tblEmployee[Employee_ID],tblEmployee[Gender],"Not Found")</f>
        <v>Female</v>
      </c>
      <c r="Y465">
        <f>_xlfn.XLOOKUP(F465,tblEmployee[Employee_ID],tblEmployee[Joining_Date],"")</f>
        <v>45000</v>
      </c>
      <c r="Z465">
        <f>_xlfn.XLOOKUP(H465,tblDepartment[Department],tblDepartment[Annual_Budget_INR],"")</f>
        <v>34000000</v>
      </c>
      <c r="AA465" t="str">
        <f>_xlfn.XLOOKUP(H465,tblDepartment[Department],tblDepartment[Monthly_Target],"")</f>
        <v>95% Process Efficiency</v>
      </c>
      <c r="AB465">
        <f>_xlfn.XLOOKUP(H465,tblDepartment[Department],tblDepartment[Average_Salary_INR],"")</f>
        <v>610000</v>
      </c>
      <c r="AC465" t="str">
        <f>_xlfn.XLOOKUP(H465,tblDepartment[Department],tblDepartment[Priority_Level],"")</f>
        <v>High</v>
      </c>
      <c r="AD465" t="str">
        <f>_xlfn.XLOOKUP(H465,tblDepartment[Department],tblDepartment[Key_KPI],"")</f>
        <v>Operational Efficiency</v>
      </c>
      <c r="AE465">
        <f>_xlfn.XLOOKUP(tblMaster[[#This Row],[Shift]],tblShift[Shift_Name],tblShift[Login_Time],"")</f>
        <v>0.375</v>
      </c>
      <c r="AF465">
        <f>_xlfn.XLOOKUP(tblMaster[[#This Row],[Shift]],tblShift[Shift_Name],tblShift[Logout_Time]," ")</f>
        <v>0.75</v>
      </c>
      <c r="AG465">
        <f>_xlfn.XLOOKUP(tblMaster[[#This Row],[Shift]],tblShift[Shift_Name],tblShift[Standard_Working_Hours],"")</f>
        <v>8</v>
      </c>
      <c r="AH465" t="str">
        <f>_xlfn.XLOOKUP(tblMaster[[#This Row],[Attendance_Date]],tblHoliday[Holiday_Date],tblHoliday[Holiday_Name],"Working Day")</f>
        <v>Working Day</v>
      </c>
      <c r="AI465" t="str">
        <f>_xlfn.XLOOKUP(tblMaster[[#This Row],[Attendance_Date]],tblHoliday[Holiday_Date],tblHoliday[Holiday_Type],"Working Day ")</f>
        <v xml:space="preserve">Working Day </v>
      </c>
    </row>
    <row r="466" spans="1:35" x14ac:dyDescent="0.3">
      <c r="A466" t="s">
        <v>655</v>
      </c>
      <c r="B466" s="3">
        <v>45720</v>
      </c>
      <c r="C466" t="s">
        <v>71</v>
      </c>
      <c r="D466" t="s">
        <v>50</v>
      </c>
      <c r="E466" t="s">
        <v>87</v>
      </c>
      <c r="F466" t="s">
        <v>281</v>
      </c>
      <c r="G466" t="s">
        <v>282</v>
      </c>
      <c r="H466" t="s">
        <v>90</v>
      </c>
      <c r="I466" t="s">
        <v>91</v>
      </c>
      <c r="J466" t="s">
        <v>30</v>
      </c>
      <c r="K466" t="s">
        <v>44</v>
      </c>
      <c r="L466" s="2">
        <v>0.375</v>
      </c>
      <c r="M466" s="2">
        <v>0.75</v>
      </c>
      <c r="N466">
        <v>8</v>
      </c>
      <c r="O466">
        <v>0</v>
      </c>
      <c r="P466" t="s">
        <v>32</v>
      </c>
      <c r="S466" t="s">
        <v>45</v>
      </c>
      <c r="T466" t="s">
        <v>93</v>
      </c>
      <c r="U466" t="str">
        <f>_xlfn.XLOOKUP(tblMaster[[#This Row],[Employee_ID]],tblEmployee[Employee_ID],tblEmployee[Work_Mode]," ")</f>
        <v>Office</v>
      </c>
      <c r="V466" t="s">
        <v>35</v>
      </c>
      <c r="W466">
        <f>_xlfn.XLOOKUP(F466,tblEmployee[Employee_ID],tblEmployee[Age],"Not Found")</f>
        <v>31</v>
      </c>
      <c r="X466" t="str">
        <f>_xlfn.XLOOKUP(F466,tblEmployee[Employee_ID],tblEmployee[Gender],"Not Found")</f>
        <v>Male</v>
      </c>
      <c r="Y466">
        <f>_xlfn.XLOOKUP(F466,tblEmployee[Employee_ID],tblEmployee[Joining_Date],"")</f>
        <v>44119</v>
      </c>
      <c r="Z466">
        <f>_xlfn.XLOOKUP(H466,tblDepartment[Department],tblDepartment[Annual_Budget_INR],"")</f>
        <v>18000000</v>
      </c>
      <c r="AA466" t="str">
        <f>_xlfn.XLOOKUP(H466,tblDepartment[Department],tblDepartment[Monthly_Target],"")</f>
        <v>&lt;30 Days Hiring Cycle</v>
      </c>
      <c r="AB466">
        <f>_xlfn.XLOOKUP(H466,tblDepartment[Department],tblDepartment[Average_Salary_INR],"")</f>
        <v>560000</v>
      </c>
      <c r="AC466" t="str">
        <f>_xlfn.XLOOKUP(H466,tblDepartment[Department],tblDepartment[Priority_Level],"")</f>
        <v>Medium</v>
      </c>
      <c r="AD466" t="str">
        <f>_xlfn.XLOOKUP(H466,tblDepartment[Department],tblDepartment[Key_KPI],"")</f>
        <v>Hiring &amp; Retention</v>
      </c>
      <c r="AE466">
        <f>_xlfn.XLOOKUP(tblMaster[[#This Row],[Shift]],tblShift[Shift_Name],tblShift[Login_Time],"")</f>
        <v>0.41666666666666669</v>
      </c>
      <c r="AF466">
        <f>_xlfn.XLOOKUP(tblMaster[[#This Row],[Shift]],tblShift[Shift_Name],tblShift[Logout_Time]," ")</f>
        <v>0.79166666666666663</v>
      </c>
      <c r="AG466">
        <f>_xlfn.XLOOKUP(tblMaster[[#This Row],[Shift]],tblShift[Shift_Name],tblShift[Standard_Working_Hours],"")</f>
        <v>8</v>
      </c>
      <c r="AH466" t="str">
        <f>_xlfn.XLOOKUP(tblMaster[[#This Row],[Attendance_Date]],tblHoliday[Holiday_Date],tblHoliday[Holiday_Name],"Working Day")</f>
        <v>Working Day</v>
      </c>
      <c r="AI466" t="str">
        <f>_xlfn.XLOOKUP(tblMaster[[#This Row],[Attendance_Date]],tblHoliday[Holiday_Date],tblHoliday[Holiday_Type],"Working Day ")</f>
        <v xml:space="preserve">Working Day </v>
      </c>
    </row>
    <row r="467" spans="1:35" hidden="1" x14ac:dyDescent="0.3">
      <c r="A467" t="s">
        <v>656</v>
      </c>
      <c r="B467" s="1">
        <v>45765</v>
      </c>
      <c r="C467" t="s">
        <v>37</v>
      </c>
      <c r="D467" t="s">
        <v>24</v>
      </c>
      <c r="E467" t="s">
        <v>119</v>
      </c>
      <c r="F467" t="s">
        <v>145</v>
      </c>
      <c r="G467" t="s">
        <v>146</v>
      </c>
      <c r="H467" t="s">
        <v>90</v>
      </c>
      <c r="I467" t="s">
        <v>91</v>
      </c>
      <c r="J467" t="s">
        <v>100</v>
      </c>
      <c r="K467" t="s">
        <v>31</v>
      </c>
      <c r="L467" s="2">
        <v>0.375</v>
      </c>
      <c r="M467" s="2">
        <v>0.75</v>
      </c>
      <c r="N467">
        <v>8</v>
      </c>
      <c r="O467">
        <v>0</v>
      </c>
      <c r="P467" t="s">
        <v>32</v>
      </c>
      <c r="R467">
        <v>5</v>
      </c>
      <c r="S467" t="s">
        <v>33</v>
      </c>
      <c r="T467" t="s">
        <v>93</v>
      </c>
      <c r="U467" t="s">
        <v>47</v>
      </c>
      <c r="W467">
        <f>_xlfn.XLOOKUP(F467,tblEmployee[Employee_ID],tblEmployee[Age],"Not Found")</f>
        <v>27</v>
      </c>
      <c r="X467" t="str">
        <f>_xlfn.XLOOKUP(F467,tblEmployee[Employee_ID],tblEmployee[Gender],"Not Found")</f>
        <v>Male</v>
      </c>
      <c r="Y467">
        <f>_xlfn.XLOOKUP(F467,tblEmployee[Employee_ID],tblEmployee[Joining_Date],"")</f>
        <v>44180</v>
      </c>
      <c r="Z467">
        <f>_xlfn.XLOOKUP(H467,tblDepartment[Department],tblDepartment[Annual_Budget_INR],"")</f>
        <v>18000000</v>
      </c>
      <c r="AA467" t="str">
        <f>_xlfn.XLOOKUP(H467,tblDepartment[Department],tblDepartment[Monthly_Target],"")</f>
        <v>&lt;30 Days Hiring Cycle</v>
      </c>
      <c r="AB467">
        <f>_xlfn.XLOOKUP(H467,tblDepartment[Department],tblDepartment[Average_Salary_INR],"")</f>
        <v>560000</v>
      </c>
      <c r="AC467" t="str">
        <f>_xlfn.XLOOKUP(H467,tblDepartment[Department],tblDepartment[Priority_Level],"")</f>
        <v>Medium</v>
      </c>
      <c r="AD467" t="str">
        <f>_xlfn.XLOOKUP(H467,tblDepartment[Department],tblDepartment[Key_KPI],"")</f>
        <v>Hiring &amp; Retention</v>
      </c>
      <c r="AE467">
        <f>_xlfn.XLOOKUP(tblMaster[[#This Row],[Shift]],tblShift[Shift_Name],tblShift[Login_Time],"")</f>
        <v>0.25</v>
      </c>
      <c r="AF467">
        <f>_xlfn.XLOOKUP(tblMaster[[#This Row],[Shift]],tblShift[Shift_Name],tblShift[Logout_Time]," ")</f>
        <v>0.625</v>
      </c>
      <c r="AG467">
        <f>_xlfn.XLOOKUP(tblMaster[[#This Row],[Shift]],tblShift[Shift_Name],tblShift[Standard_Working_Hours],"")</f>
        <v>8</v>
      </c>
      <c r="AH467" t="str">
        <f>_xlfn.XLOOKUP(tblMaster[[#This Row],[Attendance_Date]],tblHoliday[Holiday_Date],tblHoliday[Holiday_Name],"Working Day")</f>
        <v>Good Friday</v>
      </c>
      <c r="AI467" t="str">
        <f>_xlfn.XLOOKUP(tblMaster[[#This Row],[Attendance_Date]],tblHoliday[Holiday_Date],tblHoliday[Holiday_Type],"Working Day ")</f>
        <v>Restricted</v>
      </c>
    </row>
    <row r="468" spans="1:35" x14ac:dyDescent="0.3">
      <c r="A468" t="s">
        <v>657</v>
      </c>
      <c r="B468" s="1">
        <v>45806</v>
      </c>
      <c r="C468" t="s">
        <v>57</v>
      </c>
      <c r="D468" t="s">
        <v>24</v>
      </c>
      <c r="E468" t="s">
        <v>25</v>
      </c>
      <c r="F468" t="s">
        <v>163</v>
      </c>
      <c r="G468" t="s">
        <v>164</v>
      </c>
      <c r="H468" t="s">
        <v>112</v>
      </c>
      <c r="I468" t="s">
        <v>113</v>
      </c>
      <c r="J468" t="s">
        <v>100</v>
      </c>
      <c r="K468" t="s">
        <v>75</v>
      </c>
      <c r="L468" s="2">
        <v>0.39930555555555558</v>
      </c>
      <c r="M468" s="2">
        <v>0.75</v>
      </c>
      <c r="N468">
        <v>8</v>
      </c>
      <c r="O468">
        <v>0</v>
      </c>
      <c r="P468" t="s">
        <v>32</v>
      </c>
      <c r="R468">
        <v>5</v>
      </c>
      <c r="S468" t="s">
        <v>67</v>
      </c>
      <c r="T468" t="s">
        <v>114</v>
      </c>
      <c r="U468" t="str">
        <f>_xlfn.XLOOKUP(tblMaster[[#This Row],[Employee_ID]],tblEmployee[Employee_ID],tblEmployee[Work_Mode]," ")</f>
        <v>Office</v>
      </c>
      <c r="V468" t="s">
        <v>69</v>
      </c>
      <c r="W468">
        <f>_xlfn.XLOOKUP(F468,tblEmployee[Employee_ID],tblEmployee[Age],"Not Found")</f>
        <v>25</v>
      </c>
      <c r="X468" t="str">
        <f>_xlfn.XLOOKUP(F468,tblEmployee[Employee_ID],tblEmployee[Gender],"Not Found")</f>
        <v>Male</v>
      </c>
      <c r="Y468">
        <f>_xlfn.XLOOKUP(F468,tblEmployee[Employee_ID],tblEmployee[Joining_Date],"")</f>
        <v>44301</v>
      </c>
      <c r="Z468">
        <f>_xlfn.XLOOKUP(H468,tblDepartment[Department],tblDepartment[Annual_Budget_INR],"")</f>
        <v>42000000</v>
      </c>
      <c r="AA468" t="str">
        <f>_xlfn.XLOOKUP(H468,tblDepartment[Department],tblDepartment[Monthly_Target],"")</f>
        <v>₹2.5 Cr Monthly Sales</v>
      </c>
      <c r="AB468">
        <f>_xlfn.XLOOKUP(H468,tblDepartment[Department],tblDepartment[Average_Salary_INR],"")</f>
        <v>680000</v>
      </c>
      <c r="AC468" t="str">
        <f>_xlfn.XLOOKUP(H468,tblDepartment[Department],tblDepartment[Priority_Level],"")</f>
        <v>High</v>
      </c>
      <c r="AD468" t="str">
        <f>_xlfn.XLOOKUP(H468,tblDepartment[Department],tblDepartment[Key_KPI],"")</f>
        <v>Revenue Achievement</v>
      </c>
      <c r="AE468">
        <f>_xlfn.XLOOKUP(tblMaster[[#This Row],[Shift]],tblShift[Shift_Name],tblShift[Login_Time],"")</f>
        <v>0.375</v>
      </c>
      <c r="AF468">
        <f>_xlfn.XLOOKUP(tblMaster[[#This Row],[Shift]],tblShift[Shift_Name],tblShift[Logout_Time]," ")</f>
        <v>0.75</v>
      </c>
      <c r="AG468">
        <f>_xlfn.XLOOKUP(tblMaster[[#This Row],[Shift]],tblShift[Shift_Name],tblShift[Standard_Working_Hours],"")</f>
        <v>8</v>
      </c>
      <c r="AH468" t="str">
        <f>_xlfn.XLOOKUP(tblMaster[[#This Row],[Attendance_Date]],tblHoliday[Holiday_Date],tblHoliday[Holiday_Name],"Working Day")</f>
        <v>Working Day</v>
      </c>
      <c r="AI468" t="str">
        <f>_xlfn.XLOOKUP(tblMaster[[#This Row],[Attendance_Date]],tblHoliday[Holiday_Date],tblHoliday[Holiday_Type],"Working Day ")</f>
        <v xml:space="preserve">Working Day </v>
      </c>
    </row>
    <row r="469" spans="1:35" hidden="1" x14ac:dyDescent="0.3">
      <c r="A469" t="s">
        <v>658</v>
      </c>
      <c r="B469" s="1">
        <v>45764</v>
      </c>
      <c r="C469" t="s">
        <v>37</v>
      </c>
      <c r="D469" t="s">
        <v>24</v>
      </c>
      <c r="E469" t="s">
        <v>25</v>
      </c>
      <c r="F469" t="s">
        <v>72</v>
      </c>
      <c r="G469" t="s">
        <v>73</v>
      </c>
      <c r="H469" t="s">
        <v>28</v>
      </c>
      <c r="I469" t="s">
        <v>29</v>
      </c>
      <c r="J469" t="s">
        <v>74</v>
      </c>
      <c r="K469" t="s">
        <v>54</v>
      </c>
      <c r="L469" s="2">
        <v>0.375</v>
      </c>
      <c r="M469" s="2">
        <v>0.75</v>
      </c>
      <c r="N469">
        <v>8</v>
      </c>
      <c r="O469">
        <v>0</v>
      </c>
      <c r="P469" t="s">
        <v>32</v>
      </c>
      <c r="R469">
        <v>4</v>
      </c>
      <c r="S469" t="s">
        <v>33</v>
      </c>
      <c r="T469" t="s">
        <v>34</v>
      </c>
      <c r="U469" t="s">
        <v>55</v>
      </c>
      <c r="V469" t="s">
        <v>60</v>
      </c>
      <c r="W469">
        <f>_xlfn.XLOOKUP(F469,tblEmployee[Employee_ID],tblEmployee[Age],"Not Found")</f>
        <v>28</v>
      </c>
      <c r="X469" t="str">
        <f>_xlfn.XLOOKUP(F469,tblEmployee[Employee_ID],tblEmployee[Gender],"Not Found")</f>
        <v>Female</v>
      </c>
      <c r="Y469">
        <f>_xlfn.XLOOKUP(F469,tblEmployee[Employee_ID],tblEmployee[Joining_Date],"")</f>
        <v>43296</v>
      </c>
      <c r="Z469">
        <f>_xlfn.XLOOKUP(H469,tblDepartment[Department],tblDepartment[Annual_Budget_INR],"")</f>
        <v>24000000</v>
      </c>
      <c r="AA469" t="str">
        <f>_xlfn.XLOOKUP(H469,tblDepartment[Department],tblDepartment[Monthly_Target],"")</f>
        <v>90% Customer Satisfaction</v>
      </c>
      <c r="AB469">
        <f>_xlfn.XLOOKUP(H469,tblDepartment[Department],tblDepartment[Average_Salary_INR],"")</f>
        <v>520000</v>
      </c>
      <c r="AC469" t="str">
        <f>_xlfn.XLOOKUP(H469,tblDepartment[Department],tblDepartment[Priority_Level],"")</f>
        <v>High</v>
      </c>
      <c r="AD469" t="str">
        <f>_xlfn.XLOOKUP(H469,tblDepartment[Department],tblDepartment[Key_KPI],"")</f>
        <v>Customer Satisfaction</v>
      </c>
      <c r="AE469">
        <f>_xlfn.XLOOKUP(tblMaster[[#This Row],[Shift]],tblShift[Shift_Name],tblShift[Login_Time],"")</f>
        <v>0.58333333333333337</v>
      </c>
      <c r="AF469">
        <f>_xlfn.XLOOKUP(tblMaster[[#This Row],[Shift]],tblShift[Shift_Name],tblShift[Logout_Time]," ")</f>
        <v>0.95833333333333337</v>
      </c>
      <c r="AG469">
        <f>_xlfn.XLOOKUP(tblMaster[[#This Row],[Shift]],tblShift[Shift_Name],tblShift[Standard_Working_Hours],"")</f>
        <v>8</v>
      </c>
      <c r="AH469" t="str">
        <f>_xlfn.XLOOKUP(tblMaster[[#This Row],[Attendance_Date]],tblHoliday[Holiday_Date],tblHoliday[Holiday_Name],"Working Day")</f>
        <v>Working Day</v>
      </c>
      <c r="AI469" t="str">
        <f>_xlfn.XLOOKUP(tblMaster[[#This Row],[Attendance_Date]],tblHoliday[Holiday_Date],tblHoliday[Holiday_Type],"Working Day ")</f>
        <v xml:space="preserve">Working Day </v>
      </c>
    </row>
    <row r="470" spans="1:35" x14ac:dyDescent="0.3">
      <c r="A470" t="s">
        <v>659</v>
      </c>
      <c r="B470" s="3">
        <v>45833</v>
      </c>
      <c r="C470" t="s">
        <v>23</v>
      </c>
      <c r="D470" t="s">
        <v>24</v>
      </c>
      <c r="E470" t="s">
        <v>51</v>
      </c>
      <c r="F470" t="s">
        <v>170</v>
      </c>
      <c r="G470" t="s">
        <v>171</v>
      </c>
      <c r="H470" t="s">
        <v>64</v>
      </c>
      <c r="I470" t="s">
        <v>65</v>
      </c>
      <c r="J470" t="s">
        <v>43</v>
      </c>
      <c r="K470" t="s">
        <v>44</v>
      </c>
      <c r="P470" t="s">
        <v>82</v>
      </c>
      <c r="Q470" t="s">
        <v>122</v>
      </c>
      <c r="S470" t="s">
        <v>45</v>
      </c>
      <c r="T470" t="s">
        <v>68</v>
      </c>
      <c r="U470" t="str">
        <f>_xlfn.XLOOKUP(tblMaster[[#This Row],[Employee_ID]],tblEmployee[Employee_ID],tblEmployee[Work_Mode]," ")</f>
        <v>Remote</v>
      </c>
      <c r="V470" t="s">
        <v>35</v>
      </c>
      <c r="W470">
        <f>_xlfn.XLOOKUP(F470,tblEmployee[Employee_ID],tblEmployee[Age],"Not Found")</f>
        <v>36</v>
      </c>
      <c r="X470" t="str">
        <f>_xlfn.XLOOKUP(F470,tblEmployee[Employee_ID],tblEmployee[Gender],"Not Found")</f>
        <v>Female</v>
      </c>
      <c r="Y470">
        <f>_xlfn.XLOOKUP(F470,tblEmployee[Employee_ID],tblEmployee[Joining_Date],"")</f>
        <v>43539</v>
      </c>
      <c r="Z470">
        <f>_xlfn.XLOOKUP(H470,tblDepartment[Department],tblDepartment[Annual_Budget_INR],"")</f>
        <v>85000000</v>
      </c>
      <c r="AA470" t="str">
        <f>_xlfn.XLOOKUP(H470,tblDepartment[Department],tblDepartment[Monthly_Target],"")</f>
        <v>99.5% System Uptime</v>
      </c>
      <c r="AB470">
        <f>_xlfn.XLOOKUP(H470,tblDepartment[Department],tblDepartment[Average_Salary_INR],"")</f>
        <v>720000</v>
      </c>
      <c r="AC470" t="str">
        <f>_xlfn.XLOOKUP(H470,tblDepartment[Department],tblDepartment[Priority_Level],"")</f>
        <v>High</v>
      </c>
      <c r="AD470" t="str">
        <f>_xlfn.XLOOKUP(H470,tblDepartment[Department],tblDepartment[Key_KPI],"")</f>
        <v>Project Delivery</v>
      </c>
      <c r="AE470">
        <f>_xlfn.XLOOKUP(tblMaster[[#This Row],[Shift]],tblShift[Shift_Name],tblShift[Login_Time],"")</f>
        <v>0.41666666666666669</v>
      </c>
      <c r="AF470">
        <f>_xlfn.XLOOKUP(tblMaster[[#This Row],[Shift]],tblShift[Shift_Name],tblShift[Logout_Time]," ")</f>
        <v>0.79166666666666663</v>
      </c>
      <c r="AG470">
        <f>_xlfn.XLOOKUP(tblMaster[[#This Row],[Shift]],tblShift[Shift_Name],tblShift[Standard_Working_Hours],"")</f>
        <v>8</v>
      </c>
      <c r="AH470" t="str">
        <f>_xlfn.XLOOKUP(tblMaster[[#This Row],[Attendance_Date]],tblHoliday[Holiday_Date],tblHoliday[Holiday_Name],"Working Day")</f>
        <v>Working Day</v>
      </c>
      <c r="AI470" t="str">
        <f>_xlfn.XLOOKUP(tblMaster[[#This Row],[Attendance_Date]],tblHoliday[Holiday_Date],tblHoliday[Holiday_Type],"Working Day ")</f>
        <v xml:space="preserve">Working Day </v>
      </c>
    </row>
    <row r="471" spans="1:35" hidden="1" x14ac:dyDescent="0.3">
      <c r="A471" t="s">
        <v>660</v>
      </c>
      <c r="B471" s="3">
        <v>45817</v>
      </c>
      <c r="C471" t="s">
        <v>23</v>
      </c>
      <c r="D471" t="s">
        <v>24</v>
      </c>
      <c r="E471" t="s">
        <v>109</v>
      </c>
      <c r="F471" t="s">
        <v>192</v>
      </c>
      <c r="G471" t="s">
        <v>193</v>
      </c>
      <c r="H471" t="s">
        <v>79</v>
      </c>
      <c r="I471" t="s">
        <v>80</v>
      </c>
      <c r="J471" t="s">
        <v>66</v>
      </c>
      <c r="K471" t="s">
        <v>31</v>
      </c>
      <c r="L471" s="2">
        <v>0.375</v>
      </c>
      <c r="M471" s="2">
        <v>0.75</v>
      </c>
      <c r="N471">
        <v>8</v>
      </c>
      <c r="O471">
        <v>0</v>
      </c>
      <c r="P471" t="s">
        <v>32</v>
      </c>
      <c r="R471">
        <v>4</v>
      </c>
      <c r="S471" t="s">
        <v>67</v>
      </c>
      <c r="T471" t="s">
        <v>84</v>
      </c>
      <c r="U471" t="s">
        <v>85</v>
      </c>
      <c r="V471" t="s">
        <v>69</v>
      </c>
      <c r="W471">
        <f>_xlfn.XLOOKUP(F471,tblEmployee[Employee_ID],tblEmployee[Age],"Not Found")</f>
        <v>32</v>
      </c>
      <c r="X471" t="str">
        <f>_xlfn.XLOOKUP(F471,tblEmployee[Employee_ID],tblEmployee[Gender],"Not Found")</f>
        <v>Female</v>
      </c>
      <c r="Y471">
        <f>_xlfn.XLOOKUP(F471,tblEmployee[Employee_ID],tblEmployee[Joining_Date],"")</f>
        <v>44880</v>
      </c>
      <c r="Z471">
        <f>_xlfn.XLOOKUP(H471,tblDepartment[Department],tblDepartment[Annual_Budget_INR],"")</f>
        <v>26000000</v>
      </c>
      <c r="AA471" t="str">
        <f>_xlfn.XLOOKUP(H471,tblDepartment[Department],tblDepartment[Monthly_Target],"")</f>
        <v>100% Payroll Accuracy</v>
      </c>
      <c r="AB471">
        <f>_xlfn.XLOOKUP(H471,tblDepartment[Department],tblDepartment[Average_Salary_INR],"")</f>
        <v>640000</v>
      </c>
      <c r="AC471" t="str">
        <f>_xlfn.XLOOKUP(H471,tblDepartment[Department],tblDepartment[Priority_Level],"")</f>
        <v>High</v>
      </c>
      <c r="AD471" t="str">
        <f>_xlfn.XLOOKUP(H471,tblDepartment[Department],tblDepartment[Key_KPI],"")</f>
        <v>Financial Compliance</v>
      </c>
      <c r="AE471">
        <f>_xlfn.XLOOKUP(tblMaster[[#This Row],[Shift]],tblShift[Shift_Name],tblShift[Login_Time],"")</f>
        <v>0.25</v>
      </c>
      <c r="AF471">
        <f>_xlfn.XLOOKUP(tblMaster[[#This Row],[Shift]],tblShift[Shift_Name],tblShift[Logout_Time]," ")</f>
        <v>0.625</v>
      </c>
      <c r="AG471">
        <f>_xlfn.XLOOKUP(tblMaster[[#This Row],[Shift]],tblShift[Shift_Name],tblShift[Standard_Working_Hours],"")</f>
        <v>8</v>
      </c>
      <c r="AH471" t="str">
        <f>_xlfn.XLOOKUP(tblMaster[[#This Row],[Attendance_Date]],tblHoliday[Holiday_Date],tblHoliday[Holiday_Name],"Working Day")</f>
        <v>Working Day</v>
      </c>
      <c r="AI471" t="str">
        <f>_xlfn.XLOOKUP(tblMaster[[#This Row],[Attendance_Date]],tblHoliday[Holiday_Date],tblHoliday[Holiday_Type],"Working Day ")</f>
        <v xml:space="preserve">Working Day </v>
      </c>
    </row>
    <row r="472" spans="1:35" x14ac:dyDescent="0.3">
      <c r="A472" t="s">
        <v>661</v>
      </c>
      <c r="B472" s="1">
        <v>45739</v>
      </c>
      <c r="C472" t="s">
        <v>71</v>
      </c>
      <c r="D472" t="s">
        <v>50</v>
      </c>
      <c r="E472" t="s">
        <v>103</v>
      </c>
      <c r="F472" t="s">
        <v>305</v>
      </c>
      <c r="G472" t="s">
        <v>306</v>
      </c>
      <c r="H472" t="s">
        <v>79</v>
      </c>
      <c r="I472" t="s">
        <v>80</v>
      </c>
      <c r="J472" t="s">
        <v>74</v>
      </c>
      <c r="K472" t="s">
        <v>75</v>
      </c>
      <c r="L472" s="2">
        <v>0.375</v>
      </c>
      <c r="M472" s="2">
        <v>0.75</v>
      </c>
      <c r="N472">
        <v>8</v>
      </c>
      <c r="O472">
        <v>0</v>
      </c>
      <c r="P472" t="s">
        <v>32</v>
      </c>
      <c r="R472">
        <v>3</v>
      </c>
      <c r="S472" t="s">
        <v>45</v>
      </c>
      <c r="T472" t="s">
        <v>84</v>
      </c>
      <c r="U472" t="str">
        <f>_xlfn.XLOOKUP(tblMaster[[#This Row],[Employee_ID]],tblEmployee[Employee_ID],tblEmployee[Work_Mode]," ")</f>
        <v>Remote</v>
      </c>
      <c r="V472" t="s">
        <v>60</v>
      </c>
      <c r="W472">
        <f>_xlfn.XLOOKUP(F472,tblEmployee[Employee_ID],tblEmployee[Age],"Not Found")</f>
        <v>36</v>
      </c>
      <c r="X472" t="str">
        <f>_xlfn.XLOOKUP(F472,tblEmployee[Employee_ID],tblEmployee[Gender],"Not Found")</f>
        <v>Female</v>
      </c>
      <c r="Y472">
        <f>_xlfn.XLOOKUP(F472,tblEmployee[Employee_ID],tblEmployee[Joining_Date],"")</f>
        <v>44819</v>
      </c>
      <c r="Z472">
        <f>_xlfn.XLOOKUP(H472,tblDepartment[Department],tblDepartment[Annual_Budget_INR],"")</f>
        <v>26000000</v>
      </c>
      <c r="AA472" t="str">
        <f>_xlfn.XLOOKUP(H472,tblDepartment[Department],tblDepartment[Monthly_Target],"")</f>
        <v>100% Payroll Accuracy</v>
      </c>
      <c r="AB472">
        <f>_xlfn.XLOOKUP(H472,tblDepartment[Department],tblDepartment[Average_Salary_INR],"")</f>
        <v>640000</v>
      </c>
      <c r="AC472" t="str">
        <f>_xlfn.XLOOKUP(H472,tblDepartment[Department],tblDepartment[Priority_Level],"")</f>
        <v>High</v>
      </c>
      <c r="AD472" t="str">
        <f>_xlfn.XLOOKUP(H472,tblDepartment[Department],tblDepartment[Key_KPI],"")</f>
        <v>Financial Compliance</v>
      </c>
      <c r="AE472">
        <f>_xlfn.XLOOKUP(tblMaster[[#This Row],[Shift]],tblShift[Shift_Name],tblShift[Login_Time],"")</f>
        <v>0.375</v>
      </c>
      <c r="AF472">
        <f>_xlfn.XLOOKUP(tblMaster[[#This Row],[Shift]],tblShift[Shift_Name],tblShift[Logout_Time]," ")</f>
        <v>0.75</v>
      </c>
      <c r="AG472">
        <f>_xlfn.XLOOKUP(tblMaster[[#This Row],[Shift]],tblShift[Shift_Name],tblShift[Standard_Working_Hours],"")</f>
        <v>8</v>
      </c>
      <c r="AH472" t="str">
        <f>_xlfn.XLOOKUP(tblMaster[[#This Row],[Attendance_Date]],tblHoliday[Holiday_Date],tblHoliday[Holiday_Name],"Working Day")</f>
        <v>Working Day</v>
      </c>
      <c r="AI472" t="str">
        <f>_xlfn.XLOOKUP(tblMaster[[#This Row],[Attendance_Date]],tblHoliday[Holiday_Date],tblHoliday[Holiday_Type],"Working Day ")</f>
        <v xml:space="preserve">Working Day </v>
      </c>
    </row>
    <row r="473" spans="1:35" x14ac:dyDescent="0.3">
      <c r="A473" t="s">
        <v>662</v>
      </c>
      <c r="B473" s="3">
        <v>45751</v>
      </c>
      <c r="C473" t="s">
        <v>37</v>
      </c>
      <c r="D473" t="s">
        <v>24</v>
      </c>
      <c r="E473" t="s">
        <v>119</v>
      </c>
      <c r="F473" t="s">
        <v>504</v>
      </c>
      <c r="G473" t="s">
        <v>505</v>
      </c>
      <c r="H473" t="s">
        <v>98</v>
      </c>
      <c r="I473" t="s">
        <v>99</v>
      </c>
      <c r="J473" t="s">
        <v>100</v>
      </c>
      <c r="K473" t="s">
        <v>75</v>
      </c>
      <c r="L473" s="2">
        <v>0.375</v>
      </c>
      <c r="M473" s="2">
        <v>0.75</v>
      </c>
      <c r="N473">
        <v>8</v>
      </c>
      <c r="O473">
        <v>0</v>
      </c>
      <c r="P473" t="s">
        <v>32</v>
      </c>
      <c r="R473">
        <v>4</v>
      </c>
      <c r="S473" t="s">
        <v>45</v>
      </c>
      <c r="T473" t="s">
        <v>101</v>
      </c>
      <c r="U473" t="str">
        <f>_xlfn.XLOOKUP(tblMaster[[#This Row],[Employee_ID]],tblEmployee[Employee_ID],tblEmployee[Work_Mode]," ")</f>
        <v>Hybrid</v>
      </c>
      <c r="W473">
        <f>_xlfn.XLOOKUP(F473,tblEmployee[Employee_ID],tblEmployee[Age],"Not Found")</f>
        <v>35</v>
      </c>
      <c r="X473" t="str">
        <f>_xlfn.XLOOKUP(F473,tblEmployee[Employee_ID],tblEmployee[Gender],"Not Found")</f>
        <v>Male</v>
      </c>
      <c r="Y473">
        <f>_xlfn.XLOOKUP(F473,tblEmployee[Employee_ID],tblEmployee[Joining_Date],"")</f>
        <v>45337</v>
      </c>
      <c r="Z473">
        <f>_xlfn.XLOOKUP(H473,tblDepartment[Department],tblDepartment[Annual_Budget_INR],"")</f>
        <v>22000000</v>
      </c>
      <c r="AA473" t="str">
        <f>_xlfn.XLOOKUP(H473,tblDepartment[Department],tblDepartment[Monthly_Target],"")</f>
        <v>2500 Qualified Leads</v>
      </c>
      <c r="AB473">
        <f>_xlfn.XLOOKUP(H473,tblDepartment[Department],tblDepartment[Average_Salary_INR],"")</f>
        <v>590000</v>
      </c>
      <c r="AC473" t="str">
        <f>_xlfn.XLOOKUP(H473,tblDepartment[Department],tblDepartment[Priority_Level],"")</f>
        <v>Medium</v>
      </c>
      <c r="AD473" t="str">
        <f>_xlfn.XLOOKUP(H473,tblDepartment[Department],tblDepartment[Key_KPI],"")</f>
        <v>Lead Generation</v>
      </c>
      <c r="AE473">
        <f>_xlfn.XLOOKUP(tblMaster[[#This Row],[Shift]],tblShift[Shift_Name],tblShift[Login_Time],"")</f>
        <v>0.375</v>
      </c>
      <c r="AF473">
        <f>_xlfn.XLOOKUP(tblMaster[[#This Row],[Shift]],tblShift[Shift_Name],tblShift[Logout_Time]," ")</f>
        <v>0.75</v>
      </c>
      <c r="AG473">
        <f>_xlfn.XLOOKUP(tblMaster[[#This Row],[Shift]],tblShift[Shift_Name],tblShift[Standard_Working_Hours],"")</f>
        <v>8</v>
      </c>
      <c r="AH473" t="str">
        <f>_xlfn.XLOOKUP(tblMaster[[#This Row],[Attendance_Date]],tblHoliday[Holiday_Date],tblHoliday[Holiday_Name],"Working Day")</f>
        <v>Working Day</v>
      </c>
      <c r="AI473" t="str">
        <f>_xlfn.XLOOKUP(tblMaster[[#This Row],[Attendance_Date]],tblHoliday[Holiday_Date],tblHoliday[Holiday_Type],"Working Day ")</f>
        <v xml:space="preserve">Working Day </v>
      </c>
    </row>
    <row r="474" spans="1:35" x14ac:dyDescent="0.3">
      <c r="A474" t="s">
        <v>663</v>
      </c>
      <c r="B474" s="3">
        <v>45785</v>
      </c>
      <c r="C474" t="s">
        <v>57</v>
      </c>
      <c r="D474" t="s">
        <v>24</v>
      </c>
      <c r="E474" t="s">
        <v>25</v>
      </c>
      <c r="F474" t="s">
        <v>170</v>
      </c>
      <c r="G474" t="s">
        <v>171</v>
      </c>
      <c r="H474" t="s">
        <v>64</v>
      </c>
      <c r="I474" t="s">
        <v>65</v>
      </c>
      <c r="J474" t="s">
        <v>43</v>
      </c>
      <c r="K474" t="s">
        <v>54</v>
      </c>
      <c r="L474" s="2">
        <v>0.375</v>
      </c>
      <c r="M474" s="2">
        <v>0.75</v>
      </c>
      <c r="N474">
        <v>10</v>
      </c>
      <c r="O474">
        <v>2</v>
      </c>
      <c r="P474" t="s">
        <v>32</v>
      </c>
      <c r="R474">
        <v>4</v>
      </c>
      <c r="S474" t="s">
        <v>45</v>
      </c>
      <c r="T474" t="s">
        <v>68</v>
      </c>
      <c r="U474" t="str">
        <f>_xlfn.XLOOKUP(tblMaster[[#This Row],[Employee_ID]],tblEmployee[Employee_ID],tblEmployee[Work_Mode]," ")</f>
        <v>Remote</v>
      </c>
      <c r="V474" t="s">
        <v>60</v>
      </c>
      <c r="W474">
        <f>_xlfn.XLOOKUP(F474,tblEmployee[Employee_ID],tblEmployee[Age],"Not Found")</f>
        <v>36</v>
      </c>
      <c r="X474" t="str">
        <f>_xlfn.XLOOKUP(F474,tblEmployee[Employee_ID],tblEmployee[Gender],"Not Found")</f>
        <v>Female</v>
      </c>
      <c r="Y474">
        <f>_xlfn.XLOOKUP(F474,tblEmployee[Employee_ID],tblEmployee[Joining_Date],"")</f>
        <v>43539</v>
      </c>
      <c r="Z474">
        <f>_xlfn.XLOOKUP(H474,tblDepartment[Department],tblDepartment[Annual_Budget_INR],"")</f>
        <v>85000000</v>
      </c>
      <c r="AA474" t="str">
        <f>_xlfn.XLOOKUP(H474,tblDepartment[Department],tblDepartment[Monthly_Target],"")</f>
        <v>99.5% System Uptime</v>
      </c>
      <c r="AB474">
        <f>_xlfn.XLOOKUP(H474,tblDepartment[Department],tblDepartment[Average_Salary_INR],"")</f>
        <v>720000</v>
      </c>
      <c r="AC474" t="str">
        <f>_xlfn.XLOOKUP(H474,tblDepartment[Department],tblDepartment[Priority_Level],"")</f>
        <v>High</v>
      </c>
      <c r="AD474" t="str">
        <f>_xlfn.XLOOKUP(H474,tblDepartment[Department],tblDepartment[Key_KPI],"")</f>
        <v>Project Delivery</v>
      </c>
      <c r="AE474">
        <f>_xlfn.XLOOKUP(tblMaster[[#This Row],[Shift]],tblShift[Shift_Name],tblShift[Login_Time],"")</f>
        <v>0.58333333333333337</v>
      </c>
      <c r="AF474">
        <f>_xlfn.XLOOKUP(tblMaster[[#This Row],[Shift]],tblShift[Shift_Name],tblShift[Logout_Time]," ")</f>
        <v>0.95833333333333337</v>
      </c>
      <c r="AG474">
        <f>_xlfn.XLOOKUP(tblMaster[[#This Row],[Shift]],tblShift[Shift_Name],tblShift[Standard_Working_Hours],"")</f>
        <v>8</v>
      </c>
      <c r="AH474" t="str">
        <f>_xlfn.XLOOKUP(tblMaster[[#This Row],[Attendance_Date]],tblHoliday[Holiday_Date],tblHoliday[Holiday_Name],"Working Day")</f>
        <v>Working Day</v>
      </c>
      <c r="AI474" t="str">
        <f>_xlfn.XLOOKUP(tblMaster[[#This Row],[Attendance_Date]],tblHoliday[Holiday_Date],tblHoliday[Holiday_Type],"Working Day ")</f>
        <v xml:space="preserve">Working Day </v>
      </c>
    </row>
    <row r="475" spans="1:35" hidden="1" x14ac:dyDescent="0.3">
      <c r="A475" t="s">
        <v>664</v>
      </c>
      <c r="B475" s="1">
        <v>45719</v>
      </c>
      <c r="C475" t="s">
        <v>71</v>
      </c>
      <c r="D475" t="s">
        <v>50</v>
      </c>
      <c r="E475" t="s">
        <v>109</v>
      </c>
      <c r="F475" t="s">
        <v>354</v>
      </c>
      <c r="G475" t="s">
        <v>355</v>
      </c>
      <c r="H475" t="s">
        <v>107</v>
      </c>
      <c r="I475" t="s">
        <v>29</v>
      </c>
      <c r="J475" t="s">
        <v>100</v>
      </c>
      <c r="K475" t="s">
        <v>81</v>
      </c>
      <c r="L475" s="2">
        <v>0.91666666666666663</v>
      </c>
      <c r="M475" s="2">
        <v>0.29166666666666669</v>
      </c>
      <c r="N475">
        <v>8.5</v>
      </c>
      <c r="O475">
        <v>0.5</v>
      </c>
      <c r="P475" t="s">
        <v>32</v>
      </c>
      <c r="S475" t="s">
        <v>45</v>
      </c>
      <c r="T475" t="s">
        <v>34</v>
      </c>
      <c r="U475" t="s">
        <v>47</v>
      </c>
      <c r="V475" t="s">
        <v>35</v>
      </c>
      <c r="W475">
        <f>_xlfn.XLOOKUP(F475,tblEmployee[Employee_ID],tblEmployee[Age],"Not Found")</f>
        <v>32</v>
      </c>
      <c r="X475" t="str">
        <f>_xlfn.XLOOKUP(F475,tblEmployee[Employee_ID],tblEmployee[Gender],"Not Found")</f>
        <v>Female</v>
      </c>
      <c r="Y475">
        <f>_xlfn.XLOOKUP(F475,tblEmployee[Employee_ID],tblEmployee[Joining_Date],"")</f>
        <v>43235</v>
      </c>
      <c r="Z475">
        <f>_xlfn.XLOOKUP(H475,tblDepartment[Department],tblDepartment[Annual_Budget_INR],"")</f>
        <v>24000000</v>
      </c>
      <c r="AA475" t="str">
        <f>_xlfn.XLOOKUP(H475,tblDepartment[Department],tblDepartment[Monthly_Target],"")</f>
        <v>90% Customer Satisfaction</v>
      </c>
      <c r="AB475">
        <f>_xlfn.XLOOKUP(H475,tblDepartment[Department],tblDepartment[Average_Salary_INR],"")</f>
        <v>520000</v>
      </c>
      <c r="AC475" t="str">
        <f>_xlfn.XLOOKUP(H475,tblDepartment[Department],tblDepartment[Priority_Level],"")</f>
        <v>High</v>
      </c>
      <c r="AD475" t="str">
        <f>_xlfn.XLOOKUP(H475,tblDepartment[Department],tblDepartment[Key_KPI],"")</f>
        <v>Customer Satisfaction</v>
      </c>
      <c r="AE475">
        <f>_xlfn.XLOOKUP(tblMaster[[#This Row],[Shift]],tblShift[Shift_Name],tblShift[Login_Time],"")</f>
        <v>0.91666666666666663</v>
      </c>
      <c r="AF475">
        <f>_xlfn.XLOOKUP(tblMaster[[#This Row],[Shift]],tblShift[Shift_Name],tblShift[Logout_Time]," ")</f>
        <v>0.29166666666666669</v>
      </c>
      <c r="AG475">
        <f>_xlfn.XLOOKUP(tblMaster[[#This Row],[Shift]],tblShift[Shift_Name],tblShift[Standard_Working_Hours],"")</f>
        <v>8</v>
      </c>
      <c r="AH475" t="str">
        <f>_xlfn.XLOOKUP(tblMaster[[#This Row],[Attendance_Date]],tblHoliday[Holiday_Date],tblHoliday[Holiday_Name],"Working Day")</f>
        <v>Working Day</v>
      </c>
      <c r="AI475" t="str">
        <f>_xlfn.XLOOKUP(tblMaster[[#This Row],[Attendance_Date]],tblHoliday[Holiday_Date],tblHoliday[Holiday_Type],"Working Day ")</f>
        <v xml:space="preserve">Working Day </v>
      </c>
    </row>
    <row r="476" spans="1:35" x14ac:dyDescent="0.3">
      <c r="A476" t="s">
        <v>665</v>
      </c>
      <c r="B476" s="3">
        <v>45740</v>
      </c>
      <c r="C476" t="s">
        <v>71</v>
      </c>
      <c r="D476" t="s">
        <v>50</v>
      </c>
      <c r="E476" t="s">
        <v>109</v>
      </c>
      <c r="F476" t="s">
        <v>309</v>
      </c>
      <c r="G476" t="s">
        <v>310</v>
      </c>
      <c r="H476" t="s">
        <v>28</v>
      </c>
      <c r="I476" t="s">
        <v>29</v>
      </c>
      <c r="J476" t="s">
        <v>43</v>
      </c>
      <c r="K476" t="s">
        <v>44</v>
      </c>
      <c r="L476" s="2">
        <v>0.375</v>
      </c>
      <c r="M476" s="2">
        <v>0.75</v>
      </c>
      <c r="N476">
        <v>8</v>
      </c>
      <c r="O476">
        <v>0</v>
      </c>
      <c r="P476" t="s">
        <v>32</v>
      </c>
      <c r="R476">
        <v>5</v>
      </c>
      <c r="S476" t="s">
        <v>33</v>
      </c>
      <c r="T476" t="s">
        <v>34</v>
      </c>
      <c r="U476" t="str">
        <f>_xlfn.XLOOKUP(tblMaster[[#This Row],[Employee_ID]],tblEmployee[Employee_ID],tblEmployee[Work_Mode]," ")</f>
        <v>Remote</v>
      </c>
      <c r="W476">
        <f>_xlfn.XLOOKUP(F476,tblEmployee[Employee_ID],tblEmployee[Age],"Not Found")</f>
        <v>39</v>
      </c>
      <c r="X476" t="str">
        <f>_xlfn.XLOOKUP(F476,tblEmployee[Employee_ID],tblEmployee[Gender],"Not Found")</f>
        <v>Male</v>
      </c>
      <c r="Y476">
        <f>_xlfn.XLOOKUP(F476,tblEmployee[Employee_ID],tblEmployee[Joining_Date],"")</f>
        <v>43449</v>
      </c>
      <c r="Z476">
        <f>_xlfn.XLOOKUP(H476,tblDepartment[Department],tblDepartment[Annual_Budget_INR],"")</f>
        <v>24000000</v>
      </c>
      <c r="AA476" t="str">
        <f>_xlfn.XLOOKUP(H476,tblDepartment[Department],tblDepartment[Monthly_Target],"")</f>
        <v>90% Customer Satisfaction</v>
      </c>
      <c r="AB476">
        <f>_xlfn.XLOOKUP(H476,tblDepartment[Department],tblDepartment[Average_Salary_INR],"")</f>
        <v>520000</v>
      </c>
      <c r="AC476" t="str">
        <f>_xlfn.XLOOKUP(H476,tblDepartment[Department],tblDepartment[Priority_Level],"")</f>
        <v>High</v>
      </c>
      <c r="AD476" t="str">
        <f>_xlfn.XLOOKUP(H476,tblDepartment[Department],tblDepartment[Key_KPI],"")</f>
        <v>Customer Satisfaction</v>
      </c>
      <c r="AE476">
        <f>_xlfn.XLOOKUP(tblMaster[[#This Row],[Shift]],tblShift[Shift_Name],tblShift[Login_Time],"")</f>
        <v>0.41666666666666669</v>
      </c>
      <c r="AF476">
        <f>_xlfn.XLOOKUP(tblMaster[[#This Row],[Shift]],tblShift[Shift_Name],tblShift[Logout_Time]," ")</f>
        <v>0.79166666666666663</v>
      </c>
      <c r="AG476">
        <f>_xlfn.XLOOKUP(tblMaster[[#This Row],[Shift]],tblShift[Shift_Name],tblShift[Standard_Working_Hours],"")</f>
        <v>8</v>
      </c>
      <c r="AH476" t="str">
        <f>_xlfn.XLOOKUP(tblMaster[[#This Row],[Attendance_Date]],tblHoliday[Holiday_Date],tblHoliday[Holiday_Name],"Working Day")</f>
        <v>Working Day</v>
      </c>
      <c r="AI476" t="str">
        <f>_xlfn.XLOOKUP(tblMaster[[#This Row],[Attendance_Date]],tblHoliday[Holiday_Date],tblHoliday[Holiday_Type],"Working Day ")</f>
        <v xml:space="preserve">Working Day </v>
      </c>
    </row>
    <row r="477" spans="1:35" hidden="1" x14ac:dyDescent="0.3">
      <c r="A477" t="s">
        <v>666</v>
      </c>
      <c r="B477" s="1">
        <v>45663</v>
      </c>
      <c r="C477" t="s">
        <v>49</v>
      </c>
      <c r="D477" t="s">
        <v>50</v>
      </c>
      <c r="E477" t="s">
        <v>109</v>
      </c>
      <c r="F477" t="s">
        <v>192</v>
      </c>
      <c r="G477" t="s">
        <v>193</v>
      </c>
      <c r="H477" t="s">
        <v>79</v>
      </c>
      <c r="I477" t="s">
        <v>80</v>
      </c>
      <c r="J477" t="s">
        <v>66</v>
      </c>
      <c r="K477" t="s">
        <v>81</v>
      </c>
      <c r="L477" s="2">
        <v>0.91666666666666663</v>
      </c>
      <c r="M477" s="2">
        <v>0.29166666666666669</v>
      </c>
      <c r="N477">
        <v>9.5</v>
      </c>
      <c r="O477">
        <v>1.5</v>
      </c>
      <c r="P477" t="s">
        <v>32</v>
      </c>
      <c r="R477">
        <v>4</v>
      </c>
      <c r="S477" t="s">
        <v>92</v>
      </c>
      <c r="T477" t="s">
        <v>84</v>
      </c>
      <c r="U477" t="s">
        <v>85</v>
      </c>
      <c r="V477" t="s">
        <v>35</v>
      </c>
      <c r="W477">
        <f>_xlfn.XLOOKUP(F477,tblEmployee[Employee_ID],tblEmployee[Age],"Not Found")</f>
        <v>32</v>
      </c>
      <c r="X477" t="str">
        <f>_xlfn.XLOOKUP(F477,tblEmployee[Employee_ID],tblEmployee[Gender],"Not Found")</f>
        <v>Female</v>
      </c>
      <c r="Y477">
        <f>_xlfn.XLOOKUP(F477,tblEmployee[Employee_ID],tblEmployee[Joining_Date],"")</f>
        <v>44880</v>
      </c>
      <c r="Z477">
        <f>_xlfn.XLOOKUP(H477,tblDepartment[Department],tblDepartment[Annual_Budget_INR],"")</f>
        <v>26000000</v>
      </c>
      <c r="AA477" t="str">
        <f>_xlfn.XLOOKUP(H477,tblDepartment[Department],tblDepartment[Monthly_Target],"")</f>
        <v>100% Payroll Accuracy</v>
      </c>
      <c r="AB477">
        <f>_xlfn.XLOOKUP(H477,tblDepartment[Department],tblDepartment[Average_Salary_INR],"")</f>
        <v>640000</v>
      </c>
      <c r="AC477" t="str">
        <f>_xlfn.XLOOKUP(H477,tblDepartment[Department],tblDepartment[Priority_Level],"")</f>
        <v>High</v>
      </c>
      <c r="AD477" t="str">
        <f>_xlfn.XLOOKUP(H477,tblDepartment[Department],tblDepartment[Key_KPI],"")</f>
        <v>Financial Compliance</v>
      </c>
      <c r="AE477">
        <f>_xlfn.XLOOKUP(tblMaster[[#This Row],[Shift]],tblShift[Shift_Name],tblShift[Login_Time],"")</f>
        <v>0.91666666666666663</v>
      </c>
      <c r="AF477">
        <f>_xlfn.XLOOKUP(tblMaster[[#This Row],[Shift]],tblShift[Shift_Name],tblShift[Logout_Time]," ")</f>
        <v>0.29166666666666669</v>
      </c>
      <c r="AG477">
        <f>_xlfn.XLOOKUP(tblMaster[[#This Row],[Shift]],tblShift[Shift_Name],tblShift[Standard_Working_Hours],"")</f>
        <v>8</v>
      </c>
      <c r="AH477" t="str">
        <f>_xlfn.XLOOKUP(tblMaster[[#This Row],[Attendance_Date]],tblHoliday[Holiday_Date],tblHoliday[Holiday_Name],"Working Day")</f>
        <v>Working Day</v>
      </c>
      <c r="AI477" t="str">
        <f>_xlfn.XLOOKUP(tblMaster[[#This Row],[Attendance_Date]],tblHoliday[Holiday_Date],tblHoliday[Holiday_Type],"Working Day ")</f>
        <v xml:space="preserve">Working Day </v>
      </c>
    </row>
    <row r="478" spans="1:35" hidden="1" x14ac:dyDescent="0.3">
      <c r="A478" t="s">
        <v>667</v>
      </c>
      <c r="B478" s="1">
        <v>45753</v>
      </c>
      <c r="C478" t="s">
        <v>37</v>
      </c>
      <c r="D478" t="s">
        <v>24</v>
      </c>
      <c r="E478" t="s">
        <v>103</v>
      </c>
      <c r="F478" t="s">
        <v>247</v>
      </c>
      <c r="G478" t="s">
        <v>248</v>
      </c>
      <c r="H478" t="s">
        <v>64</v>
      </c>
      <c r="I478" t="s">
        <v>65</v>
      </c>
      <c r="J478" t="s">
        <v>66</v>
      </c>
      <c r="K478" t="s">
        <v>75</v>
      </c>
      <c r="L478" s="2">
        <v>0.375</v>
      </c>
      <c r="M478" s="2">
        <v>0.75</v>
      </c>
      <c r="N478">
        <v>9</v>
      </c>
      <c r="O478">
        <v>1</v>
      </c>
      <c r="P478" t="s">
        <v>32</v>
      </c>
      <c r="R478">
        <v>4</v>
      </c>
      <c r="S478" t="s">
        <v>67</v>
      </c>
      <c r="T478" t="s">
        <v>68</v>
      </c>
      <c r="U478" t="s">
        <v>85</v>
      </c>
      <c r="V478" t="s">
        <v>60</v>
      </c>
      <c r="W478">
        <f>_xlfn.XLOOKUP(F478,tblEmployee[Employee_ID],tblEmployee[Age],"Not Found")</f>
        <v>22</v>
      </c>
      <c r="X478" t="str">
        <f>_xlfn.XLOOKUP(F478,tblEmployee[Employee_ID],tblEmployee[Gender],"Not Found")</f>
        <v>Male</v>
      </c>
      <c r="Y478">
        <f>_xlfn.XLOOKUP(F478,tblEmployee[Employee_ID],tblEmployee[Joining_Date],"")</f>
        <v>43480</v>
      </c>
      <c r="Z478">
        <f>_xlfn.XLOOKUP(H478,tblDepartment[Department],tblDepartment[Annual_Budget_INR],"")</f>
        <v>85000000</v>
      </c>
      <c r="AA478" t="str">
        <f>_xlfn.XLOOKUP(H478,tblDepartment[Department],tblDepartment[Monthly_Target],"")</f>
        <v>99.5% System Uptime</v>
      </c>
      <c r="AB478">
        <f>_xlfn.XLOOKUP(H478,tblDepartment[Department],tblDepartment[Average_Salary_INR],"")</f>
        <v>720000</v>
      </c>
      <c r="AC478" t="str">
        <f>_xlfn.XLOOKUP(H478,tblDepartment[Department],tblDepartment[Priority_Level],"")</f>
        <v>High</v>
      </c>
      <c r="AD478" t="str">
        <f>_xlfn.XLOOKUP(H478,tblDepartment[Department],tblDepartment[Key_KPI],"")</f>
        <v>Project Delivery</v>
      </c>
      <c r="AE478">
        <f>_xlfn.XLOOKUP(tblMaster[[#This Row],[Shift]],tblShift[Shift_Name],tblShift[Login_Time],"")</f>
        <v>0.375</v>
      </c>
      <c r="AF478">
        <f>_xlfn.XLOOKUP(tblMaster[[#This Row],[Shift]],tblShift[Shift_Name],tblShift[Logout_Time]," ")</f>
        <v>0.75</v>
      </c>
      <c r="AG478">
        <f>_xlfn.XLOOKUP(tblMaster[[#This Row],[Shift]],tblShift[Shift_Name],tblShift[Standard_Working_Hours],"")</f>
        <v>8</v>
      </c>
      <c r="AH478" t="str">
        <f>_xlfn.XLOOKUP(tblMaster[[#This Row],[Attendance_Date]],tblHoliday[Holiday_Date],tblHoliday[Holiday_Name],"Working Day")</f>
        <v>Working Day</v>
      </c>
      <c r="AI478" t="str">
        <f>_xlfn.XLOOKUP(tblMaster[[#This Row],[Attendance_Date]],tblHoliday[Holiday_Date],tblHoliday[Holiday_Type],"Working Day ")</f>
        <v xml:space="preserve">Working Day </v>
      </c>
    </row>
    <row r="479" spans="1:35" hidden="1" x14ac:dyDescent="0.3">
      <c r="A479" t="s">
        <v>668</v>
      </c>
      <c r="B479" s="3">
        <v>45727</v>
      </c>
      <c r="C479" t="s">
        <v>71</v>
      </c>
      <c r="D479" t="s">
        <v>50</v>
      </c>
      <c r="E479" t="s">
        <v>87</v>
      </c>
      <c r="F479" t="s">
        <v>26</v>
      </c>
      <c r="G479" t="s">
        <v>27</v>
      </c>
      <c r="H479" t="s">
        <v>28</v>
      </c>
      <c r="I479" t="s">
        <v>29</v>
      </c>
      <c r="J479" t="s">
        <v>30</v>
      </c>
      <c r="K479" t="s">
        <v>81</v>
      </c>
      <c r="L479" s="2">
        <v>0.91666666666666663</v>
      </c>
      <c r="M479" s="2">
        <v>0.29166666666666669</v>
      </c>
      <c r="N479">
        <v>10</v>
      </c>
      <c r="O479">
        <v>2</v>
      </c>
      <c r="P479" t="s">
        <v>32</v>
      </c>
      <c r="R479">
        <v>4</v>
      </c>
      <c r="S479" t="s">
        <v>92</v>
      </c>
      <c r="T479" t="s">
        <v>34</v>
      </c>
      <c r="U479" t="s">
        <v>47</v>
      </c>
      <c r="V479" t="s">
        <v>69</v>
      </c>
      <c r="W479">
        <f>_xlfn.XLOOKUP(F479,tblEmployee[Employee_ID],tblEmployee[Age],"Not Found")</f>
        <v>36</v>
      </c>
      <c r="X479" t="str">
        <f>_xlfn.XLOOKUP(F479,tblEmployee[Employee_ID],tblEmployee[Gender],"Not Found")</f>
        <v>Female</v>
      </c>
      <c r="Y479">
        <f>_xlfn.XLOOKUP(F479,tblEmployee[Employee_ID],tblEmployee[Joining_Date],"")</f>
        <v>43174</v>
      </c>
      <c r="Z479">
        <f>_xlfn.XLOOKUP(H479,tblDepartment[Department],tblDepartment[Annual_Budget_INR],"")</f>
        <v>24000000</v>
      </c>
      <c r="AA479" t="str">
        <f>_xlfn.XLOOKUP(H479,tblDepartment[Department],tblDepartment[Monthly_Target],"")</f>
        <v>90% Customer Satisfaction</v>
      </c>
      <c r="AB479">
        <f>_xlfn.XLOOKUP(H479,tblDepartment[Department],tblDepartment[Average_Salary_INR],"")</f>
        <v>520000</v>
      </c>
      <c r="AC479" t="str">
        <f>_xlfn.XLOOKUP(H479,tblDepartment[Department],tblDepartment[Priority_Level],"")</f>
        <v>High</v>
      </c>
      <c r="AD479" t="str">
        <f>_xlfn.XLOOKUP(H479,tblDepartment[Department],tblDepartment[Key_KPI],"")</f>
        <v>Customer Satisfaction</v>
      </c>
      <c r="AE479">
        <f>_xlfn.XLOOKUP(tblMaster[[#This Row],[Shift]],tblShift[Shift_Name],tblShift[Login_Time],"")</f>
        <v>0.91666666666666663</v>
      </c>
      <c r="AF479">
        <f>_xlfn.XLOOKUP(tblMaster[[#This Row],[Shift]],tblShift[Shift_Name],tblShift[Logout_Time]," ")</f>
        <v>0.29166666666666669</v>
      </c>
      <c r="AG479">
        <f>_xlfn.XLOOKUP(tblMaster[[#This Row],[Shift]],tblShift[Shift_Name],tblShift[Standard_Working_Hours],"")</f>
        <v>8</v>
      </c>
      <c r="AH479" t="str">
        <f>_xlfn.XLOOKUP(tblMaster[[#This Row],[Attendance_Date]],tblHoliday[Holiday_Date],tblHoliday[Holiday_Name],"Working Day")</f>
        <v>Working Day</v>
      </c>
      <c r="AI479" t="str">
        <f>_xlfn.XLOOKUP(tblMaster[[#This Row],[Attendance_Date]],tblHoliday[Holiday_Date],tblHoliday[Holiday_Type],"Working Day ")</f>
        <v xml:space="preserve">Working Day </v>
      </c>
    </row>
    <row r="480" spans="1:35" hidden="1" x14ac:dyDescent="0.3">
      <c r="A480" t="s">
        <v>669</v>
      </c>
      <c r="B480" s="3">
        <v>45793</v>
      </c>
      <c r="C480" t="s">
        <v>57</v>
      </c>
      <c r="D480" t="s">
        <v>24</v>
      </c>
      <c r="E480" t="s">
        <v>119</v>
      </c>
      <c r="F480" t="s">
        <v>201</v>
      </c>
      <c r="G480" t="s">
        <v>202</v>
      </c>
      <c r="H480" t="s">
        <v>112</v>
      </c>
      <c r="I480" t="s">
        <v>113</v>
      </c>
      <c r="J480" t="s">
        <v>66</v>
      </c>
      <c r="K480" t="s">
        <v>54</v>
      </c>
      <c r="L480" s="2">
        <v>0.375</v>
      </c>
      <c r="M480" s="2">
        <v>0.75</v>
      </c>
      <c r="N480">
        <v>8</v>
      </c>
      <c r="O480">
        <v>0</v>
      </c>
      <c r="P480" t="s">
        <v>32</v>
      </c>
      <c r="R480">
        <v>5</v>
      </c>
      <c r="S480" t="s">
        <v>33</v>
      </c>
      <c r="T480" t="s">
        <v>114</v>
      </c>
      <c r="U480" t="s">
        <v>55</v>
      </c>
      <c r="W480">
        <f>_xlfn.XLOOKUP(F480,tblEmployee[Employee_ID],tblEmployee[Age],"Not Found")</f>
        <v>35</v>
      </c>
      <c r="X480" t="str">
        <f>_xlfn.XLOOKUP(F480,tblEmployee[Employee_ID],tblEmployee[Gender],"Not Found")</f>
        <v>Male</v>
      </c>
      <c r="Y480">
        <f>_xlfn.XLOOKUP(F480,tblEmployee[Employee_ID],tblEmployee[Joining_Date],"")</f>
        <v>44423</v>
      </c>
      <c r="Z480">
        <f>_xlfn.XLOOKUP(H480,tblDepartment[Department],tblDepartment[Annual_Budget_INR],"")</f>
        <v>42000000</v>
      </c>
      <c r="AA480" t="str">
        <f>_xlfn.XLOOKUP(H480,tblDepartment[Department],tblDepartment[Monthly_Target],"")</f>
        <v>₹2.5 Cr Monthly Sales</v>
      </c>
      <c r="AB480">
        <f>_xlfn.XLOOKUP(H480,tblDepartment[Department],tblDepartment[Average_Salary_INR],"")</f>
        <v>680000</v>
      </c>
      <c r="AC480" t="str">
        <f>_xlfn.XLOOKUP(H480,tblDepartment[Department],tblDepartment[Priority_Level],"")</f>
        <v>High</v>
      </c>
      <c r="AD480" t="str">
        <f>_xlfn.XLOOKUP(H480,tblDepartment[Department],tblDepartment[Key_KPI],"")</f>
        <v>Revenue Achievement</v>
      </c>
      <c r="AE480">
        <f>_xlfn.XLOOKUP(tblMaster[[#This Row],[Shift]],tblShift[Shift_Name],tblShift[Login_Time],"")</f>
        <v>0.58333333333333337</v>
      </c>
      <c r="AF480">
        <f>_xlfn.XLOOKUP(tblMaster[[#This Row],[Shift]],tblShift[Shift_Name],tblShift[Logout_Time]," ")</f>
        <v>0.95833333333333337</v>
      </c>
      <c r="AG480">
        <f>_xlfn.XLOOKUP(tblMaster[[#This Row],[Shift]],tblShift[Shift_Name],tblShift[Standard_Working_Hours],"")</f>
        <v>8</v>
      </c>
      <c r="AH480" t="str">
        <f>_xlfn.XLOOKUP(tblMaster[[#This Row],[Attendance_Date]],tblHoliday[Holiday_Date],tblHoliday[Holiday_Name],"Working Day")</f>
        <v>Working Day</v>
      </c>
      <c r="AI480" t="str">
        <f>_xlfn.XLOOKUP(tblMaster[[#This Row],[Attendance_Date]],tblHoliday[Holiday_Date],tblHoliday[Holiday_Type],"Working Day ")</f>
        <v xml:space="preserve">Working Day </v>
      </c>
    </row>
    <row r="481" spans="1:35" hidden="1" x14ac:dyDescent="0.3">
      <c r="A481" t="s">
        <v>670</v>
      </c>
      <c r="B481" s="1">
        <v>45833</v>
      </c>
      <c r="C481" t="s">
        <v>23</v>
      </c>
      <c r="D481" t="s">
        <v>24</v>
      </c>
      <c r="E481" t="s">
        <v>51</v>
      </c>
      <c r="F481" t="s">
        <v>204</v>
      </c>
      <c r="G481" t="s">
        <v>205</v>
      </c>
      <c r="H481" t="s">
        <v>90</v>
      </c>
      <c r="I481" t="s">
        <v>91</v>
      </c>
      <c r="J481" t="s">
        <v>74</v>
      </c>
      <c r="K481" t="s">
        <v>44</v>
      </c>
      <c r="P481" t="s">
        <v>135</v>
      </c>
      <c r="S481" t="s">
        <v>92</v>
      </c>
      <c r="T481" t="s">
        <v>93</v>
      </c>
      <c r="U481" t="s">
        <v>55</v>
      </c>
      <c r="V481" t="s">
        <v>69</v>
      </c>
      <c r="W481">
        <f>_xlfn.XLOOKUP(F481,tblEmployee[Employee_ID],tblEmployee[Age],"Not Found")</f>
        <v>24</v>
      </c>
      <c r="X481" t="str">
        <f>_xlfn.XLOOKUP(F481,tblEmployee[Employee_ID],tblEmployee[Gender],"Not Found")</f>
        <v>Female</v>
      </c>
      <c r="Y481">
        <f>_xlfn.XLOOKUP(F481,tblEmployee[Employee_ID],tblEmployee[Joining_Date],"")</f>
        <v>43905</v>
      </c>
      <c r="Z481">
        <f>_xlfn.XLOOKUP(H481,tblDepartment[Department],tblDepartment[Annual_Budget_INR],"")</f>
        <v>18000000</v>
      </c>
      <c r="AA481" t="str">
        <f>_xlfn.XLOOKUP(H481,tblDepartment[Department],tblDepartment[Monthly_Target],"")</f>
        <v>&lt;30 Days Hiring Cycle</v>
      </c>
      <c r="AB481">
        <f>_xlfn.XLOOKUP(H481,tblDepartment[Department],tblDepartment[Average_Salary_INR],"")</f>
        <v>560000</v>
      </c>
      <c r="AC481" t="str">
        <f>_xlfn.XLOOKUP(H481,tblDepartment[Department],tblDepartment[Priority_Level],"")</f>
        <v>Medium</v>
      </c>
      <c r="AD481" t="str">
        <f>_xlfn.XLOOKUP(H481,tblDepartment[Department],tblDepartment[Key_KPI],"")</f>
        <v>Hiring &amp; Retention</v>
      </c>
      <c r="AE481">
        <f>_xlfn.XLOOKUP(tblMaster[[#This Row],[Shift]],tblShift[Shift_Name],tblShift[Login_Time],"")</f>
        <v>0.41666666666666669</v>
      </c>
      <c r="AF481">
        <f>_xlfn.XLOOKUP(tblMaster[[#This Row],[Shift]],tblShift[Shift_Name],tblShift[Logout_Time]," ")</f>
        <v>0.79166666666666663</v>
      </c>
      <c r="AG481">
        <f>_xlfn.XLOOKUP(tblMaster[[#This Row],[Shift]],tblShift[Shift_Name],tblShift[Standard_Working_Hours],"")</f>
        <v>8</v>
      </c>
      <c r="AH481" t="str">
        <f>_xlfn.XLOOKUP(tblMaster[[#This Row],[Attendance_Date]],tblHoliday[Holiday_Date],tblHoliday[Holiday_Name],"Working Day")</f>
        <v>Working Day</v>
      </c>
      <c r="AI481" t="str">
        <f>_xlfn.XLOOKUP(tblMaster[[#This Row],[Attendance_Date]],tblHoliday[Holiday_Date],tblHoliday[Holiday_Type],"Working Day ")</f>
        <v xml:space="preserve">Working Day </v>
      </c>
    </row>
    <row r="482" spans="1:35" hidden="1" x14ac:dyDescent="0.3">
      <c r="A482" t="s">
        <v>671</v>
      </c>
      <c r="B482" s="3">
        <v>45825</v>
      </c>
      <c r="C482" t="s">
        <v>23</v>
      </c>
      <c r="D482" t="s">
        <v>24</v>
      </c>
      <c r="E482" t="s">
        <v>87</v>
      </c>
      <c r="F482" t="s">
        <v>173</v>
      </c>
      <c r="G482" t="s">
        <v>174</v>
      </c>
      <c r="H482" t="s">
        <v>90</v>
      </c>
      <c r="I482" t="s">
        <v>91</v>
      </c>
      <c r="J482" t="s">
        <v>74</v>
      </c>
      <c r="K482" t="s">
        <v>81</v>
      </c>
      <c r="L482" s="2">
        <v>0.91666666666666663</v>
      </c>
      <c r="M482" s="2">
        <v>0.29166666666666669</v>
      </c>
      <c r="N482">
        <v>9</v>
      </c>
      <c r="O482">
        <v>1</v>
      </c>
      <c r="P482" t="s">
        <v>32</v>
      </c>
      <c r="R482">
        <v>4</v>
      </c>
      <c r="S482" t="s">
        <v>67</v>
      </c>
      <c r="T482" t="s">
        <v>93</v>
      </c>
      <c r="U482" t="s">
        <v>85</v>
      </c>
      <c r="V482" t="s">
        <v>60</v>
      </c>
      <c r="W482">
        <f>_xlfn.XLOOKUP(F482,tblEmployee[Employee_ID],tblEmployee[Age],"Not Found")</f>
        <v>23</v>
      </c>
      <c r="X482" t="str">
        <f>_xlfn.XLOOKUP(F482,tblEmployee[Employee_ID],tblEmployee[Gender],"Not Found")</f>
        <v>Female</v>
      </c>
      <c r="Y482">
        <f>_xlfn.XLOOKUP(F482,tblEmployee[Employee_ID],tblEmployee[Joining_Date],"")</f>
        <v>43876</v>
      </c>
      <c r="Z482">
        <f>_xlfn.XLOOKUP(H482,tblDepartment[Department],tblDepartment[Annual_Budget_INR],"")</f>
        <v>18000000</v>
      </c>
      <c r="AA482" t="str">
        <f>_xlfn.XLOOKUP(H482,tblDepartment[Department],tblDepartment[Monthly_Target],"")</f>
        <v>&lt;30 Days Hiring Cycle</v>
      </c>
      <c r="AB482">
        <f>_xlfn.XLOOKUP(H482,tblDepartment[Department],tblDepartment[Average_Salary_INR],"")</f>
        <v>560000</v>
      </c>
      <c r="AC482" t="str">
        <f>_xlfn.XLOOKUP(H482,tblDepartment[Department],tblDepartment[Priority_Level],"")</f>
        <v>Medium</v>
      </c>
      <c r="AD482" t="str">
        <f>_xlfn.XLOOKUP(H482,tblDepartment[Department],tblDepartment[Key_KPI],"")</f>
        <v>Hiring &amp; Retention</v>
      </c>
      <c r="AE482">
        <f>_xlfn.XLOOKUP(tblMaster[[#This Row],[Shift]],tblShift[Shift_Name],tblShift[Login_Time],"")</f>
        <v>0.91666666666666663</v>
      </c>
      <c r="AF482">
        <f>_xlfn.XLOOKUP(tblMaster[[#This Row],[Shift]],tblShift[Shift_Name],tblShift[Logout_Time]," ")</f>
        <v>0.29166666666666669</v>
      </c>
      <c r="AG482">
        <f>_xlfn.XLOOKUP(tblMaster[[#This Row],[Shift]],tblShift[Shift_Name],tblShift[Standard_Working_Hours],"")</f>
        <v>8</v>
      </c>
      <c r="AH482" t="str">
        <f>_xlfn.XLOOKUP(tblMaster[[#This Row],[Attendance_Date]],tblHoliday[Holiday_Date],tblHoliday[Holiday_Name],"Working Day")</f>
        <v>Working Day</v>
      </c>
      <c r="AI482" t="str">
        <f>_xlfn.XLOOKUP(tblMaster[[#This Row],[Attendance_Date]],tblHoliday[Holiday_Date],tblHoliday[Holiday_Type],"Working Day ")</f>
        <v xml:space="preserve">Working Day </v>
      </c>
    </row>
    <row r="483" spans="1:35" hidden="1" x14ac:dyDescent="0.3">
      <c r="A483" t="s">
        <v>672</v>
      </c>
      <c r="B483" s="1">
        <v>45834</v>
      </c>
      <c r="C483" t="s">
        <v>23</v>
      </c>
      <c r="D483" t="s">
        <v>24</v>
      </c>
      <c r="E483" t="s">
        <v>25</v>
      </c>
      <c r="F483" t="s">
        <v>305</v>
      </c>
      <c r="G483" t="s">
        <v>306</v>
      </c>
      <c r="H483" t="s">
        <v>79</v>
      </c>
      <c r="I483" t="s">
        <v>80</v>
      </c>
      <c r="J483" t="s">
        <v>74</v>
      </c>
      <c r="K483" t="s">
        <v>44</v>
      </c>
      <c r="L483" s="2">
        <v>0.375</v>
      </c>
      <c r="M483" s="2">
        <v>0.75</v>
      </c>
      <c r="N483">
        <v>8</v>
      </c>
      <c r="O483">
        <v>0</v>
      </c>
      <c r="P483" t="s">
        <v>32</v>
      </c>
      <c r="R483">
        <v>4</v>
      </c>
      <c r="S483" t="s">
        <v>45</v>
      </c>
      <c r="T483" t="s">
        <v>84</v>
      </c>
      <c r="U483" t="s">
        <v>85</v>
      </c>
      <c r="W483">
        <f>_xlfn.XLOOKUP(F483,tblEmployee[Employee_ID],tblEmployee[Age],"Not Found")</f>
        <v>36</v>
      </c>
      <c r="X483" t="str">
        <f>_xlfn.XLOOKUP(F483,tblEmployee[Employee_ID],tblEmployee[Gender],"Not Found")</f>
        <v>Female</v>
      </c>
      <c r="Y483">
        <f>_xlfn.XLOOKUP(F483,tblEmployee[Employee_ID],tblEmployee[Joining_Date],"")</f>
        <v>44819</v>
      </c>
      <c r="Z483">
        <f>_xlfn.XLOOKUP(H483,tblDepartment[Department],tblDepartment[Annual_Budget_INR],"")</f>
        <v>26000000</v>
      </c>
      <c r="AA483" t="str">
        <f>_xlfn.XLOOKUP(H483,tblDepartment[Department],tblDepartment[Monthly_Target],"")</f>
        <v>100% Payroll Accuracy</v>
      </c>
      <c r="AB483">
        <f>_xlfn.XLOOKUP(H483,tblDepartment[Department],tblDepartment[Average_Salary_INR],"")</f>
        <v>640000</v>
      </c>
      <c r="AC483" t="str">
        <f>_xlfn.XLOOKUP(H483,tblDepartment[Department],tblDepartment[Priority_Level],"")</f>
        <v>High</v>
      </c>
      <c r="AD483" t="str">
        <f>_xlfn.XLOOKUP(H483,tblDepartment[Department],tblDepartment[Key_KPI],"")</f>
        <v>Financial Compliance</v>
      </c>
      <c r="AE483">
        <f>_xlfn.XLOOKUP(tblMaster[[#This Row],[Shift]],tblShift[Shift_Name],tblShift[Login_Time],"")</f>
        <v>0.41666666666666669</v>
      </c>
      <c r="AF483">
        <f>_xlfn.XLOOKUP(tblMaster[[#This Row],[Shift]],tblShift[Shift_Name],tblShift[Logout_Time]," ")</f>
        <v>0.79166666666666663</v>
      </c>
      <c r="AG483">
        <f>_xlfn.XLOOKUP(tblMaster[[#This Row],[Shift]],tblShift[Shift_Name],tblShift[Standard_Working_Hours],"")</f>
        <v>8</v>
      </c>
      <c r="AH483" t="str">
        <f>_xlfn.XLOOKUP(tblMaster[[#This Row],[Attendance_Date]],tblHoliday[Holiday_Date],tblHoliday[Holiday_Name],"Working Day")</f>
        <v>Working Day</v>
      </c>
      <c r="AI483" t="str">
        <f>_xlfn.XLOOKUP(tblMaster[[#This Row],[Attendance_Date]],tblHoliday[Holiday_Date],tblHoliday[Holiday_Type],"Working Day ")</f>
        <v xml:space="preserve">Working Day </v>
      </c>
    </row>
    <row r="484" spans="1:35" x14ac:dyDescent="0.3">
      <c r="A484" t="s">
        <v>673</v>
      </c>
      <c r="B484" s="1">
        <v>45673</v>
      </c>
      <c r="C484" t="s">
        <v>49</v>
      </c>
      <c r="D484" t="s">
        <v>50</v>
      </c>
      <c r="E484" t="s">
        <v>25</v>
      </c>
      <c r="F484" t="s">
        <v>127</v>
      </c>
      <c r="G484" t="s">
        <v>128</v>
      </c>
      <c r="H484" t="s">
        <v>90</v>
      </c>
      <c r="I484" t="s">
        <v>91</v>
      </c>
      <c r="J484" t="s">
        <v>66</v>
      </c>
      <c r="K484" t="s">
        <v>75</v>
      </c>
      <c r="L484" s="2">
        <v>0.375</v>
      </c>
      <c r="M484" s="2">
        <v>0.75</v>
      </c>
      <c r="N484">
        <v>8</v>
      </c>
      <c r="O484">
        <v>0</v>
      </c>
      <c r="P484" t="s">
        <v>32</v>
      </c>
      <c r="R484">
        <v>5</v>
      </c>
      <c r="S484" t="s">
        <v>92</v>
      </c>
      <c r="T484" t="s">
        <v>93</v>
      </c>
      <c r="U484" t="str">
        <f>_xlfn.XLOOKUP(tblMaster[[#This Row],[Employee_ID]],tblEmployee[Employee_ID],tblEmployee[Work_Mode]," ")</f>
        <v>Hybrid</v>
      </c>
      <c r="V484" t="s">
        <v>35</v>
      </c>
      <c r="W484">
        <f>_xlfn.XLOOKUP(F484,tblEmployee[Employee_ID],tblEmployee[Age],"Not Found")</f>
        <v>38</v>
      </c>
      <c r="X484" t="str">
        <f>_xlfn.XLOOKUP(F484,tblEmployee[Employee_ID],tblEmployee[Gender],"Not Found")</f>
        <v>Female</v>
      </c>
      <c r="Y484">
        <f>_xlfn.XLOOKUP(F484,tblEmployee[Employee_ID],tblEmployee[Joining_Date],"")</f>
        <v>43966</v>
      </c>
      <c r="Z484">
        <f>_xlfn.XLOOKUP(H484,tblDepartment[Department],tblDepartment[Annual_Budget_INR],"")</f>
        <v>18000000</v>
      </c>
      <c r="AA484" t="str">
        <f>_xlfn.XLOOKUP(H484,tblDepartment[Department],tblDepartment[Monthly_Target],"")</f>
        <v>&lt;30 Days Hiring Cycle</v>
      </c>
      <c r="AB484">
        <f>_xlfn.XLOOKUP(H484,tblDepartment[Department],tblDepartment[Average_Salary_INR],"")</f>
        <v>560000</v>
      </c>
      <c r="AC484" t="str">
        <f>_xlfn.XLOOKUP(H484,tblDepartment[Department],tblDepartment[Priority_Level],"")</f>
        <v>Medium</v>
      </c>
      <c r="AD484" t="str">
        <f>_xlfn.XLOOKUP(H484,tblDepartment[Department],tblDepartment[Key_KPI],"")</f>
        <v>Hiring &amp; Retention</v>
      </c>
      <c r="AE484">
        <f>_xlfn.XLOOKUP(tblMaster[[#This Row],[Shift]],tblShift[Shift_Name],tblShift[Login_Time],"")</f>
        <v>0.375</v>
      </c>
      <c r="AF484">
        <f>_xlfn.XLOOKUP(tblMaster[[#This Row],[Shift]],tblShift[Shift_Name],tblShift[Logout_Time]," ")</f>
        <v>0.75</v>
      </c>
      <c r="AG484">
        <f>_xlfn.XLOOKUP(tblMaster[[#This Row],[Shift]],tblShift[Shift_Name],tblShift[Standard_Working_Hours],"")</f>
        <v>8</v>
      </c>
      <c r="AH484" t="str">
        <f>_xlfn.XLOOKUP(tblMaster[[#This Row],[Attendance_Date]],tblHoliday[Holiday_Date],tblHoliday[Holiday_Name],"Working Day")</f>
        <v>Working Day</v>
      </c>
      <c r="AI484" t="str">
        <f>_xlfn.XLOOKUP(tblMaster[[#This Row],[Attendance_Date]],tblHoliday[Holiday_Date],tblHoliday[Holiday_Type],"Working Day ")</f>
        <v xml:space="preserve">Working Day </v>
      </c>
    </row>
    <row r="485" spans="1:35" hidden="1" x14ac:dyDescent="0.3">
      <c r="A485" t="s">
        <v>674</v>
      </c>
      <c r="B485" s="3">
        <v>45730</v>
      </c>
      <c r="C485" t="s">
        <v>71</v>
      </c>
      <c r="D485" t="s">
        <v>50</v>
      </c>
      <c r="E485" t="s">
        <v>119</v>
      </c>
      <c r="F485" t="s">
        <v>266</v>
      </c>
      <c r="G485" t="s">
        <v>267</v>
      </c>
      <c r="H485" t="s">
        <v>98</v>
      </c>
      <c r="I485" t="s">
        <v>99</v>
      </c>
      <c r="J485" t="s">
        <v>66</v>
      </c>
      <c r="K485" t="s">
        <v>31</v>
      </c>
      <c r="L485" s="2">
        <v>0.375</v>
      </c>
      <c r="M485" s="2">
        <v>0.75</v>
      </c>
      <c r="N485">
        <v>8</v>
      </c>
      <c r="O485">
        <v>0</v>
      </c>
      <c r="P485" t="s">
        <v>32</v>
      </c>
      <c r="R485">
        <v>4</v>
      </c>
      <c r="S485" t="s">
        <v>67</v>
      </c>
      <c r="T485" t="s">
        <v>101</v>
      </c>
      <c r="U485" t="s">
        <v>55</v>
      </c>
      <c r="V485" t="s">
        <v>60</v>
      </c>
      <c r="W485">
        <f>_xlfn.XLOOKUP(F485,tblEmployee[Employee_ID],tblEmployee[Age],"Not Found")</f>
        <v>28</v>
      </c>
      <c r="X485" t="str">
        <f>_xlfn.XLOOKUP(F485,tblEmployee[Employee_ID],tblEmployee[Gender],"Not Found")</f>
        <v>Female</v>
      </c>
      <c r="Y485">
        <f>_xlfn.XLOOKUP(F485,tblEmployee[Employee_ID],tblEmployee[Joining_Date],"")</f>
        <v>45488</v>
      </c>
      <c r="Z485">
        <f>_xlfn.XLOOKUP(H485,tblDepartment[Department],tblDepartment[Annual_Budget_INR],"")</f>
        <v>22000000</v>
      </c>
      <c r="AA485" t="str">
        <f>_xlfn.XLOOKUP(H485,tblDepartment[Department],tblDepartment[Monthly_Target],"")</f>
        <v>2500 Qualified Leads</v>
      </c>
      <c r="AB485">
        <f>_xlfn.XLOOKUP(H485,tblDepartment[Department],tblDepartment[Average_Salary_INR],"")</f>
        <v>590000</v>
      </c>
      <c r="AC485" t="str">
        <f>_xlfn.XLOOKUP(H485,tblDepartment[Department],tblDepartment[Priority_Level],"")</f>
        <v>Medium</v>
      </c>
      <c r="AD485" t="str">
        <f>_xlfn.XLOOKUP(H485,tblDepartment[Department],tblDepartment[Key_KPI],"")</f>
        <v>Lead Generation</v>
      </c>
      <c r="AE485">
        <f>_xlfn.XLOOKUP(tblMaster[[#This Row],[Shift]],tblShift[Shift_Name],tblShift[Login_Time],"")</f>
        <v>0.25</v>
      </c>
      <c r="AF485">
        <f>_xlfn.XLOOKUP(tblMaster[[#This Row],[Shift]],tblShift[Shift_Name],tblShift[Logout_Time]," ")</f>
        <v>0.625</v>
      </c>
      <c r="AG485">
        <f>_xlfn.XLOOKUP(tblMaster[[#This Row],[Shift]],tblShift[Shift_Name],tblShift[Standard_Working_Hours],"")</f>
        <v>8</v>
      </c>
      <c r="AH485" t="str">
        <f>_xlfn.XLOOKUP(tblMaster[[#This Row],[Attendance_Date]],tblHoliday[Holiday_Date],tblHoliday[Holiday_Name],"Working Day")</f>
        <v>Working Day</v>
      </c>
      <c r="AI485" t="str">
        <f>_xlfn.XLOOKUP(tblMaster[[#This Row],[Attendance_Date]],tblHoliday[Holiday_Date],tblHoliday[Holiday_Type],"Working Day ")</f>
        <v xml:space="preserve">Working Day </v>
      </c>
    </row>
    <row r="486" spans="1:35" hidden="1" x14ac:dyDescent="0.3">
      <c r="A486" t="s">
        <v>675</v>
      </c>
      <c r="B486" s="3">
        <v>45786</v>
      </c>
      <c r="C486" t="s">
        <v>57</v>
      </c>
      <c r="D486" t="s">
        <v>24</v>
      </c>
      <c r="E486" t="s">
        <v>119</v>
      </c>
      <c r="F486" t="s">
        <v>215</v>
      </c>
      <c r="G486" t="s">
        <v>216</v>
      </c>
      <c r="H486" t="s">
        <v>79</v>
      </c>
      <c r="I486" t="s">
        <v>80</v>
      </c>
      <c r="J486" t="s">
        <v>30</v>
      </c>
      <c r="K486" t="s">
        <v>54</v>
      </c>
      <c r="L486" s="2">
        <v>0.375</v>
      </c>
      <c r="M486" s="2">
        <v>0.75</v>
      </c>
      <c r="N486">
        <v>8</v>
      </c>
      <c r="O486">
        <v>0</v>
      </c>
      <c r="P486" t="s">
        <v>32</v>
      </c>
      <c r="R486">
        <v>4</v>
      </c>
      <c r="S486" t="s">
        <v>67</v>
      </c>
      <c r="T486" t="s">
        <v>84</v>
      </c>
      <c r="U486" t="s">
        <v>47</v>
      </c>
      <c r="W486">
        <f>_xlfn.XLOOKUP(F486,tblEmployee[Employee_ID],tblEmployee[Age],"Not Found")</f>
        <v>25</v>
      </c>
      <c r="X486" t="str">
        <f>_xlfn.XLOOKUP(F486,tblEmployee[Employee_ID],tblEmployee[Gender],"Not Found")</f>
        <v>Female</v>
      </c>
      <c r="Y486">
        <f>_xlfn.XLOOKUP(F486,tblEmployee[Employee_ID],tblEmployee[Joining_Date],"")</f>
        <v>44666</v>
      </c>
      <c r="Z486">
        <f>_xlfn.XLOOKUP(H486,tblDepartment[Department],tblDepartment[Annual_Budget_INR],"")</f>
        <v>26000000</v>
      </c>
      <c r="AA486" t="str">
        <f>_xlfn.XLOOKUP(H486,tblDepartment[Department],tblDepartment[Monthly_Target],"")</f>
        <v>100% Payroll Accuracy</v>
      </c>
      <c r="AB486">
        <f>_xlfn.XLOOKUP(H486,tblDepartment[Department],tblDepartment[Average_Salary_INR],"")</f>
        <v>640000</v>
      </c>
      <c r="AC486" t="str">
        <f>_xlfn.XLOOKUP(H486,tblDepartment[Department],tblDepartment[Priority_Level],"")</f>
        <v>High</v>
      </c>
      <c r="AD486" t="str">
        <f>_xlfn.XLOOKUP(H486,tblDepartment[Department],tblDepartment[Key_KPI],"")</f>
        <v>Financial Compliance</v>
      </c>
      <c r="AE486">
        <f>_xlfn.XLOOKUP(tblMaster[[#This Row],[Shift]],tblShift[Shift_Name],tblShift[Login_Time],"")</f>
        <v>0.58333333333333337</v>
      </c>
      <c r="AF486">
        <f>_xlfn.XLOOKUP(tblMaster[[#This Row],[Shift]],tblShift[Shift_Name],tblShift[Logout_Time]," ")</f>
        <v>0.95833333333333337</v>
      </c>
      <c r="AG486">
        <f>_xlfn.XLOOKUP(tblMaster[[#This Row],[Shift]],tblShift[Shift_Name],tblShift[Standard_Working_Hours],"")</f>
        <v>8</v>
      </c>
      <c r="AH486" t="str">
        <f>_xlfn.XLOOKUP(tblMaster[[#This Row],[Attendance_Date]],tblHoliday[Holiday_Date],tblHoliday[Holiday_Name],"Working Day")</f>
        <v>Working Day</v>
      </c>
      <c r="AI486" t="str">
        <f>_xlfn.XLOOKUP(tblMaster[[#This Row],[Attendance_Date]],tblHoliday[Holiday_Date],tblHoliday[Holiday_Type],"Working Day ")</f>
        <v xml:space="preserve">Working Day </v>
      </c>
    </row>
    <row r="487" spans="1:35" x14ac:dyDescent="0.3">
      <c r="A487" t="s">
        <v>676</v>
      </c>
      <c r="B487" s="1">
        <v>45663</v>
      </c>
      <c r="C487" t="s">
        <v>49</v>
      </c>
      <c r="D487" t="s">
        <v>50</v>
      </c>
      <c r="E487" t="s">
        <v>109</v>
      </c>
      <c r="F487" t="s">
        <v>309</v>
      </c>
      <c r="G487" t="s">
        <v>310</v>
      </c>
      <c r="H487" t="s">
        <v>28</v>
      </c>
      <c r="I487" t="s">
        <v>29</v>
      </c>
      <c r="J487" t="s">
        <v>43</v>
      </c>
      <c r="K487" t="s">
        <v>75</v>
      </c>
      <c r="L487" s="2">
        <v>0.375</v>
      </c>
      <c r="N487">
        <v>8</v>
      </c>
      <c r="O487">
        <v>0</v>
      </c>
      <c r="P487" t="s">
        <v>32</v>
      </c>
      <c r="R487">
        <v>3</v>
      </c>
      <c r="S487" t="s">
        <v>92</v>
      </c>
      <c r="T487" t="s">
        <v>34</v>
      </c>
      <c r="U487" t="str">
        <f>_xlfn.XLOOKUP(tblMaster[[#This Row],[Employee_ID]],tblEmployee[Employee_ID],tblEmployee[Work_Mode]," ")</f>
        <v>Remote</v>
      </c>
      <c r="V487" t="s">
        <v>35</v>
      </c>
      <c r="W487">
        <f>_xlfn.XLOOKUP(F487,tblEmployee[Employee_ID],tblEmployee[Age],"Not Found")</f>
        <v>39</v>
      </c>
      <c r="X487" t="str">
        <f>_xlfn.XLOOKUP(F487,tblEmployee[Employee_ID],tblEmployee[Gender],"Not Found")</f>
        <v>Male</v>
      </c>
      <c r="Y487">
        <f>_xlfn.XLOOKUP(F487,tblEmployee[Employee_ID],tblEmployee[Joining_Date],"")</f>
        <v>43449</v>
      </c>
      <c r="Z487">
        <f>_xlfn.XLOOKUP(H487,tblDepartment[Department],tblDepartment[Annual_Budget_INR],"")</f>
        <v>24000000</v>
      </c>
      <c r="AA487" t="str">
        <f>_xlfn.XLOOKUP(H487,tblDepartment[Department],tblDepartment[Monthly_Target],"")</f>
        <v>90% Customer Satisfaction</v>
      </c>
      <c r="AB487">
        <f>_xlfn.XLOOKUP(H487,tblDepartment[Department],tblDepartment[Average_Salary_INR],"")</f>
        <v>520000</v>
      </c>
      <c r="AC487" t="str">
        <f>_xlfn.XLOOKUP(H487,tblDepartment[Department],tblDepartment[Priority_Level],"")</f>
        <v>High</v>
      </c>
      <c r="AD487" t="str">
        <f>_xlfn.XLOOKUP(H487,tblDepartment[Department],tblDepartment[Key_KPI],"")</f>
        <v>Customer Satisfaction</v>
      </c>
      <c r="AE487">
        <f>_xlfn.XLOOKUP(tblMaster[[#This Row],[Shift]],tblShift[Shift_Name],tblShift[Login_Time],"")</f>
        <v>0.375</v>
      </c>
      <c r="AF487">
        <f>_xlfn.XLOOKUP(tblMaster[[#This Row],[Shift]],tblShift[Shift_Name],tblShift[Logout_Time]," ")</f>
        <v>0.75</v>
      </c>
      <c r="AG487">
        <f>_xlfn.XLOOKUP(tblMaster[[#This Row],[Shift]],tblShift[Shift_Name],tblShift[Standard_Working_Hours],"")</f>
        <v>8</v>
      </c>
      <c r="AH487" t="str">
        <f>_xlfn.XLOOKUP(tblMaster[[#This Row],[Attendance_Date]],tblHoliday[Holiday_Date],tblHoliday[Holiday_Name],"Working Day")</f>
        <v>Working Day</v>
      </c>
      <c r="AI487" t="str">
        <f>_xlfn.XLOOKUP(tblMaster[[#This Row],[Attendance_Date]],tblHoliday[Holiday_Date],tblHoliday[Holiday_Type],"Working Day ")</f>
        <v xml:space="preserve">Working Day </v>
      </c>
    </row>
    <row r="488" spans="1:35" x14ac:dyDescent="0.3">
      <c r="A488" t="s">
        <v>677</v>
      </c>
      <c r="B488" s="1">
        <v>45668</v>
      </c>
      <c r="C488" t="s">
        <v>49</v>
      </c>
      <c r="D488" t="s">
        <v>50</v>
      </c>
      <c r="E488" t="s">
        <v>38</v>
      </c>
      <c r="F488" t="s">
        <v>220</v>
      </c>
      <c r="G488" t="s">
        <v>221</v>
      </c>
      <c r="H488" t="s">
        <v>79</v>
      </c>
      <c r="I488" t="s">
        <v>80</v>
      </c>
      <c r="J488" t="s">
        <v>100</v>
      </c>
      <c r="K488" t="s">
        <v>81</v>
      </c>
      <c r="L488" s="2">
        <v>0.91666666666666663</v>
      </c>
      <c r="M488" s="2">
        <v>0.29166666666666669</v>
      </c>
      <c r="N488">
        <v>9</v>
      </c>
      <c r="O488">
        <v>1</v>
      </c>
      <c r="P488" t="s">
        <v>32</v>
      </c>
      <c r="R488">
        <v>4</v>
      </c>
      <c r="S488" t="s">
        <v>67</v>
      </c>
      <c r="T488" t="s">
        <v>84</v>
      </c>
      <c r="U488" t="str">
        <f>_xlfn.XLOOKUP(tblMaster[[#This Row],[Employee_ID]],tblEmployee[Employee_ID],tblEmployee[Work_Mode]," ")</f>
        <v>Office</v>
      </c>
      <c r="V488" t="s">
        <v>69</v>
      </c>
      <c r="W488">
        <f>_xlfn.XLOOKUP(F488,tblEmployee[Employee_ID],tblEmployee[Age],"Not Found")</f>
        <v>22</v>
      </c>
      <c r="X488" t="str">
        <f>_xlfn.XLOOKUP(F488,tblEmployee[Employee_ID],tblEmployee[Gender],"Not Found")</f>
        <v>Male</v>
      </c>
      <c r="Y488">
        <f>_xlfn.XLOOKUP(F488,tblEmployee[Employee_ID],tblEmployee[Joining_Date],"")</f>
        <v>44757</v>
      </c>
      <c r="Z488">
        <f>_xlfn.XLOOKUP(H488,tblDepartment[Department],tblDepartment[Annual_Budget_INR],"")</f>
        <v>26000000</v>
      </c>
      <c r="AA488" t="str">
        <f>_xlfn.XLOOKUP(H488,tblDepartment[Department],tblDepartment[Monthly_Target],"")</f>
        <v>100% Payroll Accuracy</v>
      </c>
      <c r="AB488">
        <f>_xlfn.XLOOKUP(H488,tblDepartment[Department],tblDepartment[Average_Salary_INR],"")</f>
        <v>640000</v>
      </c>
      <c r="AC488" t="str">
        <f>_xlfn.XLOOKUP(H488,tblDepartment[Department],tblDepartment[Priority_Level],"")</f>
        <v>High</v>
      </c>
      <c r="AD488" t="str">
        <f>_xlfn.XLOOKUP(H488,tblDepartment[Department],tblDepartment[Key_KPI],"")</f>
        <v>Financial Compliance</v>
      </c>
      <c r="AE488">
        <f>_xlfn.XLOOKUP(tblMaster[[#This Row],[Shift]],tblShift[Shift_Name],tblShift[Login_Time],"")</f>
        <v>0.91666666666666663</v>
      </c>
      <c r="AF488">
        <f>_xlfn.XLOOKUP(tblMaster[[#This Row],[Shift]],tblShift[Shift_Name],tblShift[Logout_Time]," ")</f>
        <v>0.29166666666666669</v>
      </c>
      <c r="AG488">
        <f>_xlfn.XLOOKUP(tblMaster[[#This Row],[Shift]],tblShift[Shift_Name],tblShift[Standard_Working_Hours],"")</f>
        <v>8</v>
      </c>
      <c r="AH488" t="str">
        <f>_xlfn.XLOOKUP(tblMaster[[#This Row],[Attendance_Date]],tblHoliday[Holiday_Date],tblHoliday[Holiday_Name],"Working Day")</f>
        <v>Working Day</v>
      </c>
      <c r="AI488" t="str">
        <f>_xlfn.XLOOKUP(tblMaster[[#This Row],[Attendance_Date]],tblHoliday[Holiday_Date],tblHoliday[Holiday_Type],"Working Day ")</f>
        <v xml:space="preserve">Working Day </v>
      </c>
    </row>
    <row r="489" spans="1:35" hidden="1" x14ac:dyDescent="0.3">
      <c r="A489" t="s">
        <v>678</v>
      </c>
      <c r="B489" s="3">
        <v>45788</v>
      </c>
      <c r="C489" t="s">
        <v>57</v>
      </c>
      <c r="D489" t="s">
        <v>24</v>
      </c>
      <c r="E489" t="s">
        <v>103</v>
      </c>
      <c r="F489" t="s">
        <v>72</v>
      </c>
      <c r="G489" t="s">
        <v>73</v>
      </c>
      <c r="H489" t="s">
        <v>28</v>
      </c>
      <c r="I489" t="s">
        <v>29</v>
      </c>
      <c r="J489" t="s">
        <v>74</v>
      </c>
      <c r="K489" t="s">
        <v>54</v>
      </c>
      <c r="L489" s="2">
        <v>0.375</v>
      </c>
      <c r="M489" s="2">
        <v>0.75</v>
      </c>
      <c r="N489">
        <v>8</v>
      </c>
      <c r="O489">
        <v>0</v>
      </c>
      <c r="P489" t="s">
        <v>32</v>
      </c>
      <c r="R489">
        <v>3</v>
      </c>
      <c r="S489" t="s">
        <v>92</v>
      </c>
      <c r="T489" t="s">
        <v>34</v>
      </c>
      <c r="U489" t="s">
        <v>47</v>
      </c>
      <c r="V489" t="s">
        <v>35</v>
      </c>
      <c r="W489">
        <f>_xlfn.XLOOKUP(F489,tblEmployee[Employee_ID],tblEmployee[Age],"Not Found")</f>
        <v>28</v>
      </c>
      <c r="X489" t="str">
        <f>_xlfn.XLOOKUP(F489,tblEmployee[Employee_ID],tblEmployee[Gender],"Not Found")</f>
        <v>Female</v>
      </c>
      <c r="Y489">
        <f>_xlfn.XLOOKUP(F489,tblEmployee[Employee_ID],tblEmployee[Joining_Date],"")</f>
        <v>43296</v>
      </c>
      <c r="Z489">
        <f>_xlfn.XLOOKUP(H489,tblDepartment[Department],tblDepartment[Annual_Budget_INR],"")</f>
        <v>24000000</v>
      </c>
      <c r="AA489" t="str">
        <f>_xlfn.XLOOKUP(H489,tblDepartment[Department],tblDepartment[Monthly_Target],"")</f>
        <v>90% Customer Satisfaction</v>
      </c>
      <c r="AB489">
        <f>_xlfn.XLOOKUP(H489,tblDepartment[Department],tblDepartment[Average_Salary_INR],"")</f>
        <v>520000</v>
      </c>
      <c r="AC489" t="str">
        <f>_xlfn.XLOOKUP(H489,tblDepartment[Department],tblDepartment[Priority_Level],"")</f>
        <v>High</v>
      </c>
      <c r="AD489" t="str">
        <f>_xlfn.XLOOKUP(H489,tblDepartment[Department],tblDepartment[Key_KPI],"")</f>
        <v>Customer Satisfaction</v>
      </c>
      <c r="AE489">
        <f>_xlfn.XLOOKUP(tblMaster[[#This Row],[Shift]],tblShift[Shift_Name],tblShift[Login_Time],"")</f>
        <v>0.58333333333333337</v>
      </c>
      <c r="AF489">
        <f>_xlfn.XLOOKUP(tblMaster[[#This Row],[Shift]],tblShift[Shift_Name],tblShift[Logout_Time]," ")</f>
        <v>0.95833333333333337</v>
      </c>
      <c r="AG489">
        <f>_xlfn.XLOOKUP(tblMaster[[#This Row],[Shift]],tblShift[Shift_Name],tblShift[Standard_Working_Hours],"")</f>
        <v>8</v>
      </c>
      <c r="AH489" t="str">
        <f>_xlfn.XLOOKUP(tblMaster[[#This Row],[Attendance_Date]],tblHoliday[Holiday_Date],tblHoliday[Holiday_Name],"Working Day")</f>
        <v>Working Day</v>
      </c>
      <c r="AI489" t="str">
        <f>_xlfn.XLOOKUP(tblMaster[[#This Row],[Attendance_Date]],tblHoliday[Holiday_Date],tblHoliday[Holiday_Type],"Working Day ")</f>
        <v xml:space="preserve">Working Day </v>
      </c>
    </row>
    <row r="490" spans="1:35" x14ac:dyDescent="0.3">
      <c r="A490" t="s">
        <v>679</v>
      </c>
      <c r="B490" s="1">
        <v>45817</v>
      </c>
      <c r="C490" t="s">
        <v>23</v>
      </c>
      <c r="D490" t="s">
        <v>24</v>
      </c>
      <c r="E490" t="s">
        <v>109</v>
      </c>
      <c r="F490" t="s">
        <v>258</v>
      </c>
      <c r="G490" t="s">
        <v>259</v>
      </c>
      <c r="H490" t="s">
        <v>112</v>
      </c>
      <c r="I490" t="s">
        <v>113</v>
      </c>
      <c r="J490" t="s">
        <v>74</v>
      </c>
      <c r="K490" t="s">
        <v>81</v>
      </c>
      <c r="L490" s="2">
        <v>0.3888888888888889</v>
      </c>
      <c r="M490" s="2">
        <v>0.29166666666666669</v>
      </c>
      <c r="N490">
        <v>10</v>
      </c>
      <c r="O490">
        <v>2</v>
      </c>
      <c r="P490" t="s">
        <v>32</v>
      </c>
      <c r="R490">
        <v>4</v>
      </c>
      <c r="S490" t="s">
        <v>67</v>
      </c>
      <c r="T490" t="s">
        <v>114</v>
      </c>
      <c r="U490" t="str">
        <f>_xlfn.XLOOKUP(tblMaster[[#This Row],[Employee_ID]],tblEmployee[Employee_ID],tblEmployee[Work_Mode]," ")</f>
        <v>Remote</v>
      </c>
      <c r="V490" t="s">
        <v>60</v>
      </c>
      <c r="W490">
        <f>_xlfn.XLOOKUP(F490,tblEmployee[Employee_ID],tblEmployee[Age],"Not Found")</f>
        <v>39</v>
      </c>
      <c r="X490" t="str">
        <f>_xlfn.XLOOKUP(F490,tblEmployee[Employee_ID],tblEmployee[Gender],"Not Found")</f>
        <v>Male</v>
      </c>
      <c r="Y490">
        <f>_xlfn.XLOOKUP(F490,tblEmployee[Employee_ID],tblEmployee[Joining_Date],"")</f>
        <v>44362</v>
      </c>
      <c r="Z490">
        <f>_xlfn.XLOOKUP(H490,tblDepartment[Department],tblDepartment[Annual_Budget_INR],"")</f>
        <v>42000000</v>
      </c>
      <c r="AA490" t="str">
        <f>_xlfn.XLOOKUP(H490,tblDepartment[Department],tblDepartment[Monthly_Target],"")</f>
        <v>₹2.5 Cr Monthly Sales</v>
      </c>
      <c r="AB490">
        <f>_xlfn.XLOOKUP(H490,tblDepartment[Department],tblDepartment[Average_Salary_INR],"")</f>
        <v>680000</v>
      </c>
      <c r="AC490" t="str">
        <f>_xlfn.XLOOKUP(H490,tblDepartment[Department],tblDepartment[Priority_Level],"")</f>
        <v>High</v>
      </c>
      <c r="AD490" t="str">
        <f>_xlfn.XLOOKUP(H490,tblDepartment[Department],tblDepartment[Key_KPI],"")</f>
        <v>Revenue Achievement</v>
      </c>
      <c r="AE490">
        <f>_xlfn.XLOOKUP(tblMaster[[#This Row],[Shift]],tblShift[Shift_Name],tblShift[Login_Time],"")</f>
        <v>0.91666666666666663</v>
      </c>
      <c r="AF490">
        <f>_xlfn.XLOOKUP(tblMaster[[#This Row],[Shift]],tblShift[Shift_Name],tblShift[Logout_Time]," ")</f>
        <v>0.29166666666666669</v>
      </c>
      <c r="AG490">
        <f>_xlfn.XLOOKUP(tblMaster[[#This Row],[Shift]],tblShift[Shift_Name],tblShift[Standard_Working_Hours],"")</f>
        <v>8</v>
      </c>
      <c r="AH490" t="str">
        <f>_xlfn.XLOOKUP(tblMaster[[#This Row],[Attendance_Date]],tblHoliday[Holiday_Date],tblHoliday[Holiday_Name],"Working Day")</f>
        <v>Working Day</v>
      </c>
      <c r="AI490" t="str">
        <f>_xlfn.XLOOKUP(tblMaster[[#This Row],[Attendance_Date]],tblHoliday[Holiday_Date],tblHoliday[Holiday_Type],"Working Day ")</f>
        <v xml:space="preserve">Working Day </v>
      </c>
    </row>
    <row r="491" spans="1:35" x14ac:dyDescent="0.3">
      <c r="A491" t="s">
        <v>680</v>
      </c>
      <c r="B491" s="3">
        <v>45758</v>
      </c>
      <c r="C491" t="s">
        <v>37</v>
      </c>
      <c r="D491" t="s">
        <v>24</v>
      </c>
      <c r="E491" t="s">
        <v>119</v>
      </c>
      <c r="F491" t="s">
        <v>201</v>
      </c>
      <c r="G491" t="s">
        <v>202</v>
      </c>
      <c r="H491" t="s">
        <v>112</v>
      </c>
      <c r="I491" t="s">
        <v>113</v>
      </c>
      <c r="J491" t="s">
        <v>66</v>
      </c>
      <c r="K491" t="s">
        <v>81</v>
      </c>
      <c r="L491" s="2">
        <v>0.39930555555555558</v>
      </c>
      <c r="M491" s="2">
        <v>0.29166666666666669</v>
      </c>
      <c r="N491">
        <v>10</v>
      </c>
      <c r="O491">
        <v>2</v>
      </c>
      <c r="P491" t="s">
        <v>32</v>
      </c>
      <c r="R491">
        <v>4</v>
      </c>
      <c r="S491" t="s">
        <v>92</v>
      </c>
      <c r="T491" t="s">
        <v>114</v>
      </c>
      <c r="U491" t="str">
        <f>_xlfn.XLOOKUP(tblMaster[[#This Row],[Employee_ID]],tblEmployee[Employee_ID],tblEmployee[Work_Mode]," ")</f>
        <v>Hybrid</v>
      </c>
      <c r="W491">
        <f>_xlfn.XLOOKUP(F491,tblEmployee[Employee_ID],tblEmployee[Age],"Not Found")</f>
        <v>35</v>
      </c>
      <c r="X491" t="str">
        <f>_xlfn.XLOOKUP(F491,tblEmployee[Employee_ID],tblEmployee[Gender],"Not Found")</f>
        <v>Male</v>
      </c>
      <c r="Y491">
        <f>_xlfn.XLOOKUP(F491,tblEmployee[Employee_ID],tblEmployee[Joining_Date],"")</f>
        <v>44423</v>
      </c>
      <c r="Z491">
        <f>_xlfn.XLOOKUP(H491,tblDepartment[Department],tblDepartment[Annual_Budget_INR],"")</f>
        <v>42000000</v>
      </c>
      <c r="AA491" t="str">
        <f>_xlfn.XLOOKUP(H491,tblDepartment[Department],tblDepartment[Monthly_Target],"")</f>
        <v>₹2.5 Cr Monthly Sales</v>
      </c>
      <c r="AB491">
        <f>_xlfn.XLOOKUP(H491,tblDepartment[Department],tblDepartment[Average_Salary_INR],"")</f>
        <v>680000</v>
      </c>
      <c r="AC491" t="str">
        <f>_xlfn.XLOOKUP(H491,tblDepartment[Department],tblDepartment[Priority_Level],"")</f>
        <v>High</v>
      </c>
      <c r="AD491" t="str">
        <f>_xlfn.XLOOKUP(H491,tblDepartment[Department],tblDepartment[Key_KPI],"")</f>
        <v>Revenue Achievement</v>
      </c>
      <c r="AE491">
        <f>_xlfn.XLOOKUP(tblMaster[[#This Row],[Shift]],tblShift[Shift_Name],tblShift[Login_Time],"")</f>
        <v>0.91666666666666663</v>
      </c>
      <c r="AF491">
        <f>_xlfn.XLOOKUP(tblMaster[[#This Row],[Shift]],tblShift[Shift_Name],tblShift[Logout_Time]," ")</f>
        <v>0.29166666666666669</v>
      </c>
      <c r="AG491">
        <f>_xlfn.XLOOKUP(tblMaster[[#This Row],[Shift]],tblShift[Shift_Name],tblShift[Standard_Working_Hours],"")</f>
        <v>8</v>
      </c>
      <c r="AH491" t="str">
        <f>_xlfn.XLOOKUP(tblMaster[[#This Row],[Attendance_Date]],tblHoliday[Holiday_Date],tblHoliday[Holiday_Name],"Working Day")</f>
        <v>Working Day</v>
      </c>
      <c r="AI491" t="str">
        <f>_xlfn.XLOOKUP(tblMaster[[#This Row],[Attendance_Date]],tblHoliday[Holiday_Date],tblHoliday[Holiday_Type],"Working Day ")</f>
        <v xml:space="preserve">Working Day </v>
      </c>
    </row>
    <row r="492" spans="1:35" x14ac:dyDescent="0.3">
      <c r="A492" t="s">
        <v>681</v>
      </c>
      <c r="B492" s="1">
        <v>45668</v>
      </c>
      <c r="C492" t="s">
        <v>49</v>
      </c>
      <c r="D492" t="s">
        <v>50</v>
      </c>
      <c r="E492" t="s">
        <v>38</v>
      </c>
      <c r="F492" t="s">
        <v>309</v>
      </c>
      <c r="G492" t="s">
        <v>310</v>
      </c>
      <c r="H492" t="s">
        <v>28</v>
      </c>
      <c r="I492" t="s">
        <v>29</v>
      </c>
      <c r="J492" t="s">
        <v>43</v>
      </c>
      <c r="K492" t="s">
        <v>75</v>
      </c>
      <c r="L492" s="2">
        <v>0.375</v>
      </c>
      <c r="M492" s="2">
        <v>0.75</v>
      </c>
      <c r="N492">
        <v>8</v>
      </c>
      <c r="O492">
        <v>0</v>
      </c>
      <c r="P492" t="s">
        <v>32</v>
      </c>
      <c r="S492" t="s">
        <v>67</v>
      </c>
      <c r="T492" t="s">
        <v>34</v>
      </c>
      <c r="U492" t="str">
        <f>_xlfn.XLOOKUP(tblMaster[[#This Row],[Employee_ID]],tblEmployee[Employee_ID],tblEmployee[Work_Mode]," ")</f>
        <v>Remote</v>
      </c>
      <c r="V492" t="s">
        <v>35</v>
      </c>
      <c r="W492">
        <f>_xlfn.XLOOKUP(F492,tblEmployee[Employee_ID],tblEmployee[Age],"Not Found")</f>
        <v>39</v>
      </c>
      <c r="X492" t="str">
        <f>_xlfn.XLOOKUP(F492,tblEmployee[Employee_ID],tblEmployee[Gender],"Not Found")</f>
        <v>Male</v>
      </c>
      <c r="Y492">
        <f>_xlfn.XLOOKUP(F492,tblEmployee[Employee_ID],tblEmployee[Joining_Date],"")</f>
        <v>43449</v>
      </c>
      <c r="Z492">
        <f>_xlfn.XLOOKUP(H492,tblDepartment[Department],tblDepartment[Annual_Budget_INR],"")</f>
        <v>24000000</v>
      </c>
      <c r="AA492" t="str">
        <f>_xlfn.XLOOKUP(H492,tblDepartment[Department],tblDepartment[Monthly_Target],"")</f>
        <v>90% Customer Satisfaction</v>
      </c>
      <c r="AB492">
        <f>_xlfn.XLOOKUP(H492,tblDepartment[Department],tblDepartment[Average_Salary_INR],"")</f>
        <v>520000</v>
      </c>
      <c r="AC492" t="str">
        <f>_xlfn.XLOOKUP(H492,tblDepartment[Department],tblDepartment[Priority_Level],"")</f>
        <v>High</v>
      </c>
      <c r="AD492" t="str">
        <f>_xlfn.XLOOKUP(H492,tblDepartment[Department],tblDepartment[Key_KPI],"")</f>
        <v>Customer Satisfaction</v>
      </c>
      <c r="AE492">
        <f>_xlfn.XLOOKUP(tblMaster[[#This Row],[Shift]],tblShift[Shift_Name],tblShift[Login_Time],"")</f>
        <v>0.375</v>
      </c>
      <c r="AF492">
        <f>_xlfn.XLOOKUP(tblMaster[[#This Row],[Shift]],tblShift[Shift_Name],tblShift[Logout_Time]," ")</f>
        <v>0.75</v>
      </c>
      <c r="AG492">
        <f>_xlfn.XLOOKUP(tblMaster[[#This Row],[Shift]],tblShift[Shift_Name],tblShift[Standard_Working_Hours],"")</f>
        <v>8</v>
      </c>
      <c r="AH492" t="str">
        <f>_xlfn.XLOOKUP(tblMaster[[#This Row],[Attendance_Date]],tblHoliday[Holiday_Date],tblHoliday[Holiday_Name],"Working Day")</f>
        <v>Working Day</v>
      </c>
      <c r="AI492" t="str">
        <f>_xlfn.XLOOKUP(tblMaster[[#This Row],[Attendance_Date]],tblHoliday[Holiday_Date],tblHoliday[Holiday_Type],"Working Day ")</f>
        <v xml:space="preserve">Working Day </v>
      </c>
    </row>
    <row r="493" spans="1:35" hidden="1" x14ac:dyDescent="0.3">
      <c r="A493" t="s">
        <v>682</v>
      </c>
      <c r="B493" s="1">
        <v>45675</v>
      </c>
      <c r="C493" t="s">
        <v>49</v>
      </c>
      <c r="D493" t="s">
        <v>50</v>
      </c>
      <c r="E493" t="s">
        <v>38</v>
      </c>
      <c r="F493" t="s">
        <v>266</v>
      </c>
      <c r="G493" t="s">
        <v>267</v>
      </c>
      <c r="H493" t="s">
        <v>98</v>
      </c>
      <c r="I493" t="s">
        <v>99</v>
      </c>
      <c r="J493" t="s">
        <v>66</v>
      </c>
      <c r="K493" t="s">
        <v>75</v>
      </c>
      <c r="L493" s="2">
        <v>0.375</v>
      </c>
      <c r="M493" s="2">
        <v>0.75</v>
      </c>
      <c r="N493">
        <v>8</v>
      </c>
      <c r="O493">
        <v>0</v>
      </c>
      <c r="P493" t="s">
        <v>32</v>
      </c>
      <c r="R493">
        <v>4</v>
      </c>
      <c r="S493" t="s">
        <v>45</v>
      </c>
      <c r="T493" t="s">
        <v>101</v>
      </c>
      <c r="U493" t="s">
        <v>47</v>
      </c>
      <c r="V493" t="s">
        <v>69</v>
      </c>
      <c r="W493">
        <f>_xlfn.XLOOKUP(F493,tblEmployee[Employee_ID],tblEmployee[Age],"Not Found")</f>
        <v>28</v>
      </c>
      <c r="X493" t="str">
        <f>_xlfn.XLOOKUP(F493,tblEmployee[Employee_ID],tblEmployee[Gender],"Not Found")</f>
        <v>Female</v>
      </c>
      <c r="Y493">
        <f>_xlfn.XLOOKUP(F493,tblEmployee[Employee_ID],tblEmployee[Joining_Date],"")</f>
        <v>45488</v>
      </c>
      <c r="Z493">
        <f>_xlfn.XLOOKUP(H493,tblDepartment[Department],tblDepartment[Annual_Budget_INR],"")</f>
        <v>22000000</v>
      </c>
      <c r="AA493" t="str">
        <f>_xlfn.XLOOKUP(H493,tblDepartment[Department],tblDepartment[Monthly_Target],"")</f>
        <v>2500 Qualified Leads</v>
      </c>
      <c r="AB493">
        <f>_xlfn.XLOOKUP(H493,tblDepartment[Department],tblDepartment[Average_Salary_INR],"")</f>
        <v>590000</v>
      </c>
      <c r="AC493" t="str">
        <f>_xlfn.XLOOKUP(H493,tblDepartment[Department],tblDepartment[Priority_Level],"")</f>
        <v>Medium</v>
      </c>
      <c r="AD493" t="str">
        <f>_xlfn.XLOOKUP(H493,tblDepartment[Department],tblDepartment[Key_KPI],"")</f>
        <v>Lead Generation</v>
      </c>
      <c r="AE493">
        <f>_xlfn.XLOOKUP(tblMaster[[#This Row],[Shift]],tblShift[Shift_Name],tblShift[Login_Time],"")</f>
        <v>0.375</v>
      </c>
      <c r="AF493">
        <f>_xlfn.XLOOKUP(tblMaster[[#This Row],[Shift]],tblShift[Shift_Name],tblShift[Logout_Time]," ")</f>
        <v>0.75</v>
      </c>
      <c r="AG493">
        <f>_xlfn.XLOOKUP(tblMaster[[#This Row],[Shift]],tblShift[Shift_Name],tblShift[Standard_Working_Hours],"")</f>
        <v>8</v>
      </c>
      <c r="AH493" t="str">
        <f>_xlfn.XLOOKUP(tblMaster[[#This Row],[Attendance_Date]],tblHoliday[Holiday_Date],tblHoliday[Holiday_Name],"Working Day")</f>
        <v>Working Day</v>
      </c>
      <c r="AI493" t="str">
        <f>_xlfn.XLOOKUP(tblMaster[[#This Row],[Attendance_Date]],tblHoliday[Holiday_Date],tblHoliday[Holiday_Type],"Working Day ")</f>
        <v xml:space="preserve">Working Day </v>
      </c>
    </row>
    <row r="494" spans="1:35" hidden="1" x14ac:dyDescent="0.3">
      <c r="A494" t="s">
        <v>683</v>
      </c>
      <c r="B494" s="3">
        <v>45759</v>
      </c>
      <c r="C494" t="s">
        <v>37</v>
      </c>
      <c r="D494" t="s">
        <v>24</v>
      </c>
      <c r="E494" t="s">
        <v>38</v>
      </c>
      <c r="F494" t="s">
        <v>309</v>
      </c>
      <c r="G494" t="s">
        <v>310</v>
      </c>
      <c r="H494" t="s">
        <v>28</v>
      </c>
      <c r="I494" t="s">
        <v>29</v>
      </c>
      <c r="J494" t="s">
        <v>43</v>
      </c>
      <c r="K494" t="s">
        <v>75</v>
      </c>
      <c r="L494" s="2">
        <v>0.375</v>
      </c>
      <c r="M494" s="2">
        <v>0.75</v>
      </c>
      <c r="N494">
        <v>8</v>
      </c>
      <c r="O494">
        <v>0</v>
      </c>
      <c r="P494" t="s">
        <v>32</v>
      </c>
      <c r="R494">
        <v>4</v>
      </c>
      <c r="S494" t="s">
        <v>33</v>
      </c>
      <c r="T494" t="s">
        <v>34</v>
      </c>
      <c r="U494" t="s">
        <v>47</v>
      </c>
      <c r="V494" t="s">
        <v>60</v>
      </c>
      <c r="W494">
        <f>_xlfn.XLOOKUP(F494,tblEmployee[Employee_ID],tblEmployee[Age],"Not Found")</f>
        <v>39</v>
      </c>
      <c r="X494" t="str">
        <f>_xlfn.XLOOKUP(F494,tblEmployee[Employee_ID],tblEmployee[Gender],"Not Found")</f>
        <v>Male</v>
      </c>
      <c r="Y494">
        <f>_xlfn.XLOOKUP(F494,tblEmployee[Employee_ID],tblEmployee[Joining_Date],"")</f>
        <v>43449</v>
      </c>
      <c r="Z494">
        <f>_xlfn.XLOOKUP(H494,tblDepartment[Department],tblDepartment[Annual_Budget_INR],"")</f>
        <v>24000000</v>
      </c>
      <c r="AA494" t="str">
        <f>_xlfn.XLOOKUP(H494,tblDepartment[Department],tblDepartment[Monthly_Target],"")</f>
        <v>90% Customer Satisfaction</v>
      </c>
      <c r="AB494">
        <f>_xlfn.XLOOKUP(H494,tblDepartment[Department],tblDepartment[Average_Salary_INR],"")</f>
        <v>520000</v>
      </c>
      <c r="AC494" t="str">
        <f>_xlfn.XLOOKUP(H494,tblDepartment[Department],tblDepartment[Priority_Level],"")</f>
        <v>High</v>
      </c>
      <c r="AD494" t="str">
        <f>_xlfn.XLOOKUP(H494,tblDepartment[Department],tblDepartment[Key_KPI],"")</f>
        <v>Customer Satisfaction</v>
      </c>
      <c r="AE494">
        <f>_xlfn.XLOOKUP(tblMaster[[#This Row],[Shift]],tblShift[Shift_Name],tblShift[Login_Time],"")</f>
        <v>0.375</v>
      </c>
      <c r="AF494">
        <f>_xlfn.XLOOKUP(tblMaster[[#This Row],[Shift]],tblShift[Shift_Name],tblShift[Logout_Time]," ")</f>
        <v>0.75</v>
      </c>
      <c r="AG494">
        <f>_xlfn.XLOOKUP(tblMaster[[#This Row],[Shift]],tblShift[Shift_Name],tblShift[Standard_Working_Hours],"")</f>
        <v>8</v>
      </c>
      <c r="AH494" t="str">
        <f>_xlfn.XLOOKUP(tblMaster[[#This Row],[Attendance_Date]],tblHoliday[Holiday_Date],tblHoliday[Holiday_Name],"Working Day")</f>
        <v>Working Day</v>
      </c>
      <c r="AI494" t="str">
        <f>_xlfn.XLOOKUP(tblMaster[[#This Row],[Attendance_Date]],tblHoliday[Holiday_Date],tblHoliday[Holiday_Type],"Working Day ")</f>
        <v xml:space="preserve">Working Day </v>
      </c>
    </row>
    <row r="495" spans="1:35" x14ac:dyDescent="0.3">
      <c r="A495" t="s">
        <v>684</v>
      </c>
      <c r="B495" s="3">
        <v>45722</v>
      </c>
      <c r="C495" t="s">
        <v>71</v>
      </c>
      <c r="D495" t="s">
        <v>50</v>
      </c>
      <c r="E495" t="s">
        <v>25</v>
      </c>
      <c r="F495" t="s">
        <v>211</v>
      </c>
      <c r="G495" t="s">
        <v>212</v>
      </c>
      <c r="H495" t="s">
        <v>64</v>
      </c>
      <c r="I495" t="s">
        <v>65</v>
      </c>
      <c r="J495" t="s">
        <v>74</v>
      </c>
      <c r="K495" t="s">
        <v>44</v>
      </c>
      <c r="L495" s="2">
        <v>0.375</v>
      </c>
      <c r="M495" s="2">
        <v>0.75</v>
      </c>
      <c r="N495">
        <v>8</v>
      </c>
      <c r="O495">
        <v>0</v>
      </c>
      <c r="P495" t="s">
        <v>32</v>
      </c>
      <c r="S495" t="s">
        <v>45</v>
      </c>
      <c r="T495" t="s">
        <v>68</v>
      </c>
      <c r="U495" t="str">
        <f>_xlfn.XLOOKUP(tblMaster[[#This Row],[Employee_ID]],tblEmployee[Employee_ID],tblEmployee[Work_Mode]," ")</f>
        <v>Hybrid</v>
      </c>
      <c r="W495">
        <f>_xlfn.XLOOKUP(F495,tblEmployee[Employee_ID],tblEmployee[Age],"Not Found")</f>
        <v>26</v>
      </c>
      <c r="X495" t="str">
        <f>_xlfn.XLOOKUP(F495,tblEmployee[Employee_ID],tblEmployee[Gender],"Not Found")</f>
        <v>Female</v>
      </c>
      <c r="Y495">
        <f>_xlfn.XLOOKUP(F495,tblEmployee[Employee_ID],tblEmployee[Joining_Date],"")</f>
        <v>43784</v>
      </c>
      <c r="Z495">
        <f>_xlfn.XLOOKUP(H495,tblDepartment[Department],tblDepartment[Annual_Budget_INR],"")</f>
        <v>85000000</v>
      </c>
      <c r="AA495" t="str">
        <f>_xlfn.XLOOKUP(H495,tblDepartment[Department],tblDepartment[Monthly_Target],"")</f>
        <v>99.5% System Uptime</v>
      </c>
      <c r="AB495">
        <f>_xlfn.XLOOKUP(H495,tblDepartment[Department],tblDepartment[Average_Salary_INR],"")</f>
        <v>720000</v>
      </c>
      <c r="AC495" t="str">
        <f>_xlfn.XLOOKUP(H495,tblDepartment[Department],tblDepartment[Priority_Level],"")</f>
        <v>High</v>
      </c>
      <c r="AD495" t="str">
        <f>_xlfn.XLOOKUP(H495,tblDepartment[Department],tblDepartment[Key_KPI],"")</f>
        <v>Project Delivery</v>
      </c>
      <c r="AE495">
        <f>_xlfn.XLOOKUP(tblMaster[[#This Row],[Shift]],tblShift[Shift_Name],tblShift[Login_Time],"")</f>
        <v>0.41666666666666669</v>
      </c>
      <c r="AF495">
        <f>_xlfn.XLOOKUP(tblMaster[[#This Row],[Shift]],tblShift[Shift_Name],tblShift[Logout_Time]," ")</f>
        <v>0.79166666666666663</v>
      </c>
      <c r="AG495">
        <f>_xlfn.XLOOKUP(tblMaster[[#This Row],[Shift]],tblShift[Shift_Name],tblShift[Standard_Working_Hours],"")</f>
        <v>8</v>
      </c>
      <c r="AH495" t="str">
        <f>_xlfn.XLOOKUP(tblMaster[[#This Row],[Attendance_Date]],tblHoliday[Holiday_Date],tblHoliday[Holiday_Name],"Working Day")</f>
        <v>Working Day</v>
      </c>
      <c r="AI495" t="str">
        <f>_xlfn.XLOOKUP(tblMaster[[#This Row],[Attendance_Date]],tblHoliday[Holiday_Date],tblHoliday[Holiday_Type],"Working Day ")</f>
        <v xml:space="preserve">Working Day </v>
      </c>
    </row>
    <row r="496" spans="1:35" x14ac:dyDescent="0.3">
      <c r="A496" t="s">
        <v>685</v>
      </c>
      <c r="B496" s="3">
        <v>45761</v>
      </c>
      <c r="C496" t="s">
        <v>37</v>
      </c>
      <c r="D496" t="s">
        <v>24</v>
      </c>
      <c r="E496" t="s">
        <v>109</v>
      </c>
      <c r="F496" t="s">
        <v>58</v>
      </c>
      <c r="G496" t="s">
        <v>59</v>
      </c>
      <c r="H496" t="s">
        <v>41</v>
      </c>
      <c r="I496" t="s">
        <v>42</v>
      </c>
      <c r="J496" t="s">
        <v>30</v>
      </c>
      <c r="K496" t="s">
        <v>54</v>
      </c>
      <c r="P496" t="s">
        <v>135</v>
      </c>
      <c r="S496" t="s">
        <v>33</v>
      </c>
      <c r="T496" t="s">
        <v>46</v>
      </c>
      <c r="U496" t="str">
        <f>_xlfn.XLOOKUP(tblMaster[[#This Row],[Employee_ID]],tblEmployee[Employee_ID],tblEmployee[Work_Mode]," ")</f>
        <v>Hybrid</v>
      </c>
      <c r="V496" t="s">
        <v>60</v>
      </c>
      <c r="W496">
        <f>_xlfn.XLOOKUP(F496,tblEmployee[Employee_ID],tblEmployee[Age],"Not Found")</f>
        <v>23</v>
      </c>
      <c r="X496" t="str">
        <f>_xlfn.XLOOKUP(F496,tblEmployee[Employee_ID],tblEmployee[Gender],"Not Found")</f>
        <v>Female</v>
      </c>
      <c r="Y496">
        <f>_xlfn.XLOOKUP(F496,tblEmployee[Employee_ID],tblEmployee[Joining_Date],"")</f>
        <v>45153</v>
      </c>
      <c r="Z496">
        <f>_xlfn.XLOOKUP(H496,tblDepartment[Department],tblDepartment[Annual_Budget_INR],"")</f>
        <v>34000000</v>
      </c>
      <c r="AA496" t="str">
        <f>_xlfn.XLOOKUP(H496,tblDepartment[Department],tblDepartment[Monthly_Target],"")</f>
        <v>95% Process Efficiency</v>
      </c>
      <c r="AB496">
        <f>_xlfn.XLOOKUP(H496,tblDepartment[Department],tblDepartment[Average_Salary_INR],"")</f>
        <v>610000</v>
      </c>
      <c r="AC496" t="str">
        <f>_xlfn.XLOOKUP(H496,tblDepartment[Department],tblDepartment[Priority_Level],"")</f>
        <v>High</v>
      </c>
      <c r="AD496" t="str">
        <f>_xlfn.XLOOKUP(H496,tblDepartment[Department],tblDepartment[Key_KPI],"")</f>
        <v>Operational Efficiency</v>
      </c>
      <c r="AE496">
        <f>_xlfn.XLOOKUP(tblMaster[[#This Row],[Shift]],tblShift[Shift_Name],tblShift[Login_Time],"")</f>
        <v>0.58333333333333337</v>
      </c>
      <c r="AF496">
        <f>_xlfn.XLOOKUP(tblMaster[[#This Row],[Shift]],tblShift[Shift_Name],tblShift[Logout_Time]," ")</f>
        <v>0.95833333333333337</v>
      </c>
      <c r="AG496">
        <f>_xlfn.XLOOKUP(tblMaster[[#This Row],[Shift]],tblShift[Shift_Name],tblShift[Standard_Working_Hours],"")</f>
        <v>8</v>
      </c>
      <c r="AH496" t="str">
        <f>_xlfn.XLOOKUP(tblMaster[[#This Row],[Attendance_Date]],tblHoliday[Holiday_Date],tblHoliday[Holiday_Name],"Working Day")</f>
        <v>Tamil New Year</v>
      </c>
      <c r="AI496" t="str">
        <f>_xlfn.XLOOKUP(tblMaster[[#This Row],[Attendance_Date]],tblHoliday[Holiday_Date],tblHoliday[Holiday_Type],"Working Day ")</f>
        <v>Festival</v>
      </c>
    </row>
    <row r="497" spans="1:35" x14ac:dyDescent="0.3">
      <c r="A497" t="s">
        <v>686</v>
      </c>
      <c r="B497" s="3">
        <v>45773</v>
      </c>
      <c r="C497" t="s">
        <v>37</v>
      </c>
      <c r="D497" t="s">
        <v>24</v>
      </c>
      <c r="E497" t="s">
        <v>38</v>
      </c>
      <c r="F497" t="s">
        <v>305</v>
      </c>
      <c r="G497" t="s">
        <v>306</v>
      </c>
      <c r="H497" t="s">
        <v>79</v>
      </c>
      <c r="I497" t="s">
        <v>80</v>
      </c>
      <c r="J497" t="s">
        <v>74</v>
      </c>
      <c r="K497" t="s">
        <v>81</v>
      </c>
      <c r="L497" s="2">
        <v>0.91666666666666663</v>
      </c>
      <c r="M497" s="2">
        <v>0.29166666666666669</v>
      </c>
      <c r="N497">
        <v>8.5</v>
      </c>
      <c r="O497">
        <v>0.5</v>
      </c>
      <c r="P497" t="s">
        <v>32</v>
      </c>
      <c r="R497">
        <v>5</v>
      </c>
      <c r="S497" t="s">
        <v>45</v>
      </c>
      <c r="T497" t="s">
        <v>84</v>
      </c>
      <c r="U497" t="str">
        <f>_xlfn.XLOOKUP(tblMaster[[#This Row],[Employee_ID]],tblEmployee[Employee_ID],tblEmployee[Work_Mode]," ")</f>
        <v>Remote</v>
      </c>
      <c r="V497" t="s">
        <v>69</v>
      </c>
      <c r="W497">
        <f>_xlfn.XLOOKUP(F497,tblEmployee[Employee_ID],tblEmployee[Age],"Not Found")</f>
        <v>36</v>
      </c>
      <c r="X497" t="str">
        <f>_xlfn.XLOOKUP(F497,tblEmployee[Employee_ID],tblEmployee[Gender],"Not Found")</f>
        <v>Female</v>
      </c>
      <c r="Y497">
        <f>_xlfn.XLOOKUP(F497,tblEmployee[Employee_ID],tblEmployee[Joining_Date],"")</f>
        <v>44819</v>
      </c>
      <c r="Z497">
        <f>_xlfn.XLOOKUP(H497,tblDepartment[Department],tblDepartment[Annual_Budget_INR],"")</f>
        <v>26000000</v>
      </c>
      <c r="AA497" t="str">
        <f>_xlfn.XLOOKUP(H497,tblDepartment[Department],tblDepartment[Monthly_Target],"")</f>
        <v>100% Payroll Accuracy</v>
      </c>
      <c r="AB497">
        <f>_xlfn.XLOOKUP(H497,tblDepartment[Department],tblDepartment[Average_Salary_INR],"")</f>
        <v>640000</v>
      </c>
      <c r="AC497" t="str">
        <f>_xlfn.XLOOKUP(H497,tblDepartment[Department],tblDepartment[Priority_Level],"")</f>
        <v>High</v>
      </c>
      <c r="AD497" t="str">
        <f>_xlfn.XLOOKUP(H497,tblDepartment[Department],tblDepartment[Key_KPI],"")</f>
        <v>Financial Compliance</v>
      </c>
      <c r="AE497">
        <f>_xlfn.XLOOKUP(tblMaster[[#This Row],[Shift]],tblShift[Shift_Name],tblShift[Login_Time],"")</f>
        <v>0.91666666666666663</v>
      </c>
      <c r="AF497">
        <f>_xlfn.XLOOKUP(tblMaster[[#This Row],[Shift]],tblShift[Shift_Name],tblShift[Logout_Time]," ")</f>
        <v>0.29166666666666669</v>
      </c>
      <c r="AG497">
        <f>_xlfn.XLOOKUP(tblMaster[[#This Row],[Shift]],tblShift[Shift_Name],tblShift[Standard_Working_Hours],"")</f>
        <v>8</v>
      </c>
      <c r="AH497" t="str">
        <f>_xlfn.XLOOKUP(tblMaster[[#This Row],[Attendance_Date]],tblHoliday[Holiday_Date],tblHoliday[Holiday_Name],"Working Day")</f>
        <v>Working Day</v>
      </c>
      <c r="AI497" t="str">
        <f>_xlfn.XLOOKUP(tblMaster[[#This Row],[Attendance_Date]],tblHoliday[Holiday_Date],tblHoliday[Holiday_Type],"Working Day ")</f>
        <v xml:space="preserve">Working Day </v>
      </c>
    </row>
    <row r="498" spans="1:35" hidden="1" x14ac:dyDescent="0.3">
      <c r="A498" t="s">
        <v>687</v>
      </c>
      <c r="B498" s="3">
        <v>45823</v>
      </c>
      <c r="C498" t="s">
        <v>23</v>
      </c>
      <c r="D498" t="s">
        <v>24</v>
      </c>
      <c r="E498" t="s">
        <v>103</v>
      </c>
      <c r="F498" t="s">
        <v>309</v>
      </c>
      <c r="G498" t="s">
        <v>310</v>
      </c>
      <c r="H498" t="s">
        <v>28</v>
      </c>
      <c r="I498" t="s">
        <v>29</v>
      </c>
      <c r="J498" t="s">
        <v>43</v>
      </c>
      <c r="K498" t="s">
        <v>81</v>
      </c>
      <c r="P498" t="s">
        <v>82</v>
      </c>
      <c r="S498" t="s">
        <v>33</v>
      </c>
      <c r="T498" t="s">
        <v>34</v>
      </c>
      <c r="U498" t="s">
        <v>55</v>
      </c>
      <c r="V498" t="s">
        <v>60</v>
      </c>
      <c r="W498">
        <f>_xlfn.XLOOKUP(F498,tblEmployee[Employee_ID],tblEmployee[Age],"Not Found")</f>
        <v>39</v>
      </c>
      <c r="X498" t="str">
        <f>_xlfn.XLOOKUP(F498,tblEmployee[Employee_ID],tblEmployee[Gender],"Not Found")</f>
        <v>Male</v>
      </c>
      <c r="Y498">
        <f>_xlfn.XLOOKUP(F498,tblEmployee[Employee_ID],tblEmployee[Joining_Date],"")</f>
        <v>43449</v>
      </c>
      <c r="Z498">
        <f>_xlfn.XLOOKUP(H498,tblDepartment[Department],tblDepartment[Annual_Budget_INR],"")</f>
        <v>24000000</v>
      </c>
      <c r="AA498" t="str">
        <f>_xlfn.XLOOKUP(H498,tblDepartment[Department],tblDepartment[Monthly_Target],"")</f>
        <v>90% Customer Satisfaction</v>
      </c>
      <c r="AB498">
        <f>_xlfn.XLOOKUP(H498,tblDepartment[Department],tblDepartment[Average_Salary_INR],"")</f>
        <v>520000</v>
      </c>
      <c r="AC498" t="str">
        <f>_xlfn.XLOOKUP(H498,tblDepartment[Department],tblDepartment[Priority_Level],"")</f>
        <v>High</v>
      </c>
      <c r="AD498" t="str">
        <f>_xlfn.XLOOKUP(H498,tblDepartment[Department],tblDepartment[Key_KPI],"")</f>
        <v>Customer Satisfaction</v>
      </c>
      <c r="AE498">
        <f>_xlfn.XLOOKUP(tblMaster[[#This Row],[Shift]],tblShift[Shift_Name],tblShift[Login_Time],"")</f>
        <v>0.91666666666666663</v>
      </c>
      <c r="AF498">
        <f>_xlfn.XLOOKUP(tblMaster[[#This Row],[Shift]],tblShift[Shift_Name],tblShift[Logout_Time]," ")</f>
        <v>0.29166666666666669</v>
      </c>
      <c r="AG498">
        <f>_xlfn.XLOOKUP(tblMaster[[#This Row],[Shift]],tblShift[Shift_Name],tblShift[Standard_Working_Hours],"")</f>
        <v>8</v>
      </c>
      <c r="AH498" t="str">
        <f>_xlfn.XLOOKUP(tblMaster[[#This Row],[Attendance_Date]],tblHoliday[Holiday_Date],tblHoliday[Holiday_Name],"Working Day")</f>
        <v>Working Day</v>
      </c>
      <c r="AI498" t="str">
        <f>_xlfn.XLOOKUP(tblMaster[[#This Row],[Attendance_Date]],tblHoliday[Holiday_Date],tblHoliday[Holiday_Type],"Working Day ")</f>
        <v xml:space="preserve">Working Day </v>
      </c>
    </row>
    <row r="499" spans="1:35" x14ac:dyDescent="0.3">
      <c r="A499" t="s">
        <v>688</v>
      </c>
      <c r="B499" s="1">
        <v>45713</v>
      </c>
      <c r="C499" t="s">
        <v>95</v>
      </c>
      <c r="D499" t="s">
        <v>50</v>
      </c>
      <c r="E499" t="s">
        <v>87</v>
      </c>
      <c r="F499" t="s">
        <v>231</v>
      </c>
      <c r="G499" t="s">
        <v>232</v>
      </c>
      <c r="H499" t="s">
        <v>98</v>
      </c>
      <c r="I499" t="s">
        <v>99</v>
      </c>
      <c r="J499" t="s">
        <v>74</v>
      </c>
      <c r="K499" t="s">
        <v>81</v>
      </c>
      <c r="L499" s="2">
        <v>0.91666666666666663</v>
      </c>
      <c r="M499" s="2">
        <v>0.29166666666666669</v>
      </c>
      <c r="N499">
        <v>8.5</v>
      </c>
      <c r="O499">
        <v>0.5</v>
      </c>
      <c r="P499" t="s">
        <v>32</v>
      </c>
      <c r="R499">
        <v>4</v>
      </c>
      <c r="S499" t="s">
        <v>45</v>
      </c>
      <c r="T499" t="s">
        <v>101</v>
      </c>
      <c r="U499" t="str">
        <f>_xlfn.XLOOKUP(tblMaster[[#This Row],[Employee_ID]],tblEmployee[Employee_ID],tblEmployee[Work_Mode]," ")</f>
        <v>Office</v>
      </c>
      <c r="V499" t="s">
        <v>60</v>
      </c>
      <c r="W499">
        <f>_xlfn.XLOOKUP(F499,tblEmployee[Employee_ID],tblEmployee[Age],"Not Found")</f>
        <v>31</v>
      </c>
      <c r="X499" t="str">
        <f>_xlfn.XLOOKUP(F499,tblEmployee[Employee_ID],tblEmployee[Gender],"Not Found")</f>
        <v>Male</v>
      </c>
      <c r="Y499">
        <f>_xlfn.XLOOKUP(F499,tblEmployee[Employee_ID],tblEmployee[Joining_Date],"")</f>
        <v>45397</v>
      </c>
      <c r="Z499">
        <f>_xlfn.XLOOKUP(H499,tblDepartment[Department],tblDepartment[Annual_Budget_INR],"")</f>
        <v>22000000</v>
      </c>
      <c r="AA499" t="str">
        <f>_xlfn.XLOOKUP(H499,tblDepartment[Department],tblDepartment[Monthly_Target],"")</f>
        <v>2500 Qualified Leads</v>
      </c>
      <c r="AB499">
        <f>_xlfn.XLOOKUP(H499,tblDepartment[Department],tblDepartment[Average_Salary_INR],"")</f>
        <v>590000</v>
      </c>
      <c r="AC499" t="str">
        <f>_xlfn.XLOOKUP(H499,tblDepartment[Department],tblDepartment[Priority_Level],"")</f>
        <v>Medium</v>
      </c>
      <c r="AD499" t="str">
        <f>_xlfn.XLOOKUP(H499,tblDepartment[Department],tblDepartment[Key_KPI],"")</f>
        <v>Lead Generation</v>
      </c>
      <c r="AE499">
        <f>_xlfn.XLOOKUP(tblMaster[[#This Row],[Shift]],tblShift[Shift_Name],tblShift[Login_Time],"")</f>
        <v>0.91666666666666663</v>
      </c>
      <c r="AF499">
        <f>_xlfn.XLOOKUP(tblMaster[[#This Row],[Shift]],tblShift[Shift_Name],tblShift[Logout_Time]," ")</f>
        <v>0.29166666666666669</v>
      </c>
      <c r="AG499">
        <f>_xlfn.XLOOKUP(tblMaster[[#This Row],[Shift]],tblShift[Shift_Name],tblShift[Standard_Working_Hours],"")</f>
        <v>8</v>
      </c>
      <c r="AH499" t="str">
        <f>_xlfn.XLOOKUP(tblMaster[[#This Row],[Attendance_Date]],tblHoliday[Holiday_Date],tblHoliday[Holiday_Name],"Working Day")</f>
        <v>Working Day</v>
      </c>
      <c r="AI499" t="str">
        <f>_xlfn.XLOOKUP(tblMaster[[#This Row],[Attendance_Date]],tblHoliday[Holiday_Date],tblHoliday[Holiday_Type],"Working Day ")</f>
        <v xml:space="preserve">Working Day </v>
      </c>
    </row>
    <row r="500" spans="1:35" hidden="1" x14ac:dyDescent="0.3">
      <c r="A500" t="s">
        <v>689</v>
      </c>
      <c r="B500" s="3">
        <v>45835</v>
      </c>
      <c r="C500" t="s">
        <v>23</v>
      </c>
      <c r="D500" t="s">
        <v>24</v>
      </c>
      <c r="E500" t="s">
        <v>119</v>
      </c>
      <c r="F500" t="s">
        <v>354</v>
      </c>
      <c r="G500" t="s">
        <v>355</v>
      </c>
      <c r="H500" t="s">
        <v>28</v>
      </c>
      <c r="I500" t="s">
        <v>29</v>
      </c>
      <c r="J500" t="s">
        <v>100</v>
      </c>
      <c r="K500" t="s">
        <v>44</v>
      </c>
      <c r="L500" s="2">
        <v>0.375</v>
      </c>
      <c r="M500" s="2">
        <v>0.75</v>
      </c>
      <c r="N500">
        <v>8</v>
      </c>
      <c r="O500">
        <v>0</v>
      </c>
      <c r="P500" t="s">
        <v>32</v>
      </c>
      <c r="S500" t="s">
        <v>67</v>
      </c>
      <c r="T500" t="s">
        <v>34</v>
      </c>
      <c r="U500" t="s">
        <v>85</v>
      </c>
      <c r="W500">
        <f>_xlfn.XLOOKUP(F500,tblEmployee[Employee_ID],tblEmployee[Age],"Not Found")</f>
        <v>32</v>
      </c>
      <c r="X500" t="str">
        <f>_xlfn.XLOOKUP(F500,tblEmployee[Employee_ID],tblEmployee[Gender],"Not Found")</f>
        <v>Female</v>
      </c>
      <c r="Y500">
        <f>_xlfn.XLOOKUP(F500,tblEmployee[Employee_ID],tblEmployee[Joining_Date],"")</f>
        <v>43235</v>
      </c>
      <c r="Z500">
        <f>_xlfn.XLOOKUP(H500,tblDepartment[Department],tblDepartment[Annual_Budget_INR],"")</f>
        <v>24000000</v>
      </c>
      <c r="AA500" t="str">
        <f>_xlfn.XLOOKUP(H500,tblDepartment[Department],tblDepartment[Monthly_Target],"")</f>
        <v>90% Customer Satisfaction</v>
      </c>
      <c r="AB500">
        <f>_xlfn.XLOOKUP(H500,tblDepartment[Department],tblDepartment[Average_Salary_INR],"")</f>
        <v>520000</v>
      </c>
      <c r="AC500" t="str">
        <f>_xlfn.XLOOKUP(H500,tblDepartment[Department],tblDepartment[Priority_Level],"")</f>
        <v>High</v>
      </c>
      <c r="AD500" t="str">
        <f>_xlfn.XLOOKUP(H500,tblDepartment[Department],tblDepartment[Key_KPI],"")</f>
        <v>Customer Satisfaction</v>
      </c>
      <c r="AE500">
        <f>_xlfn.XLOOKUP(tblMaster[[#This Row],[Shift]],tblShift[Shift_Name],tblShift[Login_Time],"")</f>
        <v>0.41666666666666669</v>
      </c>
      <c r="AF500">
        <f>_xlfn.XLOOKUP(tblMaster[[#This Row],[Shift]],tblShift[Shift_Name],tblShift[Logout_Time]," ")</f>
        <v>0.79166666666666663</v>
      </c>
      <c r="AG500">
        <f>_xlfn.XLOOKUP(tblMaster[[#This Row],[Shift]],tblShift[Shift_Name],tblShift[Standard_Working_Hours],"")</f>
        <v>8</v>
      </c>
      <c r="AH500" t="str">
        <f>_xlfn.XLOOKUP(tblMaster[[#This Row],[Attendance_Date]],tblHoliday[Holiday_Date],tblHoliday[Holiday_Name],"Working Day")</f>
        <v>Working Day</v>
      </c>
      <c r="AI500" t="str">
        <f>_xlfn.XLOOKUP(tblMaster[[#This Row],[Attendance_Date]],tblHoliday[Holiday_Date],tblHoliday[Holiday_Type],"Working Day ")</f>
        <v xml:space="preserve">Working Day </v>
      </c>
    </row>
    <row r="501" spans="1:35" x14ac:dyDescent="0.3">
      <c r="A501" t="s">
        <v>690</v>
      </c>
      <c r="B501" s="3">
        <v>45763</v>
      </c>
      <c r="C501" t="s">
        <v>37</v>
      </c>
      <c r="D501" t="s">
        <v>24</v>
      </c>
      <c r="E501" t="s">
        <v>51</v>
      </c>
      <c r="F501" t="s">
        <v>96</v>
      </c>
      <c r="G501" t="s">
        <v>97</v>
      </c>
      <c r="H501" t="s">
        <v>581</v>
      </c>
      <c r="I501" t="s">
        <v>99</v>
      </c>
      <c r="J501" t="s">
        <v>100</v>
      </c>
      <c r="K501" t="s">
        <v>31</v>
      </c>
      <c r="M501" s="2">
        <v>0.75</v>
      </c>
      <c r="N501">
        <v>8</v>
      </c>
      <c r="O501">
        <v>0</v>
      </c>
      <c r="P501" t="s">
        <v>32</v>
      </c>
      <c r="R501">
        <v>4</v>
      </c>
      <c r="S501" t="s">
        <v>45</v>
      </c>
      <c r="T501" t="s">
        <v>101</v>
      </c>
      <c r="U501" t="str">
        <f>_xlfn.XLOOKUP(tblMaster[[#This Row],[Employee_ID]],tblEmployee[Employee_ID],tblEmployee[Work_Mode]," ")</f>
        <v>Office</v>
      </c>
      <c r="V501" t="s">
        <v>60</v>
      </c>
      <c r="W501">
        <f>_xlfn.XLOOKUP(F501,tblEmployee[Employee_ID],tblEmployee[Age],"Not Found")</f>
        <v>34</v>
      </c>
      <c r="X501" t="str">
        <f>_xlfn.XLOOKUP(F501,tblEmployee[Employee_ID],tblEmployee[Gender],"Not Found")</f>
        <v>Female</v>
      </c>
      <c r="Y501">
        <f>_xlfn.XLOOKUP(F501,tblEmployee[Employee_ID],tblEmployee[Joining_Date],"")</f>
        <v>45306</v>
      </c>
      <c r="Z501">
        <f>_xlfn.XLOOKUP(H501,tblDepartment[Department],tblDepartment[Annual_Budget_INR],"")</f>
        <v>22000000</v>
      </c>
      <c r="AA501" t="str">
        <f>_xlfn.XLOOKUP(H501,tblDepartment[Department],tblDepartment[Monthly_Target],"")</f>
        <v>2500 Qualified Leads</v>
      </c>
      <c r="AB501">
        <f>_xlfn.XLOOKUP(H501,tblDepartment[Department],tblDepartment[Average_Salary_INR],"")</f>
        <v>590000</v>
      </c>
      <c r="AC501" t="str">
        <f>_xlfn.XLOOKUP(H501,tblDepartment[Department],tblDepartment[Priority_Level],"")</f>
        <v>Medium</v>
      </c>
      <c r="AD501" t="str">
        <f>_xlfn.XLOOKUP(H501,tblDepartment[Department],tblDepartment[Key_KPI],"")</f>
        <v>Lead Generation</v>
      </c>
      <c r="AE501">
        <f>_xlfn.XLOOKUP(tblMaster[[#This Row],[Shift]],tblShift[Shift_Name],tblShift[Login_Time],"")</f>
        <v>0.25</v>
      </c>
      <c r="AF501">
        <f>_xlfn.XLOOKUP(tblMaster[[#This Row],[Shift]],tblShift[Shift_Name],tblShift[Logout_Time]," ")</f>
        <v>0.625</v>
      </c>
      <c r="AG501">
        <f>_xlfn.XLOOKUP(tblMaster[[#This Row],[Shift]],tblShift[Shift_Name],tblShift[Standard_Working_Hours],"")</f>
        <v>8</v>
      </c>
      <c r="AH501" t="str">
        <f>_xlfn.XLOOKUP(tblMaster[[#This Row],[Attendance_Date]],tblHoliday[Holiday_Date],tblHoliday[Holiday_Name],"Working Day")</f>
        <v>Working Day</v>
      </c>
      <c r="AI501" t="str">
        <f>_xlfn.XLOOKUP(tblMaster[[#This Row],[Attendance_Date]],tblHoliday[Holiday_Date],tblHoliday[Holiday_Type],"Working Day ")</f>
        <v xml:space="preserve">Working Day </v>
      </c>
    </row>
    <row r="502" spans="1:35" hidden="1" x14ac:dyDescent="0.3">
      <c r="A502" t="s">
        <v>691</v>
      </c>
      <c r="B502" s="1">
        <v>45746</v>
      </c>
      <c r="C502" t="s">
        <v>71</v>
      </c>
      <c r="D502" t="s">
        <v>50</v>
      </c>
      <c r="E502" t="s">
        <v>103</v>
      </c>
      <c r="F502" t="s">
        <v>220</v>
      </c>
      <c r="G502" t="s">
        <v>221</v>
      </c>
      <c r="H502" t="s">
        <v>79</v>
      </c>
      <c r="I502" t="s">
        <v>80</v>
      </c>
      <c r="J502" t="s">
        <v>100</v>
      </c>
      <c r="K502" t="s">
        <v>54</v>
      </c>
      <c r="L502" s="2">
        <v>0.375</v>
      </c>
      <c r="M502" s="2">
        <v>0.75</v>
      </c>
      <c r="N502">
        <v>8</v>
      </c>
      <c r="O502">
        <v>0</v>
      </c>
      <c r="P502" t="s">
        <v>32</v>
      </c>
      <c r="R502">
        <v>3</v>
      </c>
      <c r="S502" t="s">
        <v>92</v>
      </c>
      <c r="T502" t="s">
        <v>84</v>
      </c>
      <c r="U502" t="s">
        <v>85</v>
      </c>
      <c r="V502" t="s">
        <v>60</v>
      </c>
      <c r="W502">
        <f>_xlfn.XLOOKUP(F502,tblEmployee[Employee_ID],tblEmployee[Age],"Not Found")</f>
        <v>22</v>
      </c>
      <c r="X502" t="str">
        <f>_xlfn.XLOOKUP(F502,tblEmployee[Employee_ID],tblEmployee[Gender],"Not Found")</f>
        <v>Male</v>
      </c>
      <c r="Y502">
        <f>_xlfn.XLOOKUP(F502,tblEmployee[Employee_ID],tblEmployee[Joining_Date],"")</f>
        <v>44757</v>
      </c>
      <c r="Z502">
        <f>_xlfn.XLOOKUP(H502,tblDepartment[Department],tblDepartment[Annual_Budget_INR],"")</f>
        <v>26000000</v>
      </c>
      <c r="AA502" t="str">
        <f>_xlfn.XLOOKUP(H502,tblDepartment[Department],tblDepartment[Monthly_Target],"")</f>
        <v>100% Payroll Accuracy</v>
      </c>
      <c r="AB502">
        <f>_xlfn.XLOOKUP(H502,tblDepartment[Department],tblDepartment[Average_Salary_INR],"")</f>
        <v>640000</v>
      </c>
      <c r="AC502" t="str">
        <f>_xlfn.XLOOKUP(H502,tblDepartment[Department],tblDepartment[Priority_Level],"")</f>
        <v>High</v>
      </c>
      <c r="AD502" t="str">
        <f>_xlfn.XLOOKUP(H502,tblDepartment[Department],tblDepartment[Key_KPI],"")</f>
        <v>Financial Compliance</v>
      </c>
      <c r="AE502">
        <f>_xlfn.XLOOKUP(tblMaster[[#This Row],[Shift]],tblShift[Shift_Name],tblShift[Login_Time],"")</f>
        <v>0.58333333333333337</v>
      </c>
      <c r="AF502">
        <f>_xlfn.XLOOKUP(tblMaster[[#This Row],[Shift]],tblShift[Shift_Name],tblShift[Logout_Time]," ")</f>
        <v>0.95833333333333337</v>
      </c>
      <c r="AG502">
        <f>_xlfn.XLOOKUP(tblMaster[[#This Row],[Shift]],tblShift[Shift_Name],tblShift[Standard_Working_Hours],"")</f>
        <v>8</v>
      </c>
      <c r="AH502" t="str">
        <f>_xlfn.XLOOKUP(tblMaster[[#This Row],[Attendance_Date]],tblHoliday[Holiday_Date],tblHoliday[Holiday_Name],"Working Day")</f>
        <v>Working Day</v>
      </c>
      <c r="AI502" t="str">
        <f>_xlfn.XLOOKUP(tblMaster[[#This Row],[Attendance_Date]],tblHoliday[Holiday_Date],tblHoliday[Holiday_Type],"Working Day ")</f>
        <v xml:space="preserve">Working Day </v>
      </c>
    </row>
    <row r="503" spans="1:35" x14ac:dyDescent="0.3">
      <c r="A503" t="s">
        <v>692</v>
      </c>
      <c r="B503" s="3">
        <v>45682</v>
      </c>
      <c r="C503" t="s">
        <v>49</v>
      </c>
      <c r="D503" t="s">
        <v>50</v>
      </c>
      <c r="E503" t="s">
        <v>38</v>
      </c>
      <c r="F503" t="s">
        <v>145</v>
      </c>
      <c r="G503" t="s">
        <v>146</v>
      </c>
      <c r="H503" t="s">
        <v>90</v>
      </c>
      <c r="I503" t="s">
        <v>91</v>
      </c>
      <c r="J503" t="s">
        <v>100</v>
      </c>
      <c r="K503" t="s">
        <v>75</v>
      </c>
      <c r="L503" s="2">
        <v>0.375</v>
      </c>
      <c r="M503" s="2">
        <v>0.75</v>
      </c>
      <c r="N503">
        <v>8</v>
      </c>
      <c r="O503">
        <v>0</v>
      </c>
      <c r="P503" t="s">
        <v>32</v>
      </c>
      <c r="R503">
        <v>4</v>
      </c>
      <c r="S503" t="s">
        <v>92</v>
      </c>
      <c r="T503" t="s">
        <v>93</v>
      </c>
      <c r="U503" t="str">
        <f>_xlfn.XLOOKUP(tblMaster[[#This Row],[Employee_ID]],tblEmployee[Employee_ID],tblEmployee[Work_Mode]," ")</f>
        <v>Remote</v>
      </c>
      <c r="V503" t="s">
        <v>35</v>
      </c>
      <c r="W503">
        <f>_xlfn.XLOOKUP(F503,tblEmployee[Employee_ID],tblEmployee[Age],"Not Found")</f>
        <v>27</v>
      </c>
      <c r="X503" t="str">
        <f>_xlfn.XLOOKUP(F503,tblEmployee[Employee_ID],tblEmployee[Gender],"Not Found")</f>
        <v>Male</v>
      </c>
      <c r="Y503">
        <f>_xlfn.XLOOKUP(F503,tblEmployee[Employee_ID],tblEmployee[Joining_Date],"")</f>
        <v>44180</v>
      </c>
      <c r="Z503">
        <f>_xlfn.XLOOKUP(H503,tblDepartment[Department],tblDepartment[Annual_Budget_INR],"")</f>
        <v>18000000</v>
      </c>
      <c r="AA503" t="str">
        <f>_xlfn.XLOOKUP(H503,tblDepartment[Department],tblDepartment[Monthly_Target],"")</f>
        <v>&lt;30 Days Hiring Cycle</v>
      </c>
      <c r="AB503">
        <f>_xlfn.XLOOKUP(H503,tblDepartment[Department],tblDepartment[Average_Salary_INR],"")</f>
        <v>560000</v>
      </c>
      <c r="AC503" t="str">
        <f>_xlfn.XLOOKUP(H503,tblDepartment[Department],tblDepartment[Priority_Level],"")</f>
        <v>Medium</v>
      </c>
      <c r="AD503" t="str">
        <f>_xlfn.XLOOKUP(H503,tblDepartment[Department],tblDepartment[Key_KPI],"")</f>
        <v>Hiring &amp; Retention</v>
      </c>
      <c r="AE503">
        <f>_xlfn.XLOOKUP(tblMaster[[#This Row],[Shift]],tblShift[Shift_Name],tblShift[Login_Time],"")</f>
        <v>0.375</v>
      </c>
      <c r="AF503">
        <f>_xlfn.XLOOKUP(tblMaster[[#This Row],[Shift]],tblShift[Shift_Name],tblShift[Logout_Time]," ")</f>
        <v>0.75</v>
      </c>
      <c r="AG503">
        <f>_xlfn.XLOOKUP(tblMaster[[#This Row],[Shift]],tblShift[Shift_Name],tblShift[Standard_Working_Hours],"")</f>
        <v>8</v>
      </c>
      <c r="AH503" t="str">
        <f>_xlfn.XLOOKUP(tblMaster[[#This Row],[Attendance_Date]],tblHoliday[Holiday_Date],tblHoliday[Holiday_Name],"Working Day")</f>
        <v>Working Day</v>
      </c>
      <c r="AI503" t="str">
        <f>_xlfn.XLOOKUP(tblMaster[[#This Row],[Attendance_Date]],tblHoliday[Holiday_Date],tblHoliday[Holiday_Type],"Working Day ")</f>
        <v xml:space="preserve">Working Day </v>
      </c>
    </row>
    <row r="504" spans="1:35" hidden="1" x14ac:dyDescent="0.3">
      <c r="A504" t="s">
        <v>693</v>
      </c>
      <c r="B504" s="3">
        <v>45739</v>
      </c>
      <c r="C504" t="s">
        <v>71</v>
      </c>
      <c r="D504" t="s">
        <v>50</v>
      </c>
      <c r="E504" t="s">
        <v>103</v>
      </c>
      <c r="F504" t="s">
        <v>145</v>
      </c>
      <c r="G504" t="s">
        <v>146</v>
      </c>
      <c r="H504" t="s">
        <v>90</v>
      </c>
      <c r="I504" t="s">
        <v>91</v>
      </c>
      <c r="J504" t="s">
        <v>100</v>
      </c>
      <c r="K504" t="s">
        <v>44</v>
      </c>
      <c r="L504" s="2">
        <v>0.375</v>
      </c>
      <c r="M504" s="2">
        <v>0.75</v>
      </c>
      <c r="N504">
        <v>8</v>
      </c>
      <c r="O504">
        <v>0</v>
      </c>
      <c r="P504" t="s">
        <v>32</v>
      </c>
      <c r="R504">
        <v>3</v>
      </c>
      <c r="S504" t="s">
        <v>45</v>
      </c>
      <c r="T504" t="s">
        <v>93</v>
      </c>
      <c r="U504" t="s">
        <v>85</v>
      </c>
      <c r="W504">
        <f>_xlfn.XLOOKUP(F504,tblEmployee[Employee_ID],tblEmployee[Age],"Not Found")</f>
        <v>27</v>
      </c>
      <c r="X504" t="str">
        <f>_xlfn.XLOOKUP(F504,tblEmployee[Employee_ID],tblEmployee[Gender],"Not Found")</f>
        <v>Male</v>
      </c>
      <c r="Y504">
        <f>_xlfn.XLOOKUP(F504,tblEmployee[Employee_ID],tblEmployee[Joining_Date],"")</f>
        <v>44180</v>
      </c>
      <c r="Z504">
        <f>_xlfn.XLOOKUP(H504,tblDepartment[Department],tblDepartment[Annual_Budget_INR],"")</f>
        <v>18000000</v>
      </c>
      <c r="AA504" t="str">
        <f>_xlfn.XLOOKUP(H504,tblDepartment[Department],tblDepartment[Monthly_Target],"")</f>
        <v>&lt;30 Days Hiring Cycle</v>
      </c>
      <c r="AB504">
        <f>_xlfn.XLOOKUP(H504,tblDepartment[Department],tblDepartment[Average_Salary_INR],"")</f>
        <v>560000</v>
      </c>
      <c r="AC504" t="str">
        <f>_xlfn.XLOOKUP(H504,tblDepartment[Department],tblDepartment[Priority_Level],"")</f>
        <v>Medium</v>
      </c>
      <c r="AD504" t="str">
        <f>_xlfn.XLOOKUP(H504,tblDepartment[Department],tblDepartment[Key_KPI],"")</f>
        <v>Hiring &amp; Retention</v>
      </c>
      <c r="AE504">
        <f>_xlfn.XLOOKUP(tblMaster[[#This Row],[Shift]],tblShift[Shift_Name],tblShift[Login_Time],"")</f>
        <v>0.41666666666666669</v>
      </c>
      <c r="AF504">
        <f>_xlfn.XLOOKUP(tblMaster[[#This Row],[Shift]],tblShift[Shift_Name],tblShift[Logout_Time]," ")</f>
        <v>0.79166666666666663</v>
      </c>
      <c r="AG504">
        <f>_xlfn.XLOOKUP(tblMaster[[#This Row],[Shift]],tblShift[Shift_Name],tblShift[Standard_Working_Hours],"")</f>
        <v>8</v>
      </c>
      <c r="AH504" t="str">
        <f>_xlfn.XLOOKUP(tblMaster[[#This Row],[Attendance_Date]],tblHoliday[Holiday_Date],tblHoliday[Holiday_Name],"Working Day")</f>
        <v>Working Day</v>
      </c>
      <c r="AI504" t="str">
        <f>_xlfn.XLOOKUP(tblMaster[[#This Row],[Attendance_Date]],tblHoliday[Holiday_Date],tblHoliday[Holiday_Type],"Working Day ")</f>
        <v xml:space="preserve">Working Day </v>
      </c>
    </row>
    <row r="505" spans="1:35" hidden="1" x14ac:dyDescent="0.3">
      <c r="A505" t="s">
        <v>694</v>
      </c>
      <c r="B505" s="1">
        <v>45772</v>
      </c>
      <c r="C505" t="s">
        <v>37</v>
      </c>
      <c r="D505" t="s">
        <v>24</v>
      </c>
      <c r="E505" t="s">
        <v>119</v>
      </c>
      <c r="F505" t="s">
        <v>231</v>
      </c>
      <c r="G505" t="s">
        <v>232</v>
      </c>
      <c r="H505" t="s">
        <v>98</v>
      </c>
      <c r="I505" t="s">
        <v>99</v>
      </c>
      <c r="J505" t="s">
        <v>74</v>
      </c>
      <c r="K505" t="s">
        <v>54</v>
      </c>
      <c r="L505" s="2">
        <v>0.375</v>
      </c>
      <c r="N505">
        <v>8</v>
      </c>
      <c r="O505">
        <v>0</v>
      </c>
      <c r="P505" t="s">
        <v>32</v>
      </c>
      <c r="R505">
        <v>4</v>
      </c>
      <c r="S505" t="s">
        <v>92</v>
      </c>
      <c r="T505" t="s">
        <v>101</v>
      </c>
      <c r="U505" t="s">
        <v>85</v>
      </c>
      <c r="V505" t="s">
        <v>60</v>
      </c>
      <c r="W505">
        <f>_xlfn.XLOOKUP(F505,tblEmployee[Employee_ID],tblEmployee[Age],"Not Found")</f>
        <v>31</v>
      </c>
      <c r="X505" t="str">
        <f>_xlfn.XLOOKUP(F505,tblEmployee[Employee_ID],tblEmployee[Gender],"Not Found")</f>
        <v>Male</v>
      </c>
      <c r="Y505">
        <f>_xlfn.XLOOKUP(F505,tblEmployee[Employee_ID],tblEmployee[Joining_Date],"")</f>
        <v>45397</v>
      </c>
      <c r="Z505">
        <f>_xlfn.XLOOKUP(H505,tblDepartment[Department],tblDepartment[Annual_Budget_INR],"")</f>
        <v>22000000</v>
      </c>
      <c r="AA505" t="str">
        <f>_xlfn.XLOOKUP(H505,tblDepartment[Department],tblDepartment[Monthly_Target],"")</f>
        <v>2500 Qualified Leads</v>
      </c>
      <c r="AB505">
        <f>_xlfn.XLOOKUP(H505,tblDepartment[Department],tblDepartment[Average_Salary_INR],"")</f>
        <v>590000</v>
      </c>
      <c r="AC505" t="str">
        <f>_xlfn.XLOOKUP(H505,tblDepartment[Department],tblDepartment[Priority_Level],"")</f>
        <v>Medium</v>
      </c>
      <c r="AD505" t="str">
        <f>_xlfn.XLOOKUP(H505,tblDepartment[Department],tblDepartment[Key_KPI],"")</f>
        <v>Lead Generation</v>
      </c>
      <c r="AE505">
        <f>_xlfn.XLOOKUP(tblMaster[[#This Row],[Shift]],tblShift[Shift_Name],tblShift[Login_Time],"")</f>
        <v>0.58333333333333337</v>
      </c>
      <c r="AF505">
        <f>_xlfn.XLOOKUP(tblMaster[[#This Row],[Shift]],tblShift[Shift_Name],tblShift[Logout_Time]," ")</f>
        <v>0.95833333333333337</v>
      </c>
      <c r="AG505">
        <f>_xlfn.XLOOKUP(tblMaster[[#This Row],[Shift]],tblShift[Shift_Name],tblShift[Standard_Working_Hours],"")</f>
        <v>8</v>
      </c>
      <c r="AH505" t="str">
        <f>_xlfn.XLOOKUP(tblMaster[[#This Row],[Attendance_Date]],tblHoliday[Holiday_Date],tblHoliday[Holiday_Name],"Working Day")</f>
        <v>Working Day</v>
      </c>
      <c r="AI505" t="str">
        <f>_xlfn.XLOOKUP(tblMaster[[#This Row],[Attendance_Date]],tblHoliday[Holiday_Date],tblHoliday[Holiday_Type],"Working Day ")</f>
        <v xml:space="preserve">Working Day </v>
      </c>
    </row>
    <row r="506" spans="1:35" hidden="1" x14ac:dyDescent="0.3">
      <c r="A506" t="s">
        <v>695</v>
      </c>
      <c r="B506" s="1">
        <v>45773</v>
      </c>
      <c r="C506" t="s">
        <v>37</v>
      </c>
      <c r="D506" t="s">
        <v>24</v>
      </c>
      <c r="E506" t="s">
        <v>38</v>
      </c>
      <c r="F506" t="s">
        <v>182</v>
      </c>
      <c r="G506" t="s">
        <v>183</v>
      </c>
      <c r="H506" t="s">
        <v>112</v>
      </c>
      <c r="I506" t="s">
        <v>113</v>
      </c>
      <c r="J506" t="s">
        <v>30</v>
      </c>
      <c r="K506" t="s">
        <v>31</v>
      </c>
      <c r="M506" s="2">
        <v>0.75</v>
      </c>
      <c r="N506">
        <v>8</v>
      </c>
      <c r="O506">
        <v>0</v>
      </c>
      <c r="P506" t="s">
        <v>32</v>
      </c>
      <c r="R506">
        <v>5</v>
      </c>
      <c r="S506" t="s">
        <v>67</v>
      </c>
      <c r="T506" t="s">
        <v>114</v>
      </c>
      <c r="U506" t="s">
        <v>55</v>
      </c>
      <c r="V506" t="s">
        <v>69</v>
      </c>
      <c r="W506">
        <f>_xlfn.XLOOKUP(F506,tblEmployee[Employee_ID],tblEmployee[Age],"Not Found")</f>
        <v>28</v>
      </c>
      <c r="X506" t="str">
        <f>_xlfn.XLOOKUP(F506,tblEmployee[Employee_ID],tblEmployee[Gender],"Not Found")</f>
        <v>Male</v>
      </c>
      <c r="Y506">
        <f>_xlfn.XLOOKUP(F506,tblEmployee[Employee_ID],tblEmployee[Joining_Date],"")</f>
        <v>44211</v>
      </c>
      <c r="Z506">
        <f>_xlfn.XLOOKUP(H506,tblDepartment[Department],tblDepartment[Annual_Budget_INR],"")</f>
        <v>42000000</v>
      </c>
      <c r="AA506" t="str">
        <f>_xlfn.XLOOKUP(H506,tblDepartment[Department],tblDepartment[Monthly_Target],"")</f>
        <v>₹2.5 Cr Monthly Sales</v>
      </c>
      <c r="AB506">
        <f>_xlfn.XLOOKUP(H506,tblDepartment[Department],tblDepartment[Average_Salary_INR],"")</f>
        <v>680000</v>
      </c>
      <c r="AC506" t="str">
        <f>_xlfn.XLOOKUP(H506,tblDepartment[Department],tblDepartment[Priority_Level],"")</f>
        <v>High</v>
      </c>
      <c r="AD506" t="str">
        <f>_xlfn.XLOOKUP(H506,tblDepartment[Department],tblDepartment[Key_KPI],"")</f>
        <v>Revenue Achievement</v>
      </c>
      <c r="AE506">
        <f>_xlfn.XLOOKUP(tblMaster[[#This Row],[Shift]],tblShift[Shift_Name],tblShift[Login_Time],"")</f>
        <v>0.25</v>
      </c>
      <c r="AF506">
        <f>_xlfn.XLOOKUP(tblMaster[[#This Row],[Shift]],tblShift[Shift_Name],tblShift[Logout_Time]," ")</f>
        <v>0.625</v>
      </c>
      <c r="AG506">
        <f>_xlfn.XLOOKUP(tblMaster[[#This Row],[Shift]],tblShift[Shift_Name],tblShift[Standard_Working_Hours],"")</f>
        <v>8</v>
      </c>
      <c r="AH506" t="str">
        <f>_xlfn.XLOOKUP(tblMaster[[#This Row],[Attendance_Date]],tblHoliday[Holiday_Date],tblHoliday[Holiday_Name],"Working Day")</f>
        <v>Working Day</v>
      </c>
      <c r="AI506" t="str">
        <f>_xlfn.XLOOKUP(tblMaster[[#This Row],[Attendance_Date]],tblHoliday[Holiday_Date],tblHoliday[Holiday_Type],"Working Day ")</f>
        <v xml:space="preserve">Working Day </v>
      </c>
    </row>
    <row r="507" spans="1:35" x14ac:dyDescent="0.3">
      <c r="A507" t="s">
        <v>696</v>
      </c>
      <c r="B507" s="3">
        <v>45669</v>
      </c>
      <c r="C507" t="s">
        <v>49</v>
      </c>
      <c r="D507" t="s">
        <v>50</v>
      </c>
      <c r="E507" t="s">
        <v>103</v>
      </c>
      <c r="F507" t="s">
        <v>88</v>
      </c>
      <c r="G507" t="s">
        <v>89</v>
      </c>
      <c r="H507" t="s">
        <v>90</v>
      </c>
      <c r="I507" t="s">
        <v>91</v>
      </c>
      <c r="J507" t="s">
        <v>43</v>
      </c>
      <c r="K507" t="s">
        <v>31</v>
      </c>
      <c r="L507" s="2">
        <v>0.375</v>
      </c>
      <c r="M507" s="2">
        <v>0.75</v>
      </c>
      <c r="N507">
        <v>8</v>
      </c>
      <c r="O507">
        <v>0</v>
      </c>
      <c r="P507" t="s">
        <v>32</v>
      </c>
      <c r="R507">
        <v>5</v>
      </c>
      <c r="S507" t="s">
        <v>33</v>
      </c>
      <c r="T507" t="s">
        <v>93</v>
      </c>
      <c r="U507" t="str">
        <f>_xlfn.XLOOKUP(tblMaster[[#This Row],[Employee_ID]],tblEmployee[Employee_ID],tblEmployee[Work_Mode]," ")</f>
        <v>Office</v>
      </c>
      <c r="V507" t="s">
        <v>60</v>
      </c>
      <c r="W507">
        <f>_xlfn.XLOOKUP(F507,tblEmployee[Employee_ID],tblEmployee[Age],"Not Found")</f>
        <v>34</v>
      </c>
      <c r="X507" t="str">
        <f>_xlfn.XLOOKUP(F507,tblEmployee[Employee_ID],tblEmployee[Gender],"Not Found")</f>
        <v>Female</v>
      </c>
      <c r="Y507">
        <f>_xlfn.XLOOKUP(F507,tblEmployee[Employee_ID],tblEmployee[Joining_Date],"")</f>
        <v>44027</v>
      </c>
      <c r="Z507">
        <f>_xlfn.XLOOKUP(H507,tblDepartment[Department],tblDepartment[Annual_Budget_INR],"")</f>
        <v>18000000</v>
      </c>
      <c r="AA507" t="str">
        <f>_xlfn.XLOOKUP(H507,tblDepartment[Department],tblDepartment[Monthly_Target],"")</f>
        <v>&lt;30 Days Hiring Cycle</v>
      </c>
      <c r="AB507">
        <f>_xlfn.XLOOKUP(H507,tblDepartment[Department],tblDepartment[Average_Salary_INR],"")</f>
        <v>560000</v>
      </c>
      <c r="AC507" t="str">
        <f>_xlfn.XLOOKUP(H507,tblDepartment[Department],tblDepartment[Priority_Level],"")</f>
        <v>Medium</v>
      </c>
      <c r="AD507" t="str">
        <f>_xlfn.XLOOKUP(H507,tblDepartment[Department],tblDepartment[Key_KPI],"")</f>
        <v>Hiring &amp; Retention</v>
      </c>
      <c r="AE507">
        <f>_xlfn.XLOOKUP(tblMaster[[#This Row],[Shift]],tblShift[Shift_Name],tblShift[Login_Time],"")</f>
        <v>0.25</v>
      </c>
      <c r="AF507">
        <f>_xlfn.XLOOKUP(tblMaster[[#This Row],[Shift]],tblShift[Shift_Name],tblShift[Logout_Time]," ")</f>
        <v>0.625</v>
      </c>
      <c r="AG507">
        <f>_xlfn.XLOOKUP(tblMaster[[#This Row],[Shift]],tblShift[Shift_Name],tblShift[Standard_Working_Hours],"")</f>
        <v>8</v>
      </c>
      <c r="AH507" t="str">
        <f>_xlfn.XLOOKUP(tblMaster[[#This Row],[Attendance_Date]],tblHoliday[Holiday_Date],tblHoliday[Holiday_Name],"Working Day")</f>
        <v>Working Day</v>
      </c>
      <c r="AI507" t="str">
        <f>_xlfn.XLOOKUP(tblMaster[[#This Row],[Attendance_Date]],tblHoliday[Holiday_Date],tblHoliday[Holiday_Type],"Working Day ")</f>
        <v xml:space="preserve">Working Day </v>
      </c>
    </row>
    <row r="508" spans="1:35" x14ac:dyDescent="0.3">
      <c r="A508" t="s">
        <v>697</v>
      </c>
      <c r="B508" s="3">
        <v>45671</v>
      </c>
      <c r="C508" t="s">
        <v>49</v>
      </c>
      <c r="D508" t="s">
        <v>50</v>
      </c>
      <c r="E508" t="s">
        <v>87</v>
      </c>
      <c r="F508" t="s">
        <v>275</v>
      </c>
      <c r="G508" t="s">
        <v>276</v>
      </c>
      <c r="H508" t="s">
        <v>64</v>
      </c>
      <c r="I508" t="s">
        <v>65</v>
      </c>
      <c r="J508" t="s">
        <v>100</v>
      </c>
      <c r="K508" t="s">
        <v>81</v>
      </c>
      <c r="P508" t="s">
        <v>135</v>
      </c>
      <c r="S508" t="s">
        <v>67</v>
      </c>
      <c r="T508" t="s">
        <v>68</v>
      </c>
      <c r="U508" t="str">
        <f>_xlfn.XLOOKUP(tblMaster[[#This Row],[Employee_ID]],tblEmployee[Employee_ID],tblEmployee[Work_Mode]," ")</f>
        <v>Hybrid</v>
      </c>
      <c r="V508" t="s">
        <v>60</v>
      </c>
      <c r="W508">
        <f>_xlfn.XLOOKUP(F508,tblEmployee[Employee_ID],tblEmployee[Age],"Not Found")</f>
        <v>29</v>
      </c>
      <c r="X508" t="str">
        <f>_xlfn.XLOOKUP(F508,tblEmployee[Employee_ID],tblEmployee[Gender],"Not Found")</f>
        <v>Male</v>
      </c>
      <c r="Y508">
        <f>_xlfn.XLOOKUP(F508,tblEmployee[Employee_ID],tblEmployee[Joining_Date],"")</f>
        <v>43692</v>
      </c>
      <c r="Z508">
        <f>_xlfn.XLOOKUP(H508,tblDepartment[Department],tblDepartment[Annual_Budget_INR],"")</f>
        <v>85000000</v>
      </c>
      <c r="AA508" t="str">
        <f>_xlfn.XLOOKUP(H508,tblDepartment[Department],tblDepartment[Monthly_Target],"")</f>
        <v>99.5% System Uptime</v>
      </c>
      <c r="AB508">
        <f>_xlfn.XLOOKUP(H508,tblDepartment[Department],tblDepartment[Average_Salary_INR],"")</f>
        <v>720000</v>
      </c>
      <c r="AC508" t="str">
        <f>_xlfn.XLOOKUP(H508,tblDepartment[Department],tblDepartment[Priority_Level],"")</f>
        <v>High</v>
      </c>
      <c r="AD508" t="str">
        <f>_xlfn.XLOOKUP(H508,tblDepartment[Department],tblDepartment[Key_KPI],"")</f>
        <v>Project Delivery</v>
      </c>
      <c r="AE508">
        <f>_xlfn.XLOOKUP(tblMaster[[#This Row],[Shift]],tblShift[Shift_Name],tblShift[Login_Time],"")</f>
        <v>0.91666666666666663</v>
      </c>
      <c r="AF508">
        <f>_xlfn.XLOOKUP(tblMaster[[#This Row],[Shift]],tblShift[Shift_Name],tblShift[Logout_Time]," ")</f>
        <v>0.29166666666666669</v>
      </c>
      <c r="AG508">
        <f>_xlfn.XLOOKUP(tblMaster[[#This Row],[Shift]],tblShift[Shift_Name],tblShift[Standard_Working_Hours],"")</f>
        <v>8</v>
      </c>
      <c r="AH508" t="str">
        <f>_xlfn.XLOOKUP(tblMaster[[#This Row],[Attendance_Date]],tblHoliday[Holiday_Date],tblHoliday[Holiday_Name],"Working Day")</f>
        <v>Pongal</v>
      </c>
      <c r="AI508" t="str">
        <f>_xlfn.XLOOKUP(tblMaster[[#This Row],[Attendance_Date]],tblHoliday[Holiday_Date],tblHoliday[Holiday_Type],"Working Day ")</f>
        <v>Festival</v>
      </c>
    </row>
    <row r="509" spans="1:35" hidden="1" x14ac:dyDescent="0.3">
      <c r="A509" t="s">
        <v>698</v>
      </c>
      <c r="B509" s="3">
        <v>45759</v>
      </c>
      <c r="C509" t="s">
        <v>37</v>
      </c>
      <c r="D509" t="s">
        <v>24</v>
      </c>
      <c r="E509" t="s">
        <v>38</v>
      </c>
      <c r="F509" t="s">
        <v>77</v>
      </c>
      <c r="G509" t="s">
        <v>78</v>
      </c>
      <c r="H509" t="s">
        <v>79</v>
      </c>
      <c r="I509" t="s">
        <v>80</v>
      </c>
      <c r="J509" t="s">
        <v>30</v>
      </c>
      <c r="K509" t="s">
        <v>81</v>
      </c>
      <c r="L509" s="2">
        <v>0.91666666666666663</v>
      </c>
      <c r="M509" s="2">
        <v>0.29166666666666669</v>
      </c>
      <c r="N509">
        <v>10</v>
      </c>
      <c r="O509">
        <v>2</v>
      </c>
      <c r="P509" t="s">
        <v>32</v>
      </c>
      <c r="S509" t="s">
        <v>33</v>
      </c>
      <c r="T509" t="s">
        <v>84</v>
      </c>
      <c r="U509" t="s">
        <v>85</v>
      </c>
      <c r="V509" t="s">
        <v>60</v>
      </c>
      <c r="W509">
        <f>_xlfn.XLOOKUP(F509,tblEmployee[Employee_ID],tblEmployee[Age],"Not Found")</f>
        <v>26</v>
      </c>
      <c r="X509" t="str">
        <f>_xlfn.XLOOKUP(F509,tblEmployee[Employee_ID],tblEmployee[Gender],"Not Found")</f>
        <v>Female</v>
      </c>
      <c r="Y509">
        <f>_xlfn.XLOOKUP(F509,tblEmployee[Employee_ID],tblEmployee[Joining_Date],"")</f>
        <v>44696</v>
      </c>
      <c r="Z509">
        <f>_xlfn.XLOOKUP(H509,tblDepartment[Department],tblDepartment[Annual_Budget_INR],"")</f>
        <v>26000000</v>
      </c>
      <c r="AA509" t="str">
        <f>_xlfn.XLOOKUP(H509,tblDepartment[Department],tblDepartment[Monthly_Target],"")</f>
        <v>100% Payroll Accuracy</v>
      </c>
      <c r="AB509">
        <f>_xlfn.XLOOKUP(H509,tblDepartment[Department],tblDepartment[Average_Salary_INR],"")</f>
        <v>640000</v>
      </c>
      <c r="AC509" t="str">
        <f>_xlfn.XLOOKUP(H509,tblDepartment[Department],tblDepartment[Priority_Level],"")</f>
        <v>High</v>
      </c>
      <c r="AD509" t="str">
        <f>_xlfn.XLOOKUP(H509,tblDepartment[Department],tblDepartment[Key_KPI],"")</f>
        <v>Financial Compliance</v>
      </c>
      <c r="AE509">
        <f>_xlfn.XLOOKUP(tblMaster[[#This Row],[Shift]],tblShift[Shift_Name],tblShift[Login_Time],"")</f>
        <v>0.91666666666666663</v>
      </c>
      <c r="AF509">
        <f>_xlfn.XLOOKUP(tblMaster[[#This Row],[Shift]],tblShift[Shift_Name],tblShift[Logout_Time]," ")</f>
        <v>0.29166666666666669</v>
      </c>
      <c r="AG509">
        <f>_xlfn.XLOOKUP(tblMaster[[#This Row],[Shift]],tblShift[Shift_Name],tblShift[Standard_Working_Hours],"")</f>
        <v>8</v>
      </c>
      <c r="AH509" t="str">
        <f>_xlfn.XLOOKUP(tblMaster[[#This Row],[Attendance_Date]],tblHoliday[Holiday_Date],tblHoliday[Holiday_Name],"Working Day")</f>
        <v>Working Day</v>
      </c>
      <c r="AI509" t="str">
        <f>_xlfn.XLOOKUP(tblMaster[[#This Row],[Attendance_Date]],tblHoliday[Holiday_Date],tblHoliday[Holiday_Type],"Working Day ")</f>
        <v xml:space="preserve">Working Day </v>
      </c>
    </row>
    <row r="510" spans="1:35" x14ac:dyDescent="0.3">
      <c r="A510" t="s">
        <v>699</v>
      </c>
      <c r="B510" s="3">
        <v>45707</v>
      </c>
      <c r="C510" t="s">
        <v>95</v>
      </c>
      <c r="D510" t="s">
        <v>50</v>
      </c>
      <c r="E510" t="s">
        <v>51</v>
      </c>
      <c r="F510" t="s">
        <v>163</v>
      </c>
      <c r="G510" t="s">
        <v>164</v>
      </c>
      <c r="H510" t="s">
        <v>112</v>
      </c>
      <c r="I510" t="s">
        <v>113</v>
      </c>
      <c r="J510" t="s">
        <v>100</v>
      </c>
      <c r="K510" t="s">
        <v>44</v>
      </c>
      <c r="L510" s="2">
        <v>0.375</v>
      </c>
      <c r="M510" s="2">
        <v>0.75</v>
      </c>
      <c r="N510">
        <v>8</v>
      </c>
      <c r="O510">
        <v>0</v>
      </c>
      <c r="P510" t="s">
        <v>32</v>
      </c>
      <c r="R510">
        <v>5</v>
      </c>
      <c r="S510" t="s">
        <v>33</v>
      </c>
      <c r="T510" t="s">
        <v>114</v>
      </c>
      <c r="U510" t="str">
        <f>_xlfn.XLOOKUP(tblMaster[[#This Row],[Employee_ID]],tblEmployee[Employee_ID],tblEmployee[Work_Mode]," ")</f>
        <v>Office</v>
      </c>
      <c r="V510" t="s">
        <v>69</v>
      </c>
      <c r="W510">
        <f>_xlfn.XLOOKUP(F510,tblEmployee[Employee_ID],tblEmployee[Age],"Not Found")</f>
        <v>25</v>
      </c>
      <c r="X510" t="str">
        <f>_xlfn.XLOOKUP(F510,tblEmployee[Employee_ID],tblEmployee[Gender],"Not Found")</f>
        <v>Male</v>
      </c>
      <c r="Y510">
        <f>_xlfn.XLOOKUP(F510,tblEmployee[Employee_ID],tblEmployee[Joining_Date],"")</f>
        <v>44301</v>
      </c>
      <c r="Z510">
        <f>_xlfn.XLOOKUP(H510,tblDepartment[Department],tblDepartment[Annual_Budget_INR],"")</f>
        <v>42000000</v>
      </c>
      <c r="AA510" t="str">
        <f>_xlfn.XLOOKUP(H510,tblDepartment[Department],tblDepartment[Monthly_Target],"")</f>
        <v>₹2.5 Cr Monthly Sales</v>
      </c>
      <c r="AB510">
        <f>_xlfn.XLOOKUP(H510,tblDepartment[Department],tblDepartment[Average_Salary_INR],"")</f>
        <v>680000</v>
      </c>
      <c r="AC510" t="str">
        <f>_xlfn.XLOOKUP(H510,tblDepartment[Department],tblDepartment[Priority_Level],"")</f>
        <v>High</v>
      </c>
      <c r="AD510" t="str">
        <f>_xlfn.XLOOKUP(H510,tblDepartment[Department],tblDepartment[Key_KPI],"")</f>
        <v>Revenue Achievement</v>
      </c>
      <c r="AE510">
        <f>_xlfn.XLOOKUP(tblMaster[[#This Row],[Shift]],tblShift[Shift_Name],tblShift[Login_Time],"")</f>
        <v>0.41666666666666669</v>
      </c>
      <c r="AF510">
        <f>_xlfn.XLOOKUP(tblMaster[[#This Row],[Shift]],tblShift[Shift_Name],tblShift[Logout_Time]," ")</f>
        <v>0.79166666666666663</v>
      </c>
      <c r="AG510">
        <f>_xlfn.XLOOKUP(tblMaster[[#This Row],[Shift]],tblShift[Shift_Name],tblShift[Standard_Working_Hours],"")</f>
        <v>8</v>
      </c>
      <c r="AH510" t="str">
        <f>_xlfn.XLOOKUP(tblMaster[[#This Row],[Attendance_Date]],tblHoliday[Holiday_Date],tblHoliday[Holiday_Name],"Working Day")</f>
        <v>Working Day</v>
      </c>
      <c r="AI510" t="str">
        <f>_xlfn.XLOOKUP(tblMaster[[#This Row],[Attendance_Date]],tblHoliday[Holiday_Date],tblHoliday[Holiday_Type],"Working Day ")</f>
        <v xml:space="preserve">Working Day </v>
      </c>
    </row>
    <row r="511" spans="1:35" hidden="1" x14ac:dyDescent="0.3">
      <c r="A511" t="s">
        <v>700</v>
      </c>
      <c r="B511" s="1">
        <v>45822</v>
      </c>
      <c r="C511" t="s">
        <v>23</v>
      </c>
      <c r="D511" t="s">
        <v>24</v>
      </c>
      <c r="E511" t="s">
        <v>38</v>
      </c>
      <c r="F511" t="s">
        <v>195</v>
      </c>
      <c r="G511" t="s">
        <v>196</v>
      </c>
      <c r="H511" t="s">
        <v>98</v>
      </c>
      <c r="I511" t="s">
        <v>99</v>
      </c>
      <c r="J511" t="s">
        <v>43</v>
      </c>
      <c r="K511" t="s">
        <v>31</v>
      </c>
      <c r="L511" s="2">
        <v>0.375</v>
      </c>
      <c r="M511" s="2">
        <v>0.75</v>
      </c>
      <c r="N511">
        <v>8</v>
      </c>
      <c r="O511">
        <v>0</v>
      </c>
      <c r="P511" t="s">
        <v>32</v>
      </c>
      <c r="S511" t="s">
        <v>45</v>
      </c>
      <c r="T511" t="s">
        <v>101</v>
      </c>
      <c r="U511" t="s">
        <v>85</v>
      </c>
      <c r="V511" t="s">
        <v>35</v>
      </c>
      <c r="W511">
        <f>_xlfn.XLOOKUP(F511,tblEmployee[Employee_ID],tblEmployee[Age],"Not Found")</f>
        <v>24</v>
      </c>
      <c r="X511" t="str">
        <f>_xlfn.XLOOKUP(F511,tblEmployee[Employee_ID],tblEmployee[Gender],"Not Found")</f>
        <v>Male</v>
      </c>
      <c r="Y511">
        <f>_xlfn.XLOOKUP(F511,tblEmployee[Employee_ID],tblEmployee[Joining_Date],"")</f>
        <v>45550</v>
      </c>
      <c r="Z511">
        <f>_xlfn.XLOOKUP(H511,tblDepartment[Department],tblDepartment[Annual_Budget_INR],"")</f>
        <v>22000000</v>
      </c>
      <c r="AA511" t="str">
        <f>_xlfn.XLOOKUP(H511,tblDepartment[Department],tblDepartment[Monthly_Target],"")</f>
        <v>2500 Qualified Leads</v>
      </c>
      <c r="AB511">
        <f>_xlfn.XLOOKUP(H511,tblDepartment[Department],tblDepartment[Average_Salary_INR],"")</f>
        <v>590000</v>
      </c>
      <c r="AC511" t="str">
        <f>_xlfn.XLOOKUP(H511,tblDepartment[Department],tblDepartment[Priority_Level],"")</f>
        <v>Medium</v>
      </c>
      <c r="AD511" t="str">
        <f>_xlfn.XLOOKUP(H511,tblDepartment[Department],tblDepartment[Key_KPI],"")</f>
        <v>Lead Generation</v>
      </c>
      <c r="AE511">
        <f>_xlfn.XLOOKUP(tblMaster[[#This Row],[Shift]],tblShift[Shift_Name],tblShift[Login_Time],"")</f>
        <v>0.25</v>
      </c>
      <c r="AF511">
        <f>_xlfn.XLOOKUP(tblMaster[[#This Row],[Shift]],tblShift[Shift_Name],tblShift[Logout_Time]," ")</f>
        <v>0.625</v>
      </c>
      <c r="AG511">
        <f>_xlfn.XLOOKUP(tblMaster[[#This Row],[Shift]],tblShift[Shift_Name],tblShift[Standard_Working_Hours],"")</f>
        <v>8</v>
      </c>
      <c r="AH511" t="str">
        <f>_xlfn.XLOOKUP(tblMaster[[#This Row],[Attendance_Date]],tblHoliday[Holiday_Date],tblHoliday[Holiday_Name],"Working Day")</f>
        <v>Working Day</v>
      </c>
      <c r="AI511" t="str">
        <f>_xlfn.XLOOKUP(tblMaster[[#This Row],[Attendance_Date]],tblHoliday[Holiday_Date],tblHoliday[Holiday_Type],"Working Day ")</f>
        <v xml:space="preserve">Working Day </v>
      </c>
    </row>
    <row r="512" spans="1:35" hidden="1" x14ac:dyDescent="0.3">
      <c r="A512" t="s">
        <v>701</v>
      </c>
      <c r="B512" s="1">
        <v>45772</v>
      </c>
      <c r="C512" t="s">
        <v>37</v>
      </c>
      <c r="D512" t="s">
        <v>24</v>
      </c>
      <c r="E512" t="s">
        <v>119</v>
      </c>
      <c r="F512" t="s">
        <v>243</v>
      </c>
      <c r="G512" t="s">
        <v>244</v>
      </c>
      <c r="H512" t="s">
        <v>90</v>
      </c>
      <c r="I512" t="s">
        <v>91</v>
      </c>
      <c r="J512" t="s">
        <v>30</v>
      </c>
      <c r="K512" t="s">
        <v>54</v>
      </c>
      <c r="L512" s="2">
        <v>0.375</v>
      </c>
      <c r="M512" s="2">
        <v>0.75</v>
      </c>
      <c r="N512">
        <v>8</v>
      </c>
      <c r="O512">
        <v>0</v>
      </c>
      <c r="P512" t="s">
        <v>32</v>
      </c>
      <c r="R512">
        <v>4</v>
      </c>
      <c r="S512" t="s">
        <v>92</v>
      </c>
      <c r="T512" t="s">
        <v>93</v>
      </c>
      <c r="U512" t="s">
        <v>47</v>
      </c>
      <c r="V512" t="s">
        <v>35</v>
      </c>
      <c r="W512">
        <f>_xlfn.XLOOKUP(F512,tblEmployee[Employee_ID],tblEmployee[Age],"Not Found")</f>
        <v>30</v>
      </c>
      <c r="X512" t="str">
        <f>_xlfn.XLOOKUP(F512,tblEmployee[Employee_ID],tblEmployee[Gender],"Not Found")</f>
        <v>Female</v>
      </c>
      <c r="Y512">
        <f>_xlfn.XLOOKUP(F512,tblEmployee[Employee_ID],tblEmployee[Joining_Date],"")</f>
        <v>44089</v>
      </c>
      <c r="Z512">
        <f>_xlfn.XLOOKUP(H512,tblDepartment[Department],tblDepartment[Annual_Budget_INR],"")</f>
        <v>18000000</v>
      </c>
      <c r="AA512" t="str">
        <f>_xlfn.XLOOKUP(H512,tblDepartment[Department],tblDepartment[Monthly_Target],"")</f>
        <v>&lt;30 Days Hiring Cycle</v>
      </c>
      <c r="AB512">
        <f>_xlfn.XLOOKUP(H512,tblDepartment[Department],tblDepartment[Average_Salary_INR],"")</f>
        <v>560000</v>
      </c>
      <c r="AC512" t="str">
        <f>_xlfn.XLOOKUP(H512,tblDepartment[Department],tblDepartment[Priority_Level],"")</f>
        <v>Medium</v>
      </c>
      <c r="AD512" t="str">
        <f>_xlfn.XLOOKUP(H512,tblDepartment[Department],tblDepartment[Key_KPI],"")</f>
        <v>Hiring &amp; Retention</v>
      </c>
      <c r="AE512">
        <f>_xlfn.XLOOKUP(tblMaster[[#This Row],[Shift]],tblShift[Shift_Name],tblShift[Login_Time],"")</f>
        <v>0.58333333333333337</v>
      </c>
      <c r="AF512">
        <f>_xlfn.XLOOKUP(tblMaster[[#This Row],[Shift]],tblShift[Shift_Name],tblShift[Logout_Time]," ")</f>
        <v>0.95833333333333337</v>
      </c>
      <c r="AG512">
        <f>_xlfn.XLOOKUP(tblMaster[[#This Row],[Shift]],tblShift[Shift_Name],tblShift[Standard_Working_Hours],"")</f>
        <v>8</v>
      </c>
      <c r="AH512" t="str">
        <f>_xlfn.XLOOKUP(tblMaster[[#This Row],[Attendance_Date]],tblHoliday[Holiday_Date],tblHoliday[Holiday_Name],"Working Day")</f>
        <v>Working Day</v>
      </c>
      <c r="AI512" t="str">
        <f>_xlfn.XLOOKUP(tblMaster[[#This Row],[Attendance_Date]],tblHoliday[Holiday_Date],tblHoliday[Holiday_Type],"Working Day ")</f>
        <v xml:space="preserve">Working Day </v>
      </c>
    </row>
    <row r="513" spans="1:35" x14ac:dyDescent="0.3">
      <c r="A513" t="s">
        <v>702</v>
      </c>
      <c r="B513" s="3">
        <v>45753</v>
      </c>
      <c r="C513" t="s">
        <v>37</v>
      </c>
      <c r="D513" t="s">
        <v>24</v>
      </c>
      <c r="E513" t="s">
        <v>103</v>
      </c>
      <c r="F513" t="s">
        <v>133</v>
      </c>
      <c r="G513" t="s">
        <v>134</v>
      </c>
      <c r="H513" t="s">
        <v>98</v>
      </c>
      <c r="I513" t="s">
        <v>99</v>
      </c>
      <c r="J513" t="s">
        <v>66</v>
      </c>
      <c r="K513" t="s">
        <v>44</v>
      </c>
      <c r="L513" s="2">
        <v>0.375</v>
      </c>
      <c r="M513" s="2">
        <v>0.75</v>
      </c>
      <c r="N513">
        <v>8</v>
      </c>
      <c r="O513">
        <v>0</v>
      </c>
      <c r="P513" t="s">
        <v>32</v>
      </c>
      <c r="S513" t="s">
        <v>33</v>
      </c>
      <c r="T513" t="s">
        <v>101</v>
      </c>
      <c r="U513" t="str">
        <f>_xlfn.XLOOKUP(tblMaster[[#This Row],[Employee_ID]],tblEmployee[Employee_ID],tblEmployee[Work_Mode]," ")</f>
        <v>Remote</v>
      </c>
      <c r="V513" t="s">
        <v>60</v>
      </c>
      <c r="W513">
        <f>_xlfn.XLOOKUP(F513,tblEmployee[Employee_ID],tblEmployee[Age],"Not Found")</f>
        <v>27</v>
      </c>
      <c r="X513" t="str">
        <f>_xlfn.XLOOKUP(F513,tblEmployee[Employee_ID],tblEmployee[Gender],"Not Found")</f>
        <v>Male</v>
      </c>
      <c r="Y513">
        <f>_xlfn.XLOOKUP(F513,tblEmployee[Employee_ID],tblEmployee[Joining_Date],"")</f>
        <v>45458</v>
      </c>
      <c r="Z513">
        <f>_xlfn.XLOOKUP(H513,tblDepartment[Department],tblDepartment[Annual_Budget_INR],"")</f>
        <v>22000000</v>
      </c>
      <c r="AA513" t="str">
        <f>_xlfn.XLOOKUP(H513,tblDepartment[Department],tblDepartment[Monthly_Target],"")</f>
        <v>2500 Qualified Leads</v>
      </c>
      <c r="AB513">
        <f>_xlfn.XLOOKUP(H513,tblDepartment[Department],tblDepartment[Average_Salary_INR],"")</f>
        <v>590000</v>
      </c>
      <c r="AC513" t="str">
        <f>_xlfn.XLOOKUP(H513,tblDepartment[Department],tblDepartment[Priority_Level],"")</f>
        <v>Medium</v>
      </c>
      <c r="AD513" t="str">
        <f>_xlfn.XLOOKUP(H513,tblDepartment[Department],tblDepartment[Key_KPI],"")</f>
        <v>Lead Generation</v>
      </c>
      <c r="AE513">
        <f>_xlfn.XLOOKUP(tblMaster[[#This Row],[Shift]],tblShift[Shift_Name],tblShift[Login_Time],"")</f>
        <v>0.41666666666666669</v>
      </c>
      <c r="AF513">
        <f>_xlfn.XLOOKUP(tblMaster[[#This Row],[Shift]],tblShift[Shift_Name],tblShift[Logout_Time]," ")</f>
        <v>0.79166666666666663</v>
      </c>
      <c r="AG513">
        <f>_xlfn.XLOOKUP(tblMaster[[#This Row],[Shift]],tblShift[Shift_Name],tblShift[Standard_Working_Hours],"")</f>
        <v>8</v>
      </c>
      <c r="AH513" t="str">
        <f>_xlfn.XLOOKUP(tblMaster[[#This Row],[Attendance_Date]],tblHoliday[Holiday_Date],tblHoliday[Holiday_Name],"Working Day")</f>
        <v>Working Day</v>
      </c>
      <c r="AI513" t="str">
        <f>_xlfn.XLOOKUP(tblMaster[[#This Row],[Attendance_Date]],tblHoliday[Holiday_Date],tblHoliday[Holiday_Type],"Working Day ")</f>
        <v xml:space="preserve">Working Day </v>
      </c>
    </row>
    <row r="514" spans="1:35" hidden="1" x14ac:dyDescent="0.3">
      <c r="A514" t="s">
        <v>703</v>
      </c>
      <c r="B514" s="1">
        <v>45716</v>
      </c>
      <c r="C514" t="s">
        <v>95</v>
      </c>
      <c r="D514" t="s">
        <v>50</v>
      </c>
      <c r="E514" t="s">
        <v>119</v>
      </c>
      <c r="F514" t="s">
        <v>309</v>
      </c>
      <c r="G514" t="s">
        <v>310</v>
      </c>
      <c r="H514" t="s">
        <v>28</v>
      </c>
      <c r="I514" t="s">
        <v>29</v>
      </c>
      <c r="J514" t="s">
        <v>43</v>
      </c>
      <c r="K514" t="s">
        <v>75</v>
      </c>
      <c r="L514" s="2">
        <v>0.375</v>
      </c>
      <c r="M514" s="2">
        <v>0.75</v>
      </c>
      <c r="N514">
        <v>8</v>
      </c>
      <c r="O514">
        <v>0</v>
      </c>
      <c r="P514" t="s">
        <v>32</v>
      </c>
      <c r="R514">
        <v>5</v>
      </c>
      <c r="S514" t="s">
        <v>92</v>
      </c>
      <c r="T514" t="s">
        <v>34</v>
      </c>
      <c r="U514" t="s">
        <v>55</v>
      </c>
      <c r="V514" t="s">
        <v>60</v>
      </c>
      <c r="W514">
        <f>_xlfn.XLOOKUP(F514,tblEmployee[Employee_ID],tblEmployee[Age],"Not Found")</f>
        <v>39</v>
      </c>
      <c r="X514" t="str">
        <f>_xlfn.XLOOKUP(F514,tblEmployee[Employee_ID],tblEmployee[Gender],"Not Found")</f>
        <v>Male</v>
      </c>
      <c r="Y514">
        <f>_xlfn.XLOOKUP(F514,tblEmployee[Employee_ID],tblEmployee[Joining_Date],"")</f>
        <v>43449</v>
      </c>
      <c r="Z514">
        <f>_xlfn.XLOOKUP(H514,tblDepartment[Department],tblDepartment[Annual_Budget_INR],"")</f>
        <v>24000000</v>
      </c>
      <c r="AA514" t="str">
        <f>_xlfn.XLOOKUP(H514,tblDepartment[Department],tblDepartment[Monthly_Target],"")</f>
        <v>90% Customer Satisfaction</v>
      </c>
      <c r="AB514">
        <f>_xlfn.XLOOKUP(H514,tblDepartment[Department],tblDepartment[Average_Salary_INR],"")</f>
        <v>520000</v>
      </c>
      <c r="AC514" t="str">
        <f>_xlfn.XLOOKUP(H514,tblDepartment[Department],tblDepartment[Priority_Level],"")</f>
        <v>High</v>
      </c>
      <c r="AD514" t="str">
        <f>_xlfn.XLOOKUP(H514,tblDepartment[Department],tblDepartment[Key_KPI],"")</f>
        <v>Customer Satisfaction</v>
      </c>
      <c r="AE514">
        <f>_xlfn.XLOOKUP(tblMaster[[#This Row],[Shift]],tblShift[Shift_Name],tblShift[Login_Time],"")</f>
        <v>0.375</v>
      </c>
      <c r="AF514">
        <f>_xlfn.XLOOKUP(tblMaster[[#This Row],[Shift]],tblShift[Shift_Name],tblShift[Logout_Time]," ")</f>
        <v>0.75</v>
      </c>
      <c r="AG514">
        <f>_xlfn.XLOOKUP(tblMaster[[#This Row],[Shift]],tblShift[Shift_Name],tblShift[Standard_Working_Hours],"")</f>
        <v>8</v>
      </c>
      <c r="AH514" t="str">
        <f>_xlfn.XLOOKUP(tblMaster[[#This Row],[Attendance_Date]],tblHoliday[Holiday_Date],tblHoliday[Holiday_Name],"Working Day")</f>
        <v>Working Day</v>
      </c>
      <c r="AI514" t="str">
        <f>_xlfn.XLOOKUP(tblMaster[[#This Row],[Attendance_Date]],tblHoliday[Holiday_Date],tblHoliday[Holiday_Type],"Working Day ")</f>
        <v xml:space="preserve">Working Day </v>
      </c>
    </row>
    <row r="515" spans="1:35" hidden="1" x14ac:dyDescent="0.3">
      <c r="A515" t="s">
        <v>704</v>
      </c>
      <c r="B515" s="1">
        <v>45816</v>
      </c>
      <c r="C515" t="s">
        <v>23</v>
      </c>
      <c r="D515" t="s">
        <v>24</v>
      </c>
      <c r="E515" t="s">
        <v>103</v>
      </c>
      <c r="F515" t="s">
        <v>148</v>
      </c>
      <c r="G515" t="s">
        <v>149</v>
      </c>
      <c r="H515" t="s">
        <v>112</v>
      </c>
      <c r="I515" t="s">
        <v>113</v>
      </c>
      <c r="J515" t="s">
        <v>43</v>
      </c>
      <c r="K515" t="s">
        <v>31</v>
      </c>
      <c r="L515" s="2">
        <v>0.3888888888888889</v>
      </c>
      <c r="M515" s="2">
        <v>0.75</v>
      </c>
      <c r="N515">
        <v>8</v>
      </c>
      <c r="O515">
        <v>0</v>
      </c>
      <c r="P515" t="s">
        <v>32</v>
      </c>
      <c r="R515">
        <v>5</v>
      </c>
      <c r="S515" t="s">
        <v>67</v>
      </c>
      <c r="T515" t="s">
        <v>114</v>
      </c>
      <c r="U515" t="s">
        <v>55</v>
      </c>
      <c r="W515">
        <f>_xlfn.XLOOKUP(F515,tblEmployee[Employee_ID],tblEmployee[Age],"Not Found")</f>
        <v>31</v>
      </c>
      <c r="X515" t="str">
        <f>_xlfn.XLOOKUP(F515,tblEmployee[Employee_ID],tblEmployee[Gender],"Not Found")</f>
        <v>Male</v>
      </c>
      <c r="Y515">
        <f>_xlfn.XLOOKUP(F515,tblEmployee[Employee_ID],tblEmployee[Joining_Date],"")</f>
        <v>44484</v>
      </c>
      <c r="Z515">
        <f>_xlfn.XLOOKUP(H515,tblDepartment[Department],tblDepartment[Annual_Budget_INR],"")</f>
        <v>42000000</v>
      </c>
      <c r="AA515" t="str">
        <f>_xlfn.XLOOKUP(H515,tblDepartment[Department],tblDepartment[Monthly_Target],"")</f>
        <v>₹2.5 Cr Monthly Sales</v>
      </c>
      <c r="AB515">
        <f>_xlfn.XLOOKUP(H515,tblDepartment[Department],tblDepartment[Average_Salary_INR],"")</f>
        <v>680000</v>
      </c>
      <c r="AC515" t="str">
        <f>_xlfn.XLOOKUP(H515,tblDepartment[Department],tblDepartment[Priority_Level],"")</f>
        <v>High</v>
      </c>
      <c r="AD515" t="str">
        <f>_xlfn.XLOOKUP(H515,tblDepartment[Department],tblDepartment[Key_KPI],"")</f>
        <v>Revenue Achievement</v>
      </c>
      <c r="AE515">
        <f>_xlfn.XLOOKUP(tblMaster[[#This Row],[Shift]],tblShift[Shift_Name],tblShift[Login_Time],"")</f>
        <v>0.25</v>
      </c>
      <c r="AF515">
        <f>_xlfn.XLOOKUP(tblMaster[[#This Row],[Shift]],tblShift[Shift_Name],tblShift[Logout_Time]," ")</f>
        <v>0.625</v>
      </c>
      <c r="AG515">
        <f>_xlfn.XLOOKUP(tblMaster[[#This Row],[Shift]],tblShift[Shift_Name],tblShift[Standard_Working_Hours],"")</f>
        <v>8</v>
      </c>
      <c r="AH515" t="str">
        <f>_xlfn.XLOOKUP(tblMaster[[#This Row],[Attendance_Date]],tblHoliday[Holiday_Date],tblHoliday[Holiday_Name],"Working Day")</f>
        <v>Working Day</v>
      </c>
      <c r="AI515" t="str">
        <f>_xlfn.XLOOKUP(tblMaster[[#This Row],[Attendance_Date]],tblHoliday[Holiday_Date],tblHoliday[Holiday_Type],"Working Day ")</f>
        <v xml:space="preserve">Working Day </v>
      </c>
    </row>
    <row r="516" spans="1:35" hidden="1" x14ac:dyDescent="0.3">
      <c r="A516" t="s">
        <v>705</v>
      </c>
      <c r="B516" s="3">
        <v>45750</v>
      </c>
      <c r="C516" t="s">
        <v>37</v>
      </c>
      <c r="D516" t="s">
        <v>24</v>
      </c>
      <c r="E516" t="s">
        <v>25</v>
      </c>
      <c r="F516" t="s">
        <v>148</v>
      </c>
      <c r="G516" t="s">
        <v>149</v>
      </c>
      <c r="H516" t="s">
        <v>112</v>
      </c>
      <c r="I516" t="s">
        <v>113</v>
      </c>
      <c r="J516" t="s">
        <v>43</v>
      </c>
      <c r="K516" t="s">
        <v>54</v>
      </c>
      <c r="L516" s="2">
        <v>0.375</v>
      </c>
      <c r="M516" s="2">
        <v>0.75</v>
      </c>
      <c r="N516">
        <v>8</v>
      </c>
      <c r="O516">
        <v>0</v>
      </c>
      <c r="P516" t="s">
        <v>32</v>
      </c>
      <c r="R516">
        <v>3</v>
      </c>
      <c r="S516" t="s">
        <v>92</v>
      </c>
      <c r="T516" t="s">
        <v>114</v>
      </c>
      <c r="U516" t="s">
        <v>55</v>
      </c>
      <c r="V516" t="s">
        <v>69</v>
      </c>
      <c r="W516">
        <f>_xlfn.XLOOKUP(F516,tblEmployee[Employee_ID],tblEmployee[Age],"Not Found")</f>
        <v>31</v>
      </c>
      <c r="X516" t="str">
        <f>_xlfn.XLOOKUP(F516,tblEmployee[Employee_ID],tblEmployee[Gender],"Not Found")</f>
        <v>Male</v>
      </c>
      <c r="Y516">
        <f>_xlfn.XLOOKUP(F516,tblEmployee[Employee_ID],tblEmployee[Joining_Date],"")</f>
        <v>44484</v>
      </c>
      <c r="Z516">
        <f>_xlfn.XLOOKUP(H516,tblDepartment[Department],tblDepartment[Annual_Budget_INR],"")</f>
        <v>42000000</v>
      </c>
      <c r="AA516" t="str">
        <f>_xlfn.XLOOKUP(H516,tblDepartment[Department],tblDepartment[Monthly_Target],"")</f>
        <v>₹2.5 Cr Monthly Sales</v>
      </c>
      <c r="AB516">
        <f>_xlfn.XLOOKUP(H516,tblDepartment[Department],tblDepartment[Average_Salary_INR],"")</f>
        <v>680000</v>
      </c>
      <c r="AC516" t="str">
        <f>_xlfn.XLOOKUP(H516,tblDepartment[Department],tblDepartment[Priority_Level],"")</f>
        <v>High</v>
      </c>
      <c r="AD516" t="str">
        <f>_xlfn.XLOOKUP(H516,tblDepartment[Department],tblDepartment[Key_KPI],"")</f>
        <v>Revenue Achievement</v>
      </c>
      <c r="AE516">
        <f>_xlfn.XLOOKUP(tblMaster[[#This Row],[Shift]],tblShift[Shift_Name],tblShift[Login_Time],"")</f>
        <v>0.58333333333333337</v>
      </c>
      <c r="AF516">
        <f>_xlfn.XLOOKUP(tblMaster[[#This Row],[Shift]],tblShift[Shift_Name],tblShift[Logout_Time]," ")</f>
        <v>0.95833333333333337</v>
      </c>
      <c r="AG516">
        <f>_xlfn.XLOOKUP(tblMaster[[#This Row],[Shift]],tblShift[Shift_Name],tblShift[Standard_Working_Hours],"")</f>
        <v>8</v>
      </c>
      <c r="AH516" t="str">
        <f>_xlfn.XLOOKUP(tblMaster[[#This Row],[Attendance_Date]],tblHoliday[Holiday_Date],tblHoliday[Holiday_Name],"Working Day")</f>
        <v>Working Day</v>
      </c>
      <c r="AI516" t="str">
        <f>_xlfn.XLOOKUP(tblMaster[[#This Row],[Attendance_Date]],tblHoliday[Holiday_Date],tblHoliday[Holiday_Type],"Working Day ")</f>
        <v xml:space="preserve">Working Day </v>
      </c>
    </row>
    <row r="517" spans="1:35" hidden="1" x14ac:dyDescent="0.3">
      <c r="A517" t="s">
        <v>706</v>
      </c>
      <c r="B517" s="3">
        <v>45708</v>
      </c>
      <c r="C517" t="s">
        <v>95</v>
      </c>
      <c r="D517" t="s">
        <v>50</v>
      </c>
      <c r="E517" t="s">
        <v>25</v>
      </c>
      <c r="F517" t="s">
        <v>231</v>
      </c>
      <c r="G517" t="s">
        <v>232</v>
      </c>
      <c r="H517" t="s">
        <v>98</v>
      </c>
      <c r="I517" t="s">
        <v>99</v>
      </c>
      <c r="J517" t="s">
        <v>74</v>
      </c>
      <c r="K517" t="s">
        <v>75</v>
      </c>
      <c r="P517" t="s">
        <v>82</v>
      </c>
      <c r="S517" t="s">
        <v>45</v>
      </c>
      <c r="T517" t="s">
        <v>101</v>
      </c>
      <c r="U517" t="s">
        <v>55</v>
      </c>
      <c r="V517" t="s">
        <v>35</v>
      </c>
      <c r="W517">
        <f>_xlfn.XLOOKUP(F517,tblEmployee[Employee_ID],tblEmployee[Age],"Not Found")</f>
        <v>31</v>
      </c>
      <c r="X517" t="str">
        <f>_xlfn.XLOOKUP(F517,tblEmployee[Employee_ID],tblEmployee[Gender],"Not Found")</f>
        <v>Male</v>
      </c>
      <c r="Y517">
        <f>_xlfn.XLOOKUP(F517,tblEmployee[Employee_ID],tblEmployee[Joining_Date],"")</f>
        <v>45397</v>
      </c>
      <c r="Z517">
        <f>_xlfn.XLOOKUP(H517,tblDepartment[Department],tblDepartment[Annual_Budget_INR],"")</f>
        <v>22000000</v>
      </c>
      <c r="AA517" t="str">
        <f>_xlfn.XLOOKUP(H517,tblDepartment[Department],tblDepartment[Monthly_Target],"")</f>
        <v>2500 Qualified Leads</v>
      </c>
      <c r="AB517">
        <f>_xlfn.XLOOKUP(H517,tblDepartment[Department],tblDepartment[Average_Salary_INR],"")</f>
        <v>590000</v>
      </c>
      <c r="AC517" t="str">
        <f>_xlfn.XLOOKUP(H517,tblDepartment[Department],tblDepartment[Priority_Level],"")</f>
        <v>Medium</v>
      </c>
      <c r="AD517" t="str">
        <f>_xlfn.XLOOKUP(H517,tblDepartment[Department],tblDepartment[Key_KPI],"")</f>
        <v>Lead Generation</v>
      </c>
      <c r="AE517">
        <f>_xlfn.XLOOKUP(tblMaster[[#This Row],[Shift]],tblShift[Shift_Name],tblShift[Login_Time],"")</f>
        <v>0.375</v>
      </c>
      <c r="AF517">
        <f>_xlfn.XLOOKUP(tblMaster[[#This Row],[Shift]],tblShift[Shift_Name],tblShift[Logout_Time]," ")</f>
        <v>0.75</v>
      </c>
      <c r="AG517">
        <f>_xlfn.XLOOKUP(tblMaster[[#This Row],[Shift]],tblShift[Shift_Name],tblShift[Standard_Working_Hours],"")</f>
        <v>8</v>
      </c>
      <c r="AH517" t="str">
        <f>_xlfn.XLOOKUP(tblMaster[[#This Row],[Attendance_Date]],tblHoliday[Holiday_Date],tblHoliday[Holiday_Name],"Working Day")</f>
        <v>Working Day</v>
      </c>
      <c r="AI517" t="str">
        <f>_xlfn.XLOOKUP(tblMaster[[#This Row],[Attendance_Date]],tblHoliday[Holiday_Date],tblHoliday[Holiday_Type],"Working Day ")</f>
        <v xml:space="preserve">Working Day </v>
      </c>
    </row>
    <row r="518" spans="1:35" hidden="1" x14ac:dyDescent="0.3">
      <c r="A518" t="s">
        <v>707</v>
      </c>
      <c r="B518" s="3">
        <v>45765</v>
      </c>
      <c r="C518" t="s">
        <v>37</v>
      </c>
      <c r="D518" t="s">
        <v>24</v>
      </c>
      <c r="E518" t="s">
        <v>119</v>
      </c>
      <c r="F518" t="s">
        <v>127</v>
      </c>
      <c r="G518" t="s">
        <v>128</v>
      </c>
      <c r="H518" t="s">
        <v>90</v>
      </c>
      <c r="I518" t="s">
        <v>91</v>
      </c>
      <c r="J518" t="s">
        <v>66</v>
      </c>
      <c r="K518" t="s">
        <v>81</v>
      </c>
      <c r="L518" s="2">
        <v>0.91666666666666663</v>
      </c>
      <c r="M518" s="2">
        <v>0.29166666666666669</v>
      </c>
      <c r="N518">
        <v>8.5</v>
      </c>
      <c r="O518">
        <v>0.5</v>
      </c>
      <c r="P518" t="s">
        <v>32</v>
      </c>
      <c r="R518">
        <v>3</v>
      </c>
      <c r="S518" t="s">
        <v>45</v>
      </c>
      <c r="T518" t="s">
        <v>93</v>
      </c>
      <c r="U518" t="s">
        <v>47</v>
      </c>
      <c r="V518" t="s">
        <v>60</v>
      </c>
      <c r="W518">
        <f>_xlfn.XLOOKUP(F518,tblEmployee[Employee_ID],tblEmployee[Age],"Not Found")</f>
        <v>38</v>
      </c>
      <c r="X518" t="str">
        <f>_xlfn.XLOOKUP(F518,tblEmployee[Employee_ID],tblEmployee[Gender],"Not Found")</f>
        <v>Female</v>
      </c>
      <c r="Y518">
        <f>_xlfn.XLOOKUP(F518,tblEmployee[Employee_ID],tblEmployee[Joining_Date],"")</f>
        <v>43966</v>
      </c>
      <c r="Z518">
        <f>_xlfn.XLOOKUP(H518,tblDepartment[Department],tblDepartment[Annual_Budget_INR],"")</f>
        <v>18000000</v>
      </c>
      <c r="AA518" t="str">
        <f>_xlfn.XLOOKUP(H518,tblDepartment[Department],tblDepartment[Monthly_Target],"")</f>
        <v>&lt;30 Days Hiring Cycle</v>
      </c>
      <c r="AB518">
        <f>_xlfn.XLOOKUP(H518,tblDepartment[Department],tblDepartment[Average_Salary_INR],"")</f>
        <v>560000</v>
      </c>
      <c r="AC518" t="str">
        <f>_xlfn.XLOOKUP(H518,tblDepartment[Department],tblDepartment[Priority_Level],"")</f>
        <v>Medium</v>
      </c>
      <c r="AD518" t="str">
        <f>_xlfn.XLOOKUP(H518,tblDepartment[Department],tblDepartment[Key_KPI],"")</f>
        <v>Hiring &amp; Retention</v>
      </c>
      <c r="AE518">
        <f>_xlfn.XLOOKUP(tblMaster[[#This Row],[Shift]],tblShift[Shift_Name],tblShift[Login_Time],"")</f>
        <v>0.91666666666666663</v>
      </c>
      <c r="AF518">
        <f>_xlfn.XLOOKUP(tblMaster[[#This Row],[Shift]],tblShift[Shift_Name],tblShift[Logout_Time]," ")</f>
        <v>0.29166666666666669</v>
      </c>
      <c r="AG518">
        <f>_xlfn.XLOOKUP(tblMaster[[#This Row],[Shift]],tblShift[Shift_Name],tblShift[Standard_Working_Hours],"")</f>
        <v>8</v>
      </c>
      <c r="AH518" t="str">
        <f>_xlfn.XLOOKUP(tblMaster[[#This Row],[Attendance_Date]],tblHoliday[Holiday_Date],tblHoliday[Holiday_Name],"Working Day")</f>
        <v>Good Friday</v>
      </c>
      <c r="AI518" t="str">
        <f>_xlfn.XLOOKUP(tblMaster[[#This Row],[Attendance_Date]],tblHoliday[Holiday_Date],tblHoliday[Holiday_Type],"Working Day ")</f>
        <v>Restricted</v>
      </c>
    </row>
    <row r="519" spans="1:35" hidden="1" x14ac:dyDescent="0.3">
      <c r="A519" t="s">
        <v>708</v>
      </c>
      <c r="B519" s="3">
        <v>45673</v>
      </c>
      <c r="C519" t="s">
        <v>49</v>
      </c>
      <c r="D519" t="s">
        <v>50</v>
      </c>
      <c r="E519" t="s">
        <v>25</v>
      </c>
      <c r="F519" t="s">
        <v>185</v>
      </c>
      <c r="G519" t="s">
        <v>186</v>
      </c>
      <c r="H519" t="s">
        <v>79</v>
      </c>
      <c r="I519" t="s">
        <v>80</v>
      </c>
      <c r="J519" t="s">
        <v>66</v>
      </c>
      <c r="K519" t="s">
        <v>54</v>
      </c>
      <c r="P519" t="s">
        <v>82</v>
      </c>
      <c r="Q519" t="s">
        <v>225</v>
      </c>
      <c r="S519" t="s">
        <v>45</v>
      </c>
      <c r="T519" t="s">
        <v>84</v>
      </c>
      <c r="U519" t="s">
        <v>85</v>
      </c>
      <c r="W519">
        <f>_xlfn.XLOOKUP(F519,tblEmployee[Employee_ID],tblEmployee[Age],"Not Found")</f>
        <v>33</v>
      </c>
      <c r="X519" t="str">
        <f>_xlfn.XLOOKUP(F519,tblEmployee[Employee_ID],tblEmployee[Gender],"Not Found")</f>
        <v>Male</v>
      </c>
      <c r="Y519">
        <f>_xlfn.XLOOKUP(F519,tblEmployee[Employee_ID],tblEmployee[Joining_Date],"")</f>
        <v>44910</v>
      </c>
      <c r="Z519">
        <f>_xlfn.XLOOKUP(H519,tblDepartment[Department],tblDepartment[Annual_Budget_INR],"")</f>
        <v>26000000</v>
      </c>
      <c r="AA519" t="str">
        <f>_xlfn.XLOOKUP(H519,tblDepartment[Department],tblDepartment[Monthly_Target],"")</f>
        <v>100% Payroll Accuracy</v>
      </c>
      <c r="AB519">
        <f>_xlfn.XLOOKUP(H519,tblDepartment[Department],tblDepartment[Average_Salary_INR],"")</f>
        <v>640000</v>
      </c>
      <c r="AC519" t="str">
        <f>_xlfn.XLOOKUP(H519,tblDepartment[Department],tblDepartment[Priority_Level],"")</f>
        <v>High</v>
      </c>
      <c r="AD519" t="str">
        <f>_xlfn.XLOOKUP(H519,tblDepartment[Department],tblDepartment[Key_KPI],"")</f>
        <v>Financial Compliance</v>
      </c>
      <c r="AE519">
        <f>_xlfn.XLOOKUP(tblMaster[[#This Row],[Shift]],tblShift[Shift_Name],tblShift[Login_Time],"")</f>
        <v>0.58333333333333337</v>
      </c>
      <c r="AF519">
        <f>_xlfn.XLOOKUP(tblMaster[[#This Row],[Shift]],tblShift[Shift_Name],tblShift[Logout_Time]," ")</f>
        <v>0.95833333333333337</v>
      </c>
      <c r="AG519">
        <f>_xlfn.XLOOKUP(tblMaster[[#This Row],[Shift]],tblShift[Shift_Name],tblShift[Standard_Working_Hours],"")</f>
        <v>8</v>
      </c>
      <c r="AH519" t="str">
        <f>_xlfn.XLOOKUP(tblMaster[[#This Row],[Attendance_Date]],tblHoliday[Holiday_Date],tblHoliday[Holiday_Name],"Working Day")</f>
        <v>Working Day</v>
      </c>
      <c r="AI519" t="str">
        <f>_xlfn.XLOOKUP(tblMaster[[#This Row],[Attendance_Date]],tblHoliday[Holiday_Date],tblHoliday[Holiday_Type],"Working Day ")</f>
        <v xml:space="preserve">Working Day </v>
      </c>
    </row>
    <row r="520" spans="1:35" hidden="1" x14ac:dyDescent="0.3">
      <c r="A520" t="s">
        <v>709</v>
      </c>
      <c r="B520" s="3">
        <v>45687</v>
      </c>
      <c r="C520" t="s">
        <v>49</v>
      </c>
      <c r="D520" t="s">
        <v>50</v>
      </c>
      <c r="E520" t="s">
        <v>25</v>
      </c>
      <c r="F520" t="s">
        <v>120</v>
      </c>
      <c r="G520" t="s">
        <v>121</v>
      </c>
      <c r="H520" t="s">
        <v>41</v>
      </c>
      <c r="I520" t="s">
        <v>42</v>
      </c>
      <c r="J520" t="s">
        <v>74</v>
      </c>
      <c r="K520" t="s">
        <v>81</v>
      </c>
      <c r="L520" s="2">
        <v>0.91666666666666663</v>
      </c>
      <c r="M520" s="2">
        <v>0.29166666666666669</v>
      </c>
      <c r="N520">
        <v>9</v>
      </c>
      <c r="O520">
        <v>1</v>
      </c>
      <c r="P520" t="s">
        <v>32</v>
      </c>
      <c r="R520">
        <v>3</v>
      </c>
      <c r="S520" t="s">
        <v>33</v>
      </c>
      <c r="T520" t="s">
        <v>46</v>
      </c>
      <c r="U520" t="s">
        <v>47</v>
      </c>
      <c r="V520" t="s">
        <v>69</v>
      </c>
      <c r="W520">
        <f>_xlfn.XLOOKUP(F520,tblEmployee[Employee_ID],tblEmployee[Age],"Not Found")</f>
        <v>34</v>
      </c>
      <c r="X520" t="str">
        <f>_xlfn.XLOOKUP(F520,tblEmployee[Employee_ID],tblEmployee[Gender],"Not Found")</f>
        <v>Female</v>
      </c>
      <c r="Y520">
        <f>_xlfn.XLOOKUP(F520,tblEmployee[Employee_ID],tblEmployee[Joining_Date],"")</f>
        <v>44941</v>
      </c>
      <c r="Z520">
        <f>_xlfn.XLOOKUP(H520,tblDepartment[Department],tblDepartment[Annual_Budget_INR],"")</f>
        <v>34000000</v>
      </c>
      <c r="AA520" t="str">
        <f>_xlfn.XLOOKUP(H520,tblDepartment[Department],tblDepartment[Monthly_Target],"")</f>
        <v>95% Process Efficiency</v>
      </c>
      <c r="AB520">
        <f>_xlfn.XLOOKUP(H520,tblDepartment[Department],tblDepartment[Average_Salary_INR],"")</f>
        <v>610000</v>
      </c>
      <c r="AC520" t="str">
        <f>_xlfn.XLOOKUP(H520,tblDepartment[Department],tblDepartment[Priority_Level],"")</f>
        <v>High</v>
      </c>
      <c r="AD520" t="str">
        <f>_xlfn.XLOOKUP(H520,tblDepartment[Department],tblDepartment[Key_KPI],"")</f>
        <v>Operational Efficiency</v>
      </c>
      <c r="AE520">
        <f>_xlfn.XLOOKUP(tblMaster[[#This Row],[Shift]],tblShift[Shift_Name],tblShift[Login_Time],"")</f>
        <v>0.91666666666666663</v>
      </c>
      <c r="AF520">
        <f>_xlfn.XLOOKUP(tblMaster[[#This Row],[Shift]],tblShift[Shift_Name],tblShift[Logout_Time]," ")</f>
        <v>0.29166666666666669</v>
      </c>
      <c r="AG520">
        <f>_xlfn.XLOOKUP(tblMaster[[#This Row],[Shift]],tblShift[Shift_Name],tblShift[Standard_Working_Hours],"")</f>
        <v>8</v>
      </c>
      <c r="AH520" t="str">
        <f>_xlfn.XLOOKUP(tblMaster[[#This Row],[Attendance_Date]],tblHoliday[Holiday_Date],tblHoliday[Holiday_Name],"Working Day")</f>
        <v>Working Day</v>
      </c>
      <c r="AI520" t="str">
        <f>_xlfn.XLOOKUP(tblMaster[[#This Row],[Attendance_Date]],tblHoliday[Holiday_Date],tblHoliday[Holiday_Type],"Working Day ")</f>
        <v xml:space="preserve">Working Day </v>
      </c>
    </row>
    <row r="521" spans="1:35" hidden="1" x14ac:dyDescent="0.3">
      <c r="A521" t="s">
        <v>710</v>
      </c>
      <c r="B521" s="3">
        <v>45677</v>
      </c>
      <c r="C521" t="s">
        <v>49</v>
      </c>
      <c r="D521" t="s">
        <v>50</v>
      </c>
      <c r="E521" t="s">
        <v>109</v>
      </c>
      <c r="F521" t="s">
        <v>124</v>
      </c>
      <c r="G521" t="s">
        <v>125</v>
      </c>
      <c r="H521" t="s">
        <v>28</v>
      </c>
      <c r="I521" t="s">
        <v>29</v>
      </c>
      <c r="J521" t="s">
        <v>66</v>
      </c>
      <c r="K521" t="s">
        <v>44</v>
      </c>
      <c r="P521" t="s">
        <v>135</v>
      </c>
      <c r="S521" t="s">
        <v>67</v>
      </c>
      <c r="T521" t="s">
        <v>34</v>
      </c>
      <c r="U521" t="s">
        <v>55</v>
      </c>
      <c r="V521" t="s">
        <v>69</v>
      </c>
      <c r="W521">
        <f>_xlfn.XLOOKUP(F521,tblEmployee[Employee_ID],tblEmployee[Age],"Not Found")</f>
        <v>25</v>
      </c>
      <c r="X521" t="str">
        <f>_xlfn.XLOOKUP(F521,tblEmployee[Employee_ID],tblEmployee[Gender],"Not Found")</f>
        <v>Male</v>
      </c>
      <c r="Y521">
        <f>_xlfn.XLOOKUP(F521,tblEmployee[Employee_ID],tblEmployee[Joining_Date],"")</f>
        <v>43388</v>
      </c>
      <c r="Z521">
        <f>_xlfn.XLOOKUP(H521,tblDepartment[Department],tblDepartment[Annual_Budget_INR],"")</f>
        <v>24000000</v>
      </c>
      <c r="AA521" t="str">
        <f>_xlfn.XLOOKUP(H521,tblDepartment[Department],tblDepartment[Monthly_Target],"")</f>
        <v>90% Customer Satisfaction</v>
      </c>
      <c r="AB521">
        <f>_xlfn.XLOOKUP(H521,tblDepartment[Department],tblDepartment[Average_Salary_INR],"")</f>
        <v>520000</v>
      </c>
      <c r="AC521" t="str">
        <f>_xlfn.XLOOKUP(H521,tblDepartment[Department],tblDepartment[Priority_Level],"")</f>
        <v>High</v>
      </c>
      <c r="AD521" t="str">
        <f>_xlfn.XLOOKUP(H521,tblDepartment[Department],tblDepartment[Key_KPI],"")</f>
        <v>Customer Satisfaction</v>
      </c>
      <c r="AE521">
        <f>_xlfn.XLOOKUP(tblMaster[[#This Row],[Shift]],tblShift[Shift_Name],tblShift[Login_Time],"")</f>
        <v>0.41666666666666669</v>
      </c>
      <c r="AF521">
        <f>_xlfn.XLOOKUP(tblMaster[[#This Row],[Shift]],tblShift[Shift_Name],tblShift[Logout_Time]," ")</f>
        <v>0.79166666666666663</v>
      </c>
      <c r="AG521">
        <f>_xlfn.XLOOKUP(tblMaster[[#This Row],[Shift]],tblShift[Shift_Name],tblShift[Standard_Working_Hours],"")</f>
        <v>8</v>
      </c>
      <c r="AH521" t="str">
        <f>_xlfn.XLOOKUP(tblMaster[[#This Row],[Attendance_Date]],tblHoliday[Holiday_Date],tblHoliday[Holiday_Name],"Working Day")</f>
        <v>Working Day</v>
      </c>
      <c r="AI521" t="str">
        <f>_xlfn.XLOOKUP(tblMaster[[#This Row],[Attendance_Date]],tblHoliday[Holiday_Date],tblHoliday[Holiday_Type],"Working Day ")</f>
        <v xml:space="preserve">Working Day </v>
      </c>
    </row>
    <row r="522" spans="1:35" x14ac:dyDescent="0.3">
      <c r="A522" t="s">
        <v>711</v>
      </c>
      <c r="B522" s="3">
        <v>45682</v>
      </c>
      <c r="C522" t="s">
        <v>49</v>
      </c>
      <c r="D522" t="s">
        <v>50</v>
      </c>
      <c r="E522" t="s">
        <v>38</v>
      </c>
      <c r="F522" t="s">
        <v>133</v>
      </c>
      <c r="G522" t="s">
        <v>134</v>
      </c>
      <c r="H522" t="s">
        <v>98</v>
      </c>
      <c r="I522" t="s">
        <v>99</v>
      </c>
      <c r="J522" t="s">
        <v>66</v>
      </c>
      <c r="K522" t="s">
        <v>31</v>
      </c>
      <c r="L522" s="2">
        <v>0.375</v>
      </c>
      <c r="M522" s="2">
        <v>0.75</v>
      </c>
      <c r="N522">
        <v>8</v>
      </c>
      <c r="O522">
        <v>0</v>
      </c>
      <c r="P522" t="s">
        <v>32</v>
      </c>
      <c r="R522">
        <v>3</v>
      </c>
      <c r="S522" t="s">
        <v>92</v>
      </c>
      <c r="T522" t="s">
        <v>101</v>
      </c>
      <c r="U522" t="str">
        <f>_xlfn.XLOOKUP(tblMaster[[#This Row],[Employee_ID]],tblEmployee[Employee_ID],tblEmployee[Work_Mode]," ")</f>
        <v>Remote</v>
      </c>
      <c r="V522" t="s">
        <v>35</v>
      </c>
      <c r="W522">
        <f>_xlfn.XLOOKUP(F522,tblEmployee[Employee_ID],tblEmployee[Age],"Not Found")</f>
        <v>27</v>
      </c>
      <c r="X522" t="str">
        <f>_xlfn.XLOOKUP(F522,tblEmployee[Employee_ID],tblEmployee[Gender],"Not Found")</f>
        <v>Male</v>
      </c>
      <c r="Y522">
        <f>_xlfn.XLOOKUP(F522,tblEmployee[Employee_ID],tblEmployee[Joining_Date],"")</f>
        <v>45458</v>
      </c>
      <c r="Z522">
        <f>_xlfn.XLOOKUP(H522,tblDepartment[Department],tblDepartment[Annual_Budget_INR],"")</f>
        <v>22000000</v>
      </c>
      <c r="AA522" t="str">
        <f>_xlfn.XLOOKUP(H522,tblDepartment[Department],tblDepartment[Monthly_Target],"")</f>
        <v>2500 Qualified Leads</v>
      </c>
      <c r="AB522">
        <f>_xlfn.XLOOKUP(H522,tblDepartment[Department],tblDepartment[Average_Salary_INR],"")</f>
        <v>590000</v>
      </c>
      <c r="AC522" t="str">
        <f>_xlfn.XLOOKUP(H522,tblDepartment[Department],tblDepartment[Priority_Level],"")</f>
        <v>Medium</v>
      </c>
      <c r="AD522" t="str">
        <f>_xlfn.XLOOKUP(H522,tblDepartment[Department],tblDepartment[Key_KPI],"")</f>
        <v>Lead Generation</v>
      </c>
      <c r="AE522">
        <f>_xlfn.XLOOKUP(tblMaster[[#This Row],[Shift]],tblShift[Shift_Name],tblShift[Login_Time],"")</f>
        <v>0.25</v>
      </c>
      <c r="AF522">
        <f>_xlfn.XLOOKUP(tblMaster[[#This Row],[Shift]],tblShift[Shift_Name],tblShift[Logout_Time]," ")</f>
        <v>0.625</v>
      </c>
      <c r="AG522">
        <f>_xlfn.XLOOKUP(tblMaster[[#This Row],[Shift]],tblShift[Shift_Name],tblShift[Standard_Working_Hours],"")</f>
        <v>8</v>
      </c>
      <c r="AH522" t="str">
        <f>_xlfn.XLOOKUP(tblMaster[[#This Row],[Attendance_Date]],tblHoliday[Holiday_Date],tblHoliday[Holiday_Name],"Working Day")</f>
        <v>Working Day</v>
      </c>
      <c r="AI522" t="str">
        <f>_xlfn.XLOOKUP(tblMaster[[#This Row],[Attendance_Date]],tblHoliday[Holiday_Date],tblHoliday[Holiday_Type],"Working Day ")</f>
        <v xml:space="preserve">Working Day </v>
      </c>
    </row>
    <row r="523" spans="1:35" hidden="1" x14ac:dyDescent="0.3">
      <c r="A523" t="s">
        <v>712</v>
      </c>
      <c r="B523" s="3">
        <v>45800</v>
      </c>
      <c r="C523" t="s">
        <v>57</v>
      </c>
      <c r="D523" t="s">
        <v>24</v>
      </c>
      <c r="E523" t="s">
        <v>119</v>
      </c>
      <c r="F523" t="s">
        <v>192</v>
      </c>
      <c r="G523" t="s">
        <v>193</v>
      </c>
      <c r="H523" t="s">
        <v>79</v>
      </c>
      <c r="I523" t="s">
        <v>80</v>
      </c>
      <c r="J523" t="s">
        <v>66</v>
      </c>
      <c r="K523" t="s">
        <v>75</v>
      </c>
      <c r="L523" s="2">
        <v>0.375</v>
      </c>
      <c r="M523" s="2">
        <v>0.75</v>
      </c>
      <c r="N523">
        <v>8</v>
      </c>
      <c r="O523">
        <v>0</v>
      </c>
      <c r="P523" t="s">
        <v>32</v>
      </c>
      <c r="R523">
        <v>4</v>
      </c>
      <c r="S523" t="s">
        <v>67</v>
      </c>
      <c r="T523" t="s">
        <v>84</v>
      </c>
      <c r="U523" t="s">
        <v>47</v>
      </c>
      <c r="W523">
        <f>_xlfn.XLOOKUP(F523,tblEmployee[Employee_ID],tblEmployee[Age],"Not Found")</f>
        <v>32</v>
      </c>
      <c r="X523" t="str">
        <f>_xlfn.XLOOKUP(F523,tblEmployee[Employee_ID],tblEmployee[Gender],"Not Found")</f>
        <v>Female</v>
      </c>
      <c r="Y523">
        <f>_xlfn.XLOOKUP(F523,tblEmployee[Employee_ID],tblEmployee[Joining_Date],"")</f>
        <v>44880</v>
      </c>
      <c r="Z523">
        <f>_xlfn.XLOOKUP(H523,tblDepartment[Department],tblDepartment[Annual_Budget_INR],"")</f>
        <v>26000000</v>
      </c>
      <c r="AA523" t="str">
        <f>_xlfn.XLOOKUP(H523,tblDepartment[Department],tblDepartment[Monthly_Target],"")</f>
        <v>100% Payroll Accuracy</v>
      </c>
      <c r="AB523">
        <f>_xlfn.XLOOKUP(H523,tblDepartment[Department],tblDepartment[Average_Salary_INR],"")</f>
        <v>640000</v>
      </c>
      <c r="AC523" t="str">
        <f>_xlfn.XLOOKUP(H523,tblDepartment[Department],tblDepartment[Priority_Level],"")</f>
        <v>High</v>
      </c>
      <c r="AD523" t="str">
        <f>_xlfn.XLOOKUP(H523,tblDepartment[Department],tblDepartment[Key_KPI],"")</f>
        <v>Financial Compliance</v>
      </c>
      <c r="AE523">
        <f>_xlfn.XLOOKUP(tblMaster[[#This Row],[Shift]],tblShift[Shift_Name],tblShift[Login_Time],"")</f>
        <v>0.375</v>
      </c>
      <c r="AF523">
        <f>_xlfn.XLOOKUP(tblMaster[[#This Row],[Shift]],tblShift[Shift_Name],tblShift[Logout_Time]," ")</f>
        <v>0.75</v>
      </c>
      <c r="AG523">
        <f>_xlfn.XLOOKUP(tblMaster[[#This Row],[Shift]],tblShift[Shift_Name],tblShift[Standard_Working_Hours],"")</f>
        <v>8</v>
      </c>
      <c r="AH523" t="str">
        <f>_xlfn.XLOOKUP(tblMaster[[#This Row],[Attendance_Date]],tblHoliday[Holiday_Date],tblHoliday[Holiday_Name],"Working Day")</f>
        <v>Working Day</v>
      </c>
      <c r="AI523" t="str">
        <f>_xlfn.XLOOKUP(tblMaster[[#This Row],[Attendance_Date]],tblHoliday[Holiday_Date],tblHoliday[Holiday_Type],"Working Day ")</f>
        <v xml:space="preserve">Working Day </v>
      </c>
    </row>
    <row r="524" spans="1:35" x14ac:dyDescent="0.3">
      <c r="A524" t="s">
        <v>713</v>
      </c>
      <c r="B524" s="3">
        <v>45677</v>
      </c>
      <c r="C524" t="s">
        <v>49</v>
      </c>
      <c r="D524" t="s">
        <v>50</v>
      </c>
      <c r="E524" t="s">
        <v>109</v>
      </c>
      <c r="F524" t="s">
        <v>182</v>
      </c>
      <c r="G524" t="s">
        <v>183</v>
      </c>
      <c r="H524" t="s">
        <v>112</v>
      </c>
      <c r="I524" t="s">
        <v>113</v>
      </c>
      <c r="J524" t="s">
        <v>30</v>
      </c>
      <c r="K524" t="s">
        <v>81</v>
      </c>
      <c r="P524" t="s">
        <v>82</v>
      </c>
      <c r="Q524" t="s">
        <v>122</v>
      </c>
      <c r="S524" t="s">
        <v>45</v>
      </c>
      <c r="T524" t="s">
        <v>114</v>
      </c>
      <c r="U524" t="str">
        <f>_xlfn.XLOOKUP(tblMaster[[#This Row],[Employee_ID]],tblEmployee[Employee_ID],tblEmployee[Work_Mode]," ")</f>
        <v>Office</v>
      </c>
      <c r="V524" t="s">
        <v>60</v>
      </c>
      <c r="W524">
        <f>_xlfn.XLOOKUP(F524,tblEmployee[Employee_ID],tblEmployee[Age],"Not Found")</f>
        <v>28</v>
      </c>
      <c r="X524" t="str">
        <f>_xlfn.XLOOKUP(F524,tblEmployee[Employee_ID],tblEmployee[Gender],"Not Found")</f>
        <v>Male</v>
      </c>
      <c r="Y524">
        <f>_xlfn.XLOOKUP(F524,tblEmployee[Employee_ID],tblEmployee[Joining_Date],"")</f>
        <v>44211</v>
      </c>
      <c r="Z524">
        <f>_xlfn.XLOOKUP(H524,tblDepartment[Department],tblDepartment[Annual_Budget_INR],"")</f>
        <v>42000000</v>
      </c>
      <c r="AA524" t="str">
        <f>_xlfn.XLOOKUP(H524,tblDepartment[Department],tblDepartment[Monthly_Target],"")</f>
        <v>₹2.5 Cr Monthly Sales</v>
      </c>
      <c r="AB524">
        <f>_xlfn.XLOOKUP(H524,tblDepartment[Department],tblDepartment[Average_Salary_INR],"")</f>
        <v>680000</v>
      </c>
      <c r="AC524" t="str">
        <f>_xlfn.XLOOKUP(H524,tblDepartment[Department],tblDepartment[Priority_Level],"")</f>
        <v>High</v>
      </c>
      <c r="AD524" t="str">
        <f>_xlfn.XLOOKUP(H524,tblDepartment[Department],tblDepartment[Key_KPI],"")</f>
        <v>Revenue Achievement</v>
      </c>
      <c r="AE524">
        <f>_xlfn.XLOOKUP(tblMaster[[#This Row],[Shift]],tblShift[Shift_Name],tblShift[Login_Time],"")</f>
        <v>0.91666666666666663</v>
      </c>
      <c r="AF524">
        <f>_xlfn.XLOOKUP(tblMaster[[#This Row],[Shift]],tblShift[Shift_Name],tblShift[Logout_Time]," ")</f>
        <v>0.29166666666666669</v>
      </c>
      <c r="AG524">
        <f>_xlfn.XLOOKUP(tblMaster[[#This Row],[Shift]],tblShift[Shift_Name],tblShift[Standard_Working_Hours],"")</f>
        <v>8</v>
      </c>
      <c r="AH524" t="str">
        <f>_xlfn.XLOOKUP(tblMaster[[#This Row],[Attendance_Date]],tblHoliday[Holiday_Date],tblHoliday[Holiday_Name],"Working Day")</f>
        <v>Working Day</v>
      </c>
      <c r="AI524" t="str">
        <f>_xlfn.XLOOKUP(tblMaster[[#This Row],[Attendance_Date]],tblHoliday[Holiday_Date],tblHoliday[Holiday_Type],"Working Day ")</f>
        <v xml:space="preserve">Working Day </v>
      </c>
    </row>
    <row r="525" spans="1:35" x14ac:dyDescent="0.3">
      <c r="A525" t="s">
        <v>714</v>
      </c>
      <c r="B525" s="3">
        <v>45716</v>
      </c>
      <c r="C525" t="s">
        <v>95</v>
      </c>
      <c r="D525" t="s">
        <v>50</v>
      </c>
      <c r="E525" t="s">
        <v>119</v>
      </c>
      <c r="F525" t="s">
        <v>173</v>
      </c>
      <c r="G525" t="s">
        <v>174</v>
      </c>
      <c r="H525" t="s">
        <v>90</v>
      </c>
      <c r="I525" t="s">
        <v>91</v>
      </c>
      <c r="J525" t="s">
        <v>74</v>
      </c>
      <c r="K525" t="s">
        <v>81</v>
      </c>
      <c r="L525" s="2">
        <v>0.91666666666666663</v>
      </c>
      <c r="M525" s="2">
        <v>0.29166666666666669</v>
      </c>
      <c r="N525">
        <v>8.5</v>
      </c>
      <c r="O525">
        <v>0.5</v>
      </c>
      <c r="P525" t="s">
        <v>32</v>
      </c>
      <c r="R525">
        <v>4</v>
      </c>
      <c r="S525" t="s">
        <v>67</v>
      </c>
      <c r="T525" t="s">
        <v>93</v>
      </c>
      <c r="U525" t="str">
        <f>_xlfn.XLOOKUP(tblMaster[[#This Row],[Employee_ID]],tblEmployee[Employee_ID],tblEmployee[Work_Mode]," ")</f>
        <v>Hybrid</v>
      </c>
      <c r="V525" t="s">
        <v>69</v>
      </c>
      <c r="W525">
        <f>_xlfn.XLOOKUP(F525,tblEmployee[Employee_ID],tblEmployee[Age],"Not Found")</f>
        <v>23</v>
      </c>
      <c r="X525" t="str">
        <f>_xlfn.XLOOKUP(F525,tblEmployee[Employee_ID],tblEmployee[Gender],"Not Found")</f>
        <v>Female</v>
      </c>
      <c r="Y525">
        <f>_xlfn.XLOOKUP(F525,tblEmployee[Employee_ID],tblEmployee[Joining_Date],"")</f>
        <v>43876</v>
      </c>
      <c r="Z525">
        <f>_xlfn.XLOOKUP(H525,tblDepartment[Department],tblDepartment[Annual_Budget_INR],"")</f>
        <v>18000000</v>
      </c>
      <c r="AA525" t="str">
        <f>_xlfn.XLOOKUP(H525,tblDepartment[Department],tblDepartment[Monthly_Target],"")</f>
        <v>&lt;30 Days Hiring Cycle</v>
      </c>
      <c r="AB525">
        <f>_xlfn.XLOOKUP(H525,tblDepartment[Department],tblDepartment[Average_Salary_INR],"")</f>
        <v>560000</v>
      </c>
      <c r="AC525" t="str">
        <f>_xlfn.XLOOKUP(H525,tblDepartment[Department],tblDepartment[Priority_Level],"")</f>
        <v>Medium</v>
      </c>
      <c r="AD525" t="str">
        <f>_xlfn.XLOOKUP(H525,tblDepartment[Department],tblDepartment[Key_KPI],"")</f>
        <v>Hiring &amp; Retention</v>
      </c>
      <c r="AE525">
        <f>_xlfn.XLOOKUP(tblMaster[[#This Row],[Shift]],tblShift[Shift_Name],tblShift[Login_Time],"")</f>
        <v>0.91666666666666663</v>
      </c>
      <c r="AF525">
        <f>_xlfn.XLOOKUP(tblMaster[[#This Row],[Shift]],tblShift[Shift_Name],tblShift[Logout_Time]," ")</f>
        <v>0.29166666666666669</v>
      </c>
      <c r="AG525">
        <f>_xlfn.XLOOKUP(tblMaster[[#This Row],[Shift]],tblShift[Shift_Name],tblShift[Standard_Working_Hours],"")</f>
        <v>8</v>
      </c>
      <c r="AH525" t="str">
        <f>_xlfn.XLOOKUP(tblMaster[[#This Row],[Attendance_Date]],tblHoliday[Holiday_Date],tblHoliday[Holiday_Name],"Working Day")</f>
        <v>Working Day</v>
      </c>
      <c r="AI525" t="str">
        <f>_xlfn.XLOOKUP(tblMaster[[#This Row],[Attendance_Date]],tblHoliday[Holiday_Date],tblHoliday[Holiday_Type],"Working Day ")</f>
        <v xml:space="preserve">Working Day </v>
      </c>
    </row>
    <row r="526" spans="1:35" x14ac:dyDescent="0.3">
      <c r="A526" t="s">
        <v>715</v>
      </c>
      <c r="B526" s="1">
        <v>45836</v>
      </c>
      <c r="C526" t="s">
        <v>23</v>
      </c>
      <c r="D526" t="s">
        <v>24</v>
      </c>
      <c r="E526" t="s">
        <v>38</v>
      </c>
      <c r="F526" t="s">
        <v>116</v>
      </c>
      <c r="G526" t="s">
        <v>117</v>
      </c>
      <c r="H526" t="s">
        <v>112</v>
      </c>
      <c r="I526" t="s">
        <v>113</v>
      </c>
      <c r="J526" t="s">
        <v>100</v>
      </c>
      <c r="K526" t="s">
        <v>81</v>
      </c>
      <c r="L526" s="2">
        <v>0.39930555555555558</v>
      </c>
      <c r="M526" s="2">
        <v>0.29166666666666669</v>
      </c>
      <c r="N526">
        <v>10</v>
      </c>
      <c r="O526">
        <v>2</v>
      </c>
      <c r="P526" t="s">
        <v>32</v>
      </c>
      <c r="R526">
        <v>4</v>
      </c>
      <c r="S526" t="s">
        <v>67</v>
      </c>
      <c r="T526" t="s">
        <v>114</v>
      </c>
      <c r="U526" t="str">
        <f>_xlfn.XLOOKUP(tblMaster[[#This Row],[Employee_ID]],tblEmployee[Employee_ID],tblEmployee[Work_Mode]," ")</f>
        <v>Remote</v>
      </c>
      <c r="V526" t="s">
        <v>69</v>
      </c>
      <c r="W526">
        <f>_xlfn.XLOOKUP(F526,tblEmployee[Employee_ID],tblEmployee[Age],"Not Found")</f>
        <v>24</v>
      </c>
      <c r="X526" t="str">
        <f>_xlfn.XLOOKUP(F526,tblEmployee[Employee_ID],tblEmployee[Gender],"Not Found")</f>
        <v>Male</v>
      </c>
      <c r="Y526">
        <f>_xlfn.XLOOKUP(F526,tblEmployee[Employee_ID],tblEmployee[Joining_Date],"")</f>
        <v>44270</v>
      </c>
      <c r="Z526">
        <f>_xlfn.XLOOKUP(H526,tblDepartment[Department],tblDepartment[Annual_Budget_INR],"")</f>
        <v>42000000</v>
      </c>
      <c r="AA526" t="str">
        <f>_xlfn.XLOOKUP(H526,tblDepartment[Department],tblDepartment[Monthly_Target],"")</f>
        <v>₹2.5 Cr Monthly Sales</v>
      </c>
      <c r="AB526">
        <f>_xlfn.XLOOKUP(H526,tblDepartment[Department],tblDepartment[Average_Salary_INR],"")</f>
        <v>680000</v>
      </c>
      <c r="AC526" t="str">
        <f>_xlfn.XLOOKUP(H526,tblDepartment[Department],tblDepartment[Priority_Level],"")</f>
        <v>High</v>
      </c>
      <c r="AD526" t="str">
        <f>_xlfn.XLOOKUP(H526,tblDepartment[Department],tblDepartment[Key_KPI],"")</f>
        <v>Revenue Achievement</v>
      </c>
      <c r="AE526">
        <f>_xlfn.XLOOKUP(tblMaster[[#This Row],[Shift]],tblShift[Shift_Name],tblShift[Login_Time],"")</f>
        <v>0.91666666666666663</v>
      </c>
      <c r="AF526">
        <f>_xlfn.XLOOKUP(tblMaster[[#This Row],[Shift]],tblShift[Shift_Name],tblShift[Logout_Time]," ")</f>
        <v>0.29166666666666669</v>
      </c>
      <c r="AG526">
        <f>_xlfn.XLOOKUP(tblMaster[[#This Row],[Shift]],tblShift[Shift_Name],tblShift[Standard_Working_Hours],"")</f>
        <v>8</v>
      </c>
      <c r="AH526" t="str">
        <f>_xlfn.XLOOKUP(tblMaster[[#This Row],[Attendance_Date]],tblHoliday[Holiday_Date],tblHoliday[Holiday_Name],"Working Day")</f>
        <v>Working Day</v>
      </c>
      <c r="AI526" t="str">
        <f>_xlfn.XLOOKUP(tblMaster[[#This Row],[Attendance_Date]],tblHoliday[Holiday_Date],tblHoliday[Holiday_Type],"Working Day ")</f>
        <v xml:space="preserve">Working Day </v>
      </c>
    </row>
    <row r="527" spans="1:35" hidden="1" x14ac:dyDescent="0.3">
      <c r="A527" t="s">
        <v>716</v>
      </c>
      <c r="B527" s="3">
        <v>45775</v>
      </c>
      <c r="C527" t="s">
        <v>37</v>
      </c>
      <c r="D527" t="s">
        <v>24</v>
      </c>
      <c r="E527" t="s">
        <v>109</v>
      </c>
      <c r="F527" t="s">
        <v>127</v>
      </c>
      <c r="G527" t="s">
        <v>128</v>
      </c>
      <c r="H527" t="s">
        <v>90</v>
      </c>
      <c r="I527" t="s">
        <v>91</v>
      </c>
      <c r="J527" t="s">
        <v>66</v>
      </c>
      <c r="K527" t="s">
        <v>75</v>
      </c>
      <c r="L527" s="2">
        <v>0.375</v>
      </c>
      <c r="M527" s="2">
        <v>0.75</v>
      </c>
      <c r="N527">
        <v>8</v>
      </c>
      <c r="O527">
        <v>0</v>
      </c>
      <c r="P527" t="s">
        <v>32</v>
      </c>
      <c r="R527">
        <v>3</v>
      </c>
      <c r="S527" t="s">
        <v>67</v>
      </c>
      <c r="T527" t="s">
        <v>93</v>
      </c>
      <c r="U527" t="s">
        <v>85</v>
      </c>
      <c r="V527" t="s">
        <v>60</v>
      </c>
      <c r="W527">
        <f>_xlfn.XLOOKUP(F527,tblEmployee[Employee_ID],tblEmployee[Age],"Not Found")</f>
        <v>38</v>
      </c>
      <c r="X527" t="str">
        <f>_xlfn.XLOOKUP(F527,tblEmployee[Employee_ID],tblEmployee[Gender],"Not Found")</f>
        <v>Female</v>
      </c>
      <c r="Y527">
        <f>_xlfn.XLOOKUP(F527,tblEmployee[Employee_ID],tblEmployee[Joining_Date],"")</f>
        <v>43966</v>
      </c>
      <c r="Z527">
        <f>_xlfn.XLOOKUP(H527,tblDepartment[Department],tblDepartment[Annual_Budget_INR],"")</f>
        <v>18000000</v>
      </c>
      <c r="AA527" t="str">
        <f>_xlfn.XLOOKUP(H527,tblDepartment[Department],tblDepartment[Monthly_Target],"")</f>
        <v>&lt;30 Days Hiring Cycle</v>
      </c>
      <c r="AB527">
        <f>_xlfn.XLOOKUP(H527,tblDepartment[Department],tblDepartment[Average_Salary_INR],"")</f>
        <v>560000</v>
      </c>
      <c r="AC527" t="str">
        <f>_xlfn.XLOOKUP(H527,tblDepartment[Department],tblDepartment[Priority_Level],"")</f>
        <v>Medium</v>
      </c>
      <c r="AD527" t="str">
        <f>_xlfn.XLOOKUP(H527,tblDepartment[Department],tblDepartment[Key_KPI],"")</f>
        <v>Hiring &amp; Retention</v>
      </c>
      <c r="AE527">
        <f>_xlfn.XLOOKUP(tblMaster[[#This Row],[Shift]],tblShift[Shift_Name],tblShift[Login_Time],"")</f>
        <v>0.375</v>
      </c>
      <c r="AF527">
        <f>_xlfn.XLOOKUP(tblMaster[[#This Row],[Shift]],tblShift[Shift_Name],tblShift[Logout_Time]," ")</f>
        <v>0.75</v>
      </c>
      <c r="AG527">
        <f>_xlfn.XLOOKUP(tblMaster[[#This Row],[Shift]],tblShift[Shift_Name],tblShift[Standard_Working_Hours],"")</f>
        <v>8</v>
      </c>
      <c r="AH527" t="str">
        <f>_xlfn.XLOOKUP(tblMaster[[#This Row],[Attendance_Date]],tblHoliday[Holiday_Date],tblHoliday[Holiday_Name],"Working Day")</f>
        <v>Working Day</v>
      </c>
      <c r="AI527" t="str">
        <f>_xlfn.XLOOKUP(tblMaster[[#This Row],[Attendance_Date]],tblHoliday[Holiday_Date],tblHoliday[Holiday_Type],"Working Day ")</f>
        <v xml:space="preserve">Working Day </v>
      </c>
    </row>
    <row r="528" spans="1:35" hidden="1" x14ac:dyDescent="0.3">
      <c r="A528" t="s">
        <v>717</v>
      </c>
      <c r="B528" s="3">
        <v>45781</v>
      </c>
      <c r="C528" t="s">
        <v>57</v>
      </c>
      <c r="D528" t="s">
        <v>24</v>
      </c>
      <c r="E528" t="s">
        <v>103</v>
      </c>
      <c r="F528" t="s">
        <v>173</v>
      </c>
      <c r="G528" t="s">
        <v>174</v>
      </c>
      <c r="H528" t="s">
        <v>90</v>
      </c>
      <c r="I528" t="s">
        <v>91</v>
      </c>
      <c r="J528" t="s">
        <v>74</v>
      </c>
      <c r="K528" t="s">
        <v>44</v>
      </c>
      <c r="L528" s="2">
        <v>0.375</v>
      </c>
      <c r="M528" s="2">
        <v>0.75</v>
      </c>
      <c r="N528">
        <v>8</v>
      </c>
      <c r="O528">
        <v>0</v>
      </c>
      <c r="P528" t="s">
        <v>32</v>
      </c>
      <c r="R528">
        <v>4</v>
      </c>
      <c r="S528" t="s">
        <v>67</v>
      </c>
      <c r="T528" t="s">
        <v>93</v>
      </c>
      <c r="U528" t="s">
        <v>55</v>
      </c>
      <c r="V528" t="s">
        <v>35</v>
      </c>
      <c r="W528">
        <f>_xlfn.XLOOKUP(F528,tblEmployee[Employee_ID],tblEmployee[Age],"Not Found")</f>
        <v>23</v>
      </c>
      <c r="X528" t="str">
        <f>_xlfn.XLOOKUP(F528,tblEmployee[Employee_ID],tblEmployee[Gender],"Not Found")</f>
        <v>Female</v>
      </c>
      <c r="Y528">
        <f>_xlfn.XLOOKUP(F528,tblEmployee[Employee_ID],tblEmployee[Joining_Date],"")</f>
        <v>43876</v>
      </c>
      <c r="Z528">
        <f>_xlfn.XLOOKUP(H528,tblDepartment[Department],tblDepartment[Annual_Budget_INR],"")</f>
        <v>18000000</v>
      </c>
      <c r="AA528" t="str">
        <f>_xlfn.XLOOKUP(H528,tblDepartment[Department],tblDepartment[Monthly_Target],"")</f>
        <v>&lt;30 Days Hiring Cycle</v>
      </c>
      <c r="AB528">
        <f>_xlfn.XLOOKUP(H528,tblDepartment[Department],tblDepartment[Average_Salary_INR],"")</f>
        <v>560000</v>
      </c>
      <c r="AC528" t="str">
        <f>_xlfn.XLOOKUP(H528,tblDepartment[Department],tblDepartment[Priority_Level],"")</f>
        <v>Medium</v>
      </c>
      <c r="AD528" t="str">
        <f>_xlfn.XLOOKUP(H528,tblDepartment[Department],tblDepartment[Key_KPI],"")</f>
        <v>Hiring &amp; Retention</v>
      </c>
      <c r="AE528">
        <f>_xlfn.XLOOKUP(tblMaster[[#This Row],[Shift]],tblShift[Shift_Name],tblShift[Login_Time],"")</f>
        <v>0.41666666666666669</v>
      </c>
      <c r="AF528">
        <f>_xlfn.XLOOKUP(tblMaster[[#This Row],[Shift]],tblShift[Shift_Name],tblShift[Logout_Time]," ")</f>
        <v>0.79166666666666663</v>
      </c>
      <c r="AG528">
        <f>_xlfn.XLOOKUP(tblMaster[[#This Row],[Shift]],tblShift[Shift_Name],tblShift[Standard_Working_Hours],"")</f>
        <v>8</v>
      </c>
      <c r="AH528" t="str">
        <f>_xlfn.XLOOKUP(tblMaster[[#This Row],[Attendance_Date]],tblHoliday[Holiday_Date],tblHoliday[Holiday_Name],"Working Day")</f>
        <v>Working Day</v>
      </c>
      <c r="AI528" t="str">
        <f>_xlfn.XLOOKUP(tblMaster[[#This Row],[Attendance_Date]],tblHoliday[Holiday_Date],tblHoliday[Holiday_Type],"Working Day ")</f>
        <v xml:space="preserve">Working Day </v>
      </c>
    </row>
    <row r="529" spans="1:35" hidden="1" x14ac:dyDescent="0.3">
      <c r="A529" t="s">
        <v>718</v>
      </c>
      <c r="B529" s="1">
        <v>45803</v>
      </c>
      <c r="C529" t="s">
        <v>57</v>
      </c>
      <c r="D529" t="s">
        <v>24</v>
      </c>
      <c r="E529" t="s">
        <v>109</v>
      </c>
      <c r="F529" t="s">
        <v>243</v>
      </c>
      <c r="G529" t="s">
        <v>244</v>
      </c>
      <c r="H529" t="s">
        <v>90</v>
      </c>
      <c r="I529" t="s">
        <v>91</v>
      </c>
      <c r="J529" t="s">
        <v>30</v>
      </c>
      <c r="K529" t="s">
        <v>54</v>
      </c>
      <c r="L529" s="2">
        <v>0.375</v>
      </c>
      <c r="M529" s="2">
        <v>0.75</v>
      </c>
      <c r="N529">
        <v>8</v>
      </c>
      <c r="O529">
        <v>0</v>
      </c>
      <c r="P529" t="s">
        <v>32</v>
      </c>
      <c r="R529">
        <v>4</v>
      </c>
      <c r="S529" t="s">
        <v>92</v>
      </c>
      <c r="T529" t="s">
        <v>93</v>
      </c>
      <c r="U529" t="s">
        <v>85</v>
      </c>
      <c r="V529" t="s">
        <v>60</v>
      </c>
      <c r="W529">
        <f>_xlfn.XLOOKUP(F529,tblEmployee[Employee_ID],tblEmployee[Age],"Not Found")</f>
        <v>30</v>
      </c>
      <c r="X529" t="str">
        <f>_xlfn.XLOOKUP(F529,tblEmployee[Employee_ID],tblEmployee[Gender],"Not Found")</f>
        <v>Female</v>
      </c>
      <c r="Y529">
        <f>_xlfn.XLOOKUP(F529,tblEmployee[Employee_ID],tblEmployee[Joining_Date],"")</f>
        <v>44089</v>
      </c>
      <c r="Z529">
        <f>_xlfn.XLOOKUP(H529,tblDepartment[Department],tblDepartment[Annual_Budget_INR],"")</f>
        <v>18000000</v>
      </c>
      <c r="AA529" t="str">
        <f>_xlfn.XLOOKUP(H529,tblDepartment[Department],tblDepartment[Monthly_Target],"")</f>
        <v>&lt;30 Days Hiring Cycle</v>
      </c>
      <c r="AB529">
        <f>_xlfn.XLOOKUP(H529,tblDepartment[Department],tblDepartment[Average_Salary_INR],"")</f>
        <v>560000</v>
      </c>
      <c r="AC529" t="str">
        <f>_xlfn.XLOOKUP(H529,tblDepartment[Department],tblDepartment[Priority_Level],"")</f>
        <v>Medium</v>
      </c>
      <c r="AD529" t="str">
        <f>_xlfn.XLOOKUP(H529,tblDepartment[Department],tblDepartment[Key_KPI],"")</f>
        <v>Hiring &amp; Retention</v>
      </c>
      <c r="AE529">
        <f>_xlfn.XLOOKUP(tblMaster[[#This Row],[Shift]],tblShift[Shift_Name],tblShift[Login_Time],"")</f>
        <v>0.58333333333333337</v>
      </c>
      <c r="AF529">
        <f>_xlfn.XLOOKUP(tblMaster[[#This Row],[Shift]],tblShift[Shift_Name],tblShift[Logout_Time]," ")</f>
        <v>0.95833333333333337</v>
      </c>
      <c r="AG529">
        <f>_xlfn.XLOOKUP(tblMaster[[#This Row],[Shift]],tblShift[Shift_Name],tblShift[Standard_Working_Hours],"")</f>
        <v>8</v>
      </c>
      <c r="AH529" t="str">
        <f>_xlfn.XLOOKUP(tblMaster[[#This Row],[Attendance_Date]],tblHoliday[Holiday_Date],tblHoliday[Holiday_Name],"Working Day")</f>
        <v>Working Day</v>
      </c>
      <c r="AI529" t="str">
        <f>_xlfn.XLOOKUP(tblMaster[[#This Row],[Attendance_Date]],tblHoliday[Holiday_Date],tblHoliday[Holiday_Type],"Working Day ")</f>
        <v xml:space="preserve">Working Day </v>
      </c>
    </row>
    <row r="530" spans="1:35" hidden="1" x14ac:dyDescent="0.3">
      <c r="A530" t="s">
        <v>719</v>
      </c>
      <c r="B530" s="1">
        <v>45762</v>
      </c>
      <c r="C530" t="s">
        <v>37</v>
      </c>
      <c r="D530" t="s">
        <v>24</v>
      </c>
      <c r="E530" t="s">
        <v>87</v>
      </c>
      <c r="F530" t="s">
        <v>163</v>
      </c>
      <c r="G530" t="s">
        <v>164</v>
      </c>
      <c r="H530" t="s">
        <v>112</v>
      </c>
      <c r="I530" t="s">
        <v>113</v>
      </c>
      <c r="J530" t="s">
        <v>100</v>
      </c>
      <c r="K530" t="s">
        <v>75</v>
      </c>
      <c r="L530" s="2">
        <v>0.3888888888888889</v>
      </c>
      <c r="M530" s="2">
        <v>0.75</v>
      </c>
      <c r="N530">
        <v>8</v>
      </c>
      <c r="O530">
        <v>0</v>
      </c>
      <c r="P530" t="s">
        <v>32</v>
      </c>
      <c r="R530">
        <v>3</v>
      </c>
      <c r="S530" t="s">
        <v>45</v>
      </c>
      <c r="T530" t="s">
        <v>114</v>
      </c>
      <c r="U530" t="s">
        <v>85</v>
      </c>
      <c r="V530" t="s">
        <v>35</v>
      </c>
      <c r="W530">
        <f>_xlfn.XLOOKUP(F530,tblEmployee[Employee_ID],tblEmployee[Age],"Not Found")</f>
        <v>25</v>
      </c>
      <c r="X530" t="str">
        <f>_xlfn.XLOOKUP(F530,tblEmployee[Employee_ID],tblEmployee[Gender],"Not Found")</f>
        <v>Male</v>
      </c>
      <c r="Y530">
        <f>_xlfn.XLOOKUP(F530,tblEmployee[Employee_ID],tblEmployee[Joining_Date],"")</f>
        <v>44301</v>
      </c>
      <c r="Z530">
        <f>_xlfn.XLOOKUP(H530,tblDepartment[Department],tblDepartment[Annual_Budget_INR],"")</f>
        <v>42000000</v>
      </c>
      <c r="AA530" t="str">
        <f>_xlfn.XLOOKUP(H530,tblDepartment[Department],tblDepartment[Monthly_Target],"")</f>
        <v>₹2.5 Cr Monthly Sales</v>
      </c>
      <c r="AB530">
        <f>_xlfn.XLOOKUP(H530,tblDepartment[Department],tblDepartment[Average_Salary_INR],"")</f>
        <v>680000</v>
      </c>
      <c r="AC530" t="str">
        <f>_xlfn.XLOOKUP(H530,tblDepartment[Department],tblDepartment[Priority_Level],"")</f>
        <v>High</v>
      </c>
      <c r="AD530" t="str">
        <f>_xlfn.XLOOKUP(H530,tblDepartment[Department],tblDepartment[Key_KPI],"")</f>
        <v>Revenue Achievement</v>
      </c>
      <c r="AE530">
        <f>_xlfn.XLOOKUP(tblMaster[[#This Row],[Shift]],tblShift[Shift_Name],tblShift[Login_Time],"")</f>
        <v>0.375</v>
      </c>
      <c r="AF530">
        <f>_xlfn.XLOOKUP(tblMaster[[#This Row],[Shift]],tblShift[Shift_Name],tblShift[Logout_Time]," ")</f>
        <v>0.75</v>
      </c>
      <c r="AG530">
        <f>_xlfn.XLOOKUP(tblMaster[[#This Row],[Shift]],tblShift[Shift_Name],tblShift[Standard_Working_Hours],"")</f>
        <v>8</v>
      </c>
      <c r="AH530" t="str">
        <f>_xlfn.XLOOKUP(tblMaster[[#This Row],[Attendance_Date]],tblHoliday[Holiday_Date],tblHoliday[Holiday_Name],"Working Day")</f>
        <v>Working Day</v>
      </c>
      <c r="AI530" t="str">
        <f>_xlfn.XLOOKUP(tblMaster[[#This Row],[Attendance_Date]],tblHoliday[Holiday_Date],tblHoliday[Holiday_Type],"Working Day ")</f>
        <v xml:space="preserve">Working Day </v>
      </c>
    </row>
    <row r="531" spans="1:35" hidden="1" x14ac:dyDescent="0.3">
      <c r="A531" t="s">
        <v>720</v>
      </c>
      <c r="B531" s="3">
        <v>45826</v>
      </c>
      <c r="C531" t="s">
        <v>23</v>
      </c>
      <c r="D531" t="s">
        <v>24</v>
      </c>
      <c r="E531" t="s">
        <v>51</v>
      </c>
      <c r="F531" t="s">
        <v>258</v>
      </c>
      <c r="G531" t="s">
        <v>259</v>
      </c>
      <c r="H531" t="s">
        <v>112</v>
      </c>
      <c r="I531" t="s">
        <v>113</v>
      </c>
      <c r="J531" t="s">
        <v>74</v>
      </c>
      <c r="K531" t="s">
        <v>44</v>
      </c>
      <c r="L531" s="2">
        <v>0.39930555555555558</v>
      </c>
      <c r="M531" s="2">
        <v>0.75</v>
      </c>
      <c r="N531">
        <v>8</v>
      </c>
      <c r="O531">
        <v>0</v>
      </c>
      <c r="P531" t="s">
        <v>32</v>
      </c>
      <c r="R531">
        <v>4</v>
      </c>
      <c r="S531" t="s">
        <v>45</v>
      </c>
      <c r="T531" t="s">
        <v>114</v>
      </c>
      <c r="U531" t="s">
        <v>55</v>
      </c>
      <c r="W531">
        <f>_xlfn.XLOOKUP(F531,tblEmployee[Employee_ID],tblEmployee[Age],"Not Found")</f>
        <v>39</v>
      </c>
      <c r="X531" t="str">
        <f>_xlfn.XLOOKUP(F531,tblEmployee[Employee_ID],tblEmployee[Gender],"Not Found")</f>
        <v>Male</v>
      </c>
      <c r="Y531">
        <f>_xlfn.XLOOKUP(F531,tblEmployee[Employee_ID],tblEmployee[Joining_Date],"")</f>
        <v>44362</v>
      </c>
      <c r="Z531">
        <f>_xlfn.XLOOKUP(H531,tblDepartment[Department],tblDepartment[Annual_Budget_INR],"")</f>
        <v>42000000</v>
      </c>
      <c r="AA531" t="str">
        <f>_xlfn.XLOOKUP(H531,tblDepartment[Department],tblDepartment[Monthly_Target],"")</f>
        <v>₹2.5 Cr Monthly Sales</v>
      </c>
      <c r="AB531">
        <f>_xlfn.XLOOKUP(H531,tblDepartment[Department],tblDepartment[Average_Salary_INR],"")</f>
        <v>680000</v>
      </c>
      <c r="AC531" t="str">
        <f>_xlfn.XLOOKUP(H531,tblDepartment[Department],tblDepartment[Priority_Level],"")</f>
        <v>High</v>
      </c>
      <c r="AD531" t="str">
        <f>_xlfn.XLOOKUP(H531,tblDepartment[Department],tblDepartment[Key_KPI],"")</f>
        <v>Revenue Achievement</v>
      </c>
      <c r="AE531">
        <f>_xlfn.XLOOKUP(tblMaster[[#This Row],[Shift]],tblShift[Shift_Name],tblShift[Login_Time],"")</f>
        <v>0.41666666666666669</v>
      </c>
      <c r="AF531">
        <f>_xlfn.XLOOKUP(tblMaster[[#This Row],[Shift]],tblShift[Shift_Name],tblShift[Logout_Time]," ")</f>
        <v>0.79166666666666663</v>
      </c>
      <c r="AG531">
        <f>_xlfn.XLOOKUP(tblMaster[[#This Row],[Shift]],tblShift[Shift_Name],tblShift[Standard_Working_Hours],"")</f>
        <v>8</v>
      </c>
      <c r="AH531" t="str">
        <f>_xlfn.XLOOKUP(tblMaster[[#This Row],[Attendance_Date]],tblHoliday[Holiday_Date],tblHoliday[Holiday_Name],"Working Day")</f>
        <v>Working Day</v>
      </c>
      <c r="AI531" t="str">
        <f>_xlfn.XLOOKUP(tblMaster[[#This Row],[Attendance_Date]],tblHoliday[Holiday_Date],tblHoliday[Holiday_Type],"Working Day ")</f>
        <v xml:space="preserve">Working Day </v>
      </c>
    </row>
    <row r="532" spans="1:35" hidden="1" x14ac:dyDescent="0.3">
      <c r="A532" t="s">
        <v>721</v>
      </c>
      <c r="B532" s="3">
        <v>45809</v>
      </c>
      <c r="C532" t="s">
        <v>23</v>
      </c>
      <c r="D532" t="s">
        <v>24</v>
      </c>
      <c r="E532" t="s">
        <v>103</v>
      </c>
      <c r="F532" t="s">
        <v>26</v>
      </c>
      <c r="G532" t="s">
        <v>27</v>
      </c>
      <c r="H532" t="s">
        <v>28</v>
      </c>
      <c r="I532" t="s">
        <v>29</v>
      </c>
      <c r="J532" t="s">
        <v>30</v>
      </c>
      <c r="K532" t="s">
        <v>31</v>
      </c>
      <c r="L532" s="2">
        <v>0.375</v>
      </c>
      <c r="M532" s="2">
        <v>0.75</v>
      </c>
      <c r="N532">
        <v>8</v>
      </c>
      <c r="O532">
        <v>0</v>
      </c>
      <c r="P532" t="s">
        <v>32</v>
      </c>
      <c r="S532" t="s">
        <v>67</v>
      </c>
      <c r="T532" t="s">
        <v>34</v>
      </c>
      <c r="U532" t="s">
        <v>85</v>
      </c>
      <c r="V532" t="s">
        <v>35</v>
      </c>
      <c r="W532">
        <f>_xlfn.XLOOKUP(F532,tblEmployee[Employee_ID],tblEmployee[Age],"Not Found")</f>
        <v>36</v>
      </c>
      <c r="X532" t="str">
        <f>_xlfn.XLOOKUP(F532,tblEmployee[Employee_ID],tblEmployee[Gender],"Not Found")</f>
        <v>Female</v>
      </c>
      <c r="Y532">
        <f>_xlfn.XLOOKUP(F532,tblEmployee[Employee_ID],tblEmployee[Joining_Date],"")</f>
        <v>43174</v>
      </c>
      <c r="Z532">
        <f>_xlfn.XLOOKUP(H532,tblDepartment[Department],tblDepartment[Annual_Budget_INR],"")</f>
        <v>24000000</v>
      </c>
      <c r="AA532" t="str">
        <f>_xlfn.XLOOKUP(H532,tblDepartment[Department],tblDepartment[Monthly_Target],"")</f>
        <v>90% Customer Satisfaction</v>
      </c>
      <c r="AB532">
        <f>_xlfn.XLOOKUP(H532,tblDepartment[Department],tblDepartment[Average_Salary_INR],"")</f>
        <v>520000</v>
      </c>
      <c r="AC532" t="str">
        <f>_xlfn.XLOOKUP(H532,tblDepartment[Department],tblDepartment[Priority_Level],"")</f>
        <v>High</v>
      </c>
      <c r="AD532" t="str">
        <f>_xlfn.XLOOKUP(H532,tblDepartment[Department],tblDepartment[Key_KPI],"")</f>
        <v>Customer Satisfaction</v>
      </c>
      <c r="AE532">
        <f>_xlfn.XLOOKUP(tblMaster[[#This Row],[Shift]],tblShift[Shift_Name],tblShift[Login_Time],"")</f>
        <v>0.25</v>
      </c>
      <c r="AF532">
        <f>_xlfn.XLOOKUP(tblMaster[[#This Row],[Shift]],tblShift[Shift_Name],tblShift[Logout_Time]," ")</f>
        <v>0.625</v>
      </c>
      <c r="AG532">
        <f>_xlfn.XLOOKUP(tblMaster[[#This Row],[Shift]],tblShift[Shift_Name],tblShift[Standard_Working_Hours],"")</f>
        <v>8</v>
      </c>
      <c r="AH532" t="str">
        <f>_xlfn.XLOOKUP(tblMaster[[#This Row],[Attendance_Date]],tblHoliday[Holiday_Date],tblHoliday[Holiday_Name],"Working Day")</f>
        <v>Working Day</v>
      </c>
      <c r="AI532" t="str">
        <f>_xlfn.XLOOKUP(tblMaster[[#This Row],[Attendance_Date]],tblHoliday[Holiday_Date],tblHoliday[Holiday_Type],"Working Day ")</f>
        <v xml:space="preserve">Working Day </v>
      </c>
    </row>
    <row r="533" spans="1:35" x14ac:dyDescent="0.3">
      <c r="A533" t="s">
        <v>722</v>
      </c>
      <c r="B533" s="3">
        <v>45757</v>
      </c>
      <c r="C533" t="s">
        <v>37</v>
      </c>
      <c r="D533" t="s">
        <v>24</v>
      </c>
      <c r="E533" t="s">
        <v>25</v>
      </c>
      <c r="F533" t="s">
        <v>215</v>
      </c>
      <c r="G533" t="s">
        <v>216</v>
      </c>
      <c r="H533" t="s">
        <v>79</v>
      </c>
      <c r="I533" t="s">
        <v>80</v>
      </c>
      <c r="J533" t="s">
        <v>30</v>
      </c>
      <c r="K533" t="s">
        <v>75</v>
      </c>
      <c r="L533" s="2">
        <v>0.375</v>
      </c>
      <c r="M533" s="2">
        <v>0.75</v>
      </c>
      <c r="N533">
        <v>8</v>
      </c>
      <c r="O533">
        <v>0</v>
      </c>
      <c r="P533" t="s">
        <v>32</v>
      </c>
      <c r="S533" t="s">
        <v>92</v>
      </c>
      <c r="T533" t="s">
        <v>84</v>
      </c>
      <c r="U533" t="str">
        <f>_xlfn.XLOOKUP(tblMaster[[#This Row],[Employee_ID]],tblEmployee[Employee_ID],tblEmployee[Work_Mode]," ")</f>
        <v>Office</v>
      </c>
      <c r="V533" t="s">
        <v>60</v>
      </c>
      <c r="W533">
        <f>_xlfn.XLOOKUP(F533,tblEmployee[Employee_ID],tblEmployee[Age],"Not Found")</f>
        <v>25</v>
      </c>
      <c r="X533" t="str">
        <f>_xlfn.XLOOKUP(F533,tblEmployee[Employee_ID],tblEmployee[Gender],"Not Found")</f>
        <v>Female</v>
      </c>
      <c r="Y533">
        <f>_xlfn.XLOOKUP(F533,tblEmployee[Employee_ID],tblEmployee[Joining_Date],"")</f>
        <v>44666</v>
      </c>
      <c r="Z533">
        <f>_xlfn.XLOOKUP(H533,tblDepartment[Department],tblDepartment[Annual_Budget_INR],"")</f>
        <v>26000000</v>
      </c>
      <c r="AA533" t="str">
        <f>_xlfn.XLOOKUP(H533,tblDepartment[Department],tblDepartment[Monthly_Target],"")</f>
        <v>100% Payroll Accuracy</v>
      </c>
      <c r="AB533">
        <f>_xlfn.XLOOKUP(H533,tblDepartment[Department],tblDepartment[Average_Salary_INR],"")</f>
        <v>640000</v>
      </c>
      <c r="AC533" t="str">
        <f>_xlfn.XLOOKUP(H533,tblDepartment[Department],tblDepartment[Priority_Level],"")</f>
        <v>High</v>
      </c>
      <c r="AD533" t="str">
        <f>_xlfn.XLOOKUP(H533,tblDepartment[Department],tblDepartment[Key_KPI],"")</f>
        <v>Financial Compliance</v>
      </c>
      <c r="AE533">
        <f>_xlfn.XLOOKUP(tblMaster[[#This Row],[Shift]],tblShift[Shift_Name],tblShift[Login_Time],"")</f>
        <v>0.375</v>
      </c>
      <c r="AF533">
        <f>_xlfn.XLOOKUP(tblMaster[[#This Row],[Shift]],tblShift[Shift_Name],tblShift[Logout_Time]," ")</f>
        <v>0.75</v>
      </c>
      <c r="AG533">
        <f>_xlfn.XLOOKUP(tblMaster[[#This Row],[Shift]],tblShift[Shift_Name],tblShift[Standard_Working_Hours],"")</f>
        <v>8</v>
      </c>
      <c r="AH533" t="str">
        <f>_xlfn.XLOOKUP(tblMaster[[#This Row],[Attendance_Date]],tblHoliday[Holiday_Date],tblHoliday[Holiday_Name],"Working Day")</f>
        <v>Working Day</v>
      </c>
      <c r="AI533" t="str">
        <f>_xlfn.XLOOKUP(tblMaster[[#This Row],[Attendance_Date]],tblHoliday[Holiday_Date],tblHoliday[Holiday_Type],"Working Day ")</f>
        <v xml:space="preserve">Working Day </v>
      </c>
    </row>
    <row r="534" spans="1:35" hidden="1" x14ac:dyDescent="0.3">
      <c r="A534" t="s">
        <v>723</v>
      </c>
      <c r="B534" s="3">
        <v>45798</v>
      </c>
      <c r="C534" t="s">
        <v>57</v>
      </c>
      <c r="D534" t="s">
        <v>24</v>
      </c>
      <c r="E534" t="s">
        <v>51</v>
      </c>
      <c r="F534" t="s">
        <v>104</v>
      </c>
      <c r="G534" t="s">
        <v>105</v>
      </c>
      <c r="H534" t="s">
        <v>28</v>
      </c>
      <c r="I534" t="s">
        <v>29</v>
      </c>
      <c r="J534" t="s">
        <v>30</v>
      </c>
      <c r="K534" t="s">
        <v>44</v>
      </c>
      <c r="L534" s="2">
        <v>0.375</v>
      </c>
      <c r="M534" s="2">
        <v>0.75</v>
      </c>
      <c r="N534">
        <v>8</v>
      </c>
      <c r="O534">
        <v>0</v>
      </c>
      <c r="P534" t="s">
        <v>32</v>
      </c>
      <c r="R534">
        <v>4</v>
      </c>
      <c r="S534" t="s">
        <v>33</v>
      </c>
      <c r="T534" t="s">
        <v>34</v>
      </c>
      <c r="U534" t="s">
        <v>47</v>
      </c>
      <c r="V534" t="s">
        <v>35</v>
      </c>
      <c r="W534">
        <f>_xlfn.XLOOKUP(F534,tblEmployee[Employee_ID],tblEmployee[Age],"Not Found")</f>
        <v>35</v>
      </c>
      <c r="X534" t="str">
        <f>_xlfn.XLOOKUP(F534,tblEmployee[Employee_ID],tblEmployee[Gender],"Not Found")</f>
        <v>Male</v>
      </c>
      <c r="Y534">
        <f>_xlfn.XLOOKUP(F534,tblEmployee[Employee_ID],tblEmployee[Joining_Date],"")</f>
        <v>43146</v>
      </c>
      <c r="Z534">
        <f>_xlfn.XLOOKUP(H534,tblDepartment[Department],tblDepartment[Annual_Budget_INR],"")</f>
        <v>24000000</v>
      </c>
      <c r="AA534" t="str">
        <f>_xlfn.XLOOKUP(H534,tblDepartment[Department],tblDepartment[Monthly_Target],"")</f>
        <v>90% Customer Satisfaction</v>
      </c>
      <c r="AB534">
        <f>_xlfn.XLOOKUP(H534,tblDepartment[Department],tblDepartment[Average_Salary_INR],"")</f>
        <v>520000</v>
      </c>
      <c r="AC534" t="str">
        <f>_xlfn.XLOOKUP(H534,tblDepartment[Department],tblDepartment[Priority_Level],"")</f>
        <v>High</v>
      </c>
      <c r="AD534" t="str">
        <f>_xlfn.XLOOKUP(H534,tblDepartment[Department],tblDepartment[Key_KPI],"")</f>
        <v>Customer Satisfaction</v>
      </c>
      <c r="AE534">
        <f>_xlfn.XLOOKUP(tblMaster[[#This Row],[Shift]],tblShift[Shift_Name],tblShift[Login_Time],"")</f>
        <v>0.41666666666666669</v>
      </c>
      <c r="AF534">
        <f>_xlfn.XLOOKUP(tblMaster[[#This Row],[Shift]],tblShift[Shift_Name],tblShift[Logout_Time]," ")</f>
        <v>0.79166666666666663</v>
      </c>
      <c r="AG534">
        <f>_xlfn.XLOOKUP(tblMaster[[#This Row],[Shift]],tblShift[Shift_Name],tblShift[Standard_Working_Hours],"")</f>
        <v>8</v>
      </c>
      <c r="AH534" t="str">
        <f>_xlfn.XLOOKUP(tblMaster[[#This Row],[Attendance_Date]],tblHoliday[Holiday_Date],tblHoliday[Holiday_Name],"Working Day")</f>
        <v>Working Day</v>
      </c>
      <c r="AI534" t="str">
        <f>_xlfn.XLOOKUP(tblMaster[[#This Row],[Attendance_Date]],tblHoliday[Holiday_Date],tblHoliday[Holiday_Type],"Working Day ")</f>
        <v xml:space="preserve">Working Day </v>
      </c>
    </row>
    <row r="535" spans="1:35" hidden="1" x14ac:dyDescent="0.3">
      <c r="A535" t="s">
        <v>724</v>
      </c>
      <c r="B535" s="1">
        <v>45756</v>
      </c>
      <c r="C535" t="s">
        <v>37</v>
      </c>
      <c r="D535" t="s">
        <v>24</v>
      </c>
      <c r="E535" t="s">
        <v>51</v>
      </c>
      <c r="F535" t="s">
        <v>281</v>
      </c>
      <c r="G535" t="s">
        <v>282</v>
      </c>
      <c r="H535" t="s">
        <v>90</v>
      </c>
      <c r="I535" t="s">
        <v>91</v>
      </c>
      <c r="J535" t="s">
        <v>30</v>
      </c>
      <c r="K535" t="s">
        <v>81</v>
      </c>
      <c r="L535" s="2">
        <v>0.91666666666666663</v>
      </c>
      <c r="M535" s="2">
        <v>0.29166666666666669</v>
      </c>
      <c r="N535">
        <v>9.5</v>
      </c>
      <c r="O535">
        <v>1.5</v>
      </c>
      <c r="P535" t="s">
        <v>32</v>
      </c>
      <c r="R535">
        <v>4</v>
      </c>
      <c r="S535" t="s">
        <v>67</v>
      </c>
      <c r="T535" t="s">
        <v>93</v>
      </c>
      <c r="U535" t="s">
        <v>47</v>
      </c>
      <c r="V535" t="s">
        <v>35</v>
      </c>
      <c r="W535">
        <f>_xlfn.XLOOKUP(F535,tblEmployee[Employee_ID],tblEmployee[Age],"Not Found")</f>
        <v>31</v>
      </c>
      <c r="X535" t="str">
        <f>_xlfn.XLOOKUP(F535,tblEmployee[Employee_ID],tblEmployee[Gender],"Not Found")</f>
        <v>Male</v>
      </c>
      <c r="Y535">
        <f>_xlfn.XLOOKUP(F535,tblEmployee[Employee_ID],tblEmployee[Joining_Date],"")</f>
        <v>44119</v>
      </c>
      <c r="Z535">
        <f>_xlfn.XLOOKUP(H535,tblDepartment[Department],tblDepartment[Annual_Budget_INR],"")</f>
        <v>18000000</v>
      </c>
      <c r="AA535" t="str">
        <f>_xlfn.XLOOKUP(H535,tblDepartment[Department],tblDepartment[Monthly_Target],"")</f>
        <v>&lt;30 Days Hiring Cycle</v>
      </c>
      <c r="AB535">
        <f>_xlfn.XLOOKUP(H535,tblDepartment[Department],tblDepartment[Average_Salary_INR],"")</f>
        <v>560000</v>
      </c>
      <c r="AC535" t="str">
        <f>_xlfn.XLOOKUP(H535,tblDepartment[Department],tblDepartment[Priority_Level],"")</f>
        <v>Medium</v>
      </c>
      <c r="AD535" t="str">
        <f>_xlfn.XLOOKUP(H535,tblDepartment[Department],tblDepartment[Key_KPI],"")</f>
        <v>Hiring &amp; Retention</v>
      </c>
      <c r="AE535">
        <f>_xlfn.XLOOKUP(tblMaster[[#This Row],[Shift]],tblShift[Shift_Name],tblShift[Login_Time],"")</f>
        <v>0.91666666666666663</v>
      </c>
      <c r="AF535">
        <f>_xlfn.XLOOKUP(tblMaster[[#This Row],[Shift]],tblShift[Shift_Name],tblShift[Logout_Time]," ")</f>
        <v>0.29166666666666669</v>
      </c>
      <c r="AG535">
        <f>_xlfn.XLOOKUP(tblMaster[[#This Row],[Shift]],tblShift[Shift_Name],tblShift[Standard_Working_Hours],"")</f>
        <v>8</v>
      </c>
      <c r="AH535" t="str">
        <f>_xlfn.XLOOKUP(tblMaster[[#This Row],[Attendance_Date]],tblHoliday[Holiday_Date],tblHoliday[Holiday_Name],"Working Day")</f>
        <v>Working Day</v>
      </c>
      <c r="AI535" t="str">
        <f>_xlfn.XLOOKUP(tblMaster[[#This Row],[Attendance_Date]],tblHoliday[Holiday_Date],tblHoliday[Holiday_Type],"Working Day ")</f>
        <v xml:space="preserve">Working Day </v>
      </c>
    </row>
    <row r="536" spans="1:35" hidden="1" x14ac:dyDescent="0.3">
      <c r="A536" t="s">
        <v>725</v>
      </c>
      <c r="B536" s="1">
        <v>45748</v>
      </c>
      <c r="C536" t="s">
        <v>37</v>
      </c>
      <c r="D536" t="s">
        <v>24</v>
      </c>
      <c r="E536" t="s">
        <v>87</v>
      </c>
      <c r="F536" t="s">
        <v>207</v>
      </c>
      <c r="G536" t="s">
        <v>208</v>
      </c>
      <c r="H536" t="s">
        <v>64</v>
      </c>
      <c r="I536" t="s">
        <v>65</v>
      </c>
      <c r="J536" t="s">
        <v>30</v>
      </c>
      <c r="K536" t="s">
        <v>31</v>
      </c>
      <c r="P536" t="s">
        <v>82</v>
      </c>
      <c r="S536" t="s">
        <v>92</v>
      </c>
      <c r="T536" t="s">
        <v>68</v>
      </c>
      <c r="U536" t="s">
        <v>85</v>
      </c>
      <c r="V536" t="s">
        <v>35</v>
      </c>
      <c r="W536">
        <f>_xlfn.XLOOKUP(F536,tblEmployee[Employee_ID],tblEmployee[Age],"Not Found")</f>
        <v>33</v>
      </c>
      <c r="X536" t="str">
        <f>_xlfn.XLOOKUP(F536,tblEmployee[Employee_ID],tblEmployee[Gender],"Not Found")</f>
        <v>Male</v>
      </c>
      <c r="Y536">
        <f>_xlfn.XLOOKUP(F536,tblEmployee[Employee_ID],tblEmployee[Joining_Date],"")</f>
        <v>43631</v>
      </c>
      <c r="Z536">
        <f>_xlfn.XLOOKUP(H536,tblDepartment[Department],tblDepartment[Annual_Budget_INR],"")</f>
        <v>85000000</v>
      </c>
      <c r="AA536" t="str">
        <f>_xlfn.XLOOKUP(H536,tblDepartment[Department],tblDepartment[Monthly_Target],"")</f>
        <v>99.5% System Uptime</v>
      </c>
      <c r="AB536">
        <f>_xlfn.XLOOKUP(H536,tblDepartment[Department],tblDepartment[Average_Salary_INR],"")</f>
        <v>720000</v>
      </c>
      <c r="AC536" t="str">
        <f>_xlfn.XLOOKUP(H536,tblDepartment[Department],tblDepartment[Priority_Level],"")</f>
        <v>High</v>
      </c>
      <c r="AD536" t="str">
        <f>_xlfn.XLOOKUP(H536,tblDepartment[Department],tblDepartment[Key_KPI],"")</f>
        <v>Project Delivery</v>
      </c>
      <c r="AE536">
        <f>_xlfn.XLOOKUP(tblMaster[[#This Row],[Shift]],tblShift[Shift_Name],tblShift[Login_Time],"")</f>
        <v>0.25</v>
      </c>
      <c r="AF536">
        <f>_xlfn.XLOOKUP(tblMaster[[#This Row],[Shift]],tblShift[Shift_Name],tblShift[Logout_Time]," ")</f>
        <v>0.625</v>
      </c>
      <c r="AG536">
        <f>_xlfn.XLOOKUP(tblMaster[[#This Row],[Shift]],tblShift[Shift_Name],tblShift[Standard_Working_Hours],"")</f>
        <v>8</v>
      </c>
      <c r="AH536" t="str">
        <f>_xlfn.XLOOKUP(tblMaster[[#This Row],[Attendance_Date]],tblHoliday[Holiday_Date],tblHoliday[Holiday_Name],"Working Day")</f>
        <v>Working Day</v>
      </c>
      <c r="AI536" t="str">
        <f>_xlfn.XLOOKUP(tblMaster[[#This Row],[Attendance_Date]],tblHoliday[Holiday_Date],tblHoliday[Holiday_Type],"Working Day ")</f>
        <v xml:space="preserve">Working Day </v>
      </c>
    </row>
    <row r="537" spans="1:35" x14ac:dyDescent="0.3">
      <c r="A537" t="s">
        <v>726</v>
      </c>
      <c r="B537" s="3">
        <v>45757</v>
      </c>
      <c r="C537" t="s">
        <v>37</v>
      </c>
      <c r="D537" t="s">
        <v>24</v>
      </c>
      <c r="E537" t="s">
        <v>25</v>
      </c>
      <c r="F537" t="s">
        <v>182</v>
      </c>
      <c r="G537" t="s">
        <v>183</v>
      </c>
      <c r="H537" t="s">
        <v>112</v>
      </c>
      <c r="I537" t="s">
        <v>113</v>
      </c>
      <c r="J537" t="s">
        <v>30</v>
      </c>
      <c r="K537" t="s">
        <v>54</v>
      </c>
      <c r="L537" s="2">
        <v>0.3888888888888889</v>
      </c>
      <c r="M537" s="2">
        <v>0.75</v>
      </c>
      <c r="N537">
        <v>8</v>
      </c>
      <c r="O537">
        <v>0</v>
      </c>
      <c r="P537" t="s">
        <v>32</v>
      </c>
      <c r="R537">
        <v>4</v>
      </c>
      <c r="S537" t="s">
        <v>67</v>
      </c>
      <c r="T537" t="s">
        <v>114</v>
      </c>
      <c r="U537" t="str">
        <f>_xlfn.XLOOKUP(tblMaster[[#This Row],[Employee_ID]],tblEmployee[Employee_ID],tblEmployee[Work_Mode]," ")</f>
        <v>Office</v>
      </c>
      <c r="W537">
        <f>_xlfn.XLOOKUP(F537,tblEmployee[Employee_ID],tblEmployee[Age],"Not Found")</f>
        <v>28</v>
      </c>
      <c r="X537" t="str">
        <f>_xlfn.XLOOKUP(F537,tblEmployee[Employee_ID],tblEmployee[Gender],"Not Found")</f>
        <v>Male</v>
      </c>
      <c r="Y537">
        <f>_xlfn.XLOOKUP(F537,tblEmployee[Employee_ID],tblEmployee[Joining_Date],"")</f>
        <v>44211</v>
      </c>
      <c r="Z537">
        <f>_xlfn.XLOOKUP(H537,tblDepartment[Department],tblDepartment[Annual_Budget_INR],"")</f>
        <v>42000000</v>
      </c>
      <c r="AA537" t="str">
        <f>_xlfn.XLOOKUP(H537,tblDepartment[Department],tblDepartment[Monthly_Target],"")</f>
        <v>₹2.5 Cr Monthly Sales</v>
      </c>
      <c r="AB537">
        <f>_xlfn.XLOOKUP(H537,tblDepartment[Department],tblDepartment[Average_Salary_INR],"")</f>
        <v>680000</v>
      </c>
      <c r="AC537" t="str">
        <f>_xlfn.XLOOKUP(H537,tblDepartment[Department],tblDepartment[Priority_Level],"")</f>
        <v>High</v>
      </c>
      <c r="AD537" t="str">
        <f>_xlfn.XLOOKUP(H537,tblDepartment[Department],tblDepartment[Key_KPI],"")</f>
        <v>Revenue Achievement</v>
      </c>
      <c r="AE537">
        <f>_xlfn.XLOOKUP(tblMaster[[#This Row],[Shift]],tblShift[Shift_Name],tblShift[Login_Time],"")</f>
        <v>0.58333333333333337</v>
      </c>
      <c r="AF537">
        <f>_xlfn.XLOOKUP(tblMaster[[#This Row],[Shift]],tblShift[Shift_Name],tblShift[Logout_Time]," ")</f>
        <v>0.95833333333333337</v>
      </c>
      <c r="AG537">
        <f>_xlfn.XLOOKUP(tblMaster[[#This Row],[Shift]],tblShift[Shift_Name],tblShift[Standard_Working_Hours],"")</f>
        <v>8</v>
      </c>
      <c r="AH537" t="str">
        <f>_xlfn.XLOOKUP(tblMaster[[#This Row],[Attendance_Date]],tblHoliday[Holiday_Date],tblHoliday[Holiday_Name],"Working Day")</f>
        <v>Working Day</v>
      </c>
      <c r="AI537" t="str">
        <f>_xlfn.XLOOKUP(tblMaster[[#This Row],[Attendance_Date]],tblHoliday[Holiday_Date],tblHoliday[Holiday_Type],"Working Day ")</f>
        <v xml:space="preserve">Working Day </v>
      </c>
    </row>
    <row r="538" spans="1:35" hidden="1" x14ac:dyDescent="0.3">
      <c r="A538" t="s">
        <v>727</v>
      </c>
      <c r="B538" s="3">
        <v>45701</v>
      </c>
      <c r="C538" t="s">
        <v>95</v>
      </c>
      <c r="D538" t="s">
        <v>50</v>
      </c>
      <c r="E538" t="s">
        <v>25</v>
      </c>
      <c r="F538" t="s">
        <v>120</v>
      </c>
      <c r="G538" t="s">
        <v>121</v>
      </c>
      <c r="H538" t="s">
        <v>180</v>
      </c>
      <c r="I538" t="s">
        <v>42</v>
      </c>
      <c r="J538" t="s">
        <v>74</v>
      </c>
      <c r="K538" t="s">
        <v>81</v>
      </c>
      <c r="L538" s="2">
        <v>0.91666666666666663</v>
      </c>
      <c r="M538" s="2">
        <v>0.29166666666666669</v>
      </c>
      <c r="N538">
        <v>8.5</v>
      </c>
      <c r="O538">
        <v>0.5</v>
      </c>
      <c r="P538" t="s">
        <v>32</v>
      </c>
      <c r="R538">
        <v>4</v>
      </c>
      <c r="S538" t="s">
        <v>33</v>
      </c>
      <c r="T538" t="s">
        <v>46</v>
      </c>
      <c r="U538" t="s">
        <v>55</v>
      </c>
      <c r="W538">
        <f>_xlfn.XLOOKUP(F538,tblEmployee[Employee_ID],tblEmployee[Age],"Not Found")</f>
        <v>34</v>
      </c>
      <c r="X538" t="str">
        <f>_xlfn.XLOOKUP(F538,tblEmployee[Employee_ID],tblEmployee[Gender],"Not Found")</f>
        <v>Female</v>
      </c>
      <c r="Y538">
        <f>_xlfn.XLOOKUP(F538,tblEmployee[Employee_ID],tblEmployee[Joining_Date],"")</f>
        <v>44941</v>
      </c>
      <c r="Z538">
        <f>_xlfn.XLOOKUP(H538,tblDepartment[Department],tblDepartment[Annual_Budget_INR],"")</f>
        <v>34000000</v>
      </c>
      <c r="AA538" t="str">
        <f>_xlfn.XLOOKUP(H538,tblDepartment[Department],tblDepartment[Monthly_Target],"")</f>
        <v>95% Process Efficiency</v>
      </c>
      <c r="AB538">
        <f>_xlfn.XLOOKUP(H538,tblDepartment[Department],tblDepartment[Average_Salary_INR],"")</f>
        <v>610000</v>
      </c>
      <c r="AC538" t="str">
        <f>_xlfn.XLOOKUP(H538,tblDepartment[Department],tblDepartment[Priority_Level],"")</f>
        <v>High</v>
      </c>
      <c r="AD538" t="str">
        <f>_xlfn.XLOOKUP(H538,tblDepartment[Department],tblDepartment[Key_KPI],"")</f>
        <v>Operational Efficiency</v>
      </c>
      <c r="AE538">
        <f>_xlfn.XLOOKUP(tblMaster[[#This Row],[Shift]],tblShift[Shift_Name],tblShift[Login_Time],"")</f>
        <v>0.91666666666666663</v>
      </c>
      <c r="AF538">
        <f>_xlfn.XLOOKUP(tblMaster[[#This Row],[Shift]],tblShift[Shift_Name],tblShift[Logout_Time]," ")</f>
        <v>0.29166666666666669</v>
      </c>
      <c r="AG538">
        <f>_xlfn.XLOOKUP(tblMaster[[#This Row],[Shift]],tblShift[Shift_Name],tblShift[Standard_Working_Hours],"")</f>
        <v>8</v>
      </c>
      <c r="AH538" t="str">
        <f>_xlfn.XLOOKUP(tblMaster[[#This Row],[Attendance_Date]],tblHoliday[Holiday_Date],tblHoliday[Holiday_Name],"Working Day")</f>
        <v>Working Day</v>
      </c>
      <c r="AI538" t="str">
        <f>_xlfn.XLOOKUP(tblMaster[[#This Row],[Attendance_Date]],tblHoliday[Holiday_Date],tblHoliday[Holiday_Type],"Working Day ")</f>
        <v xml:space="preserve">Working Day </v>
      </c>
    </row>
    <row r="539" spans="1:35" hidden="1" x14ac:dyDescent="0.3">
      <c r="A539" t="s">
        <v>728</v>
      </c>
      <c r="B539" s="3">
        <v>45819</v>
      </c>
      <c r="C539" t="s">
        <v>23</v>
      </c>
      <c r="D539" t="s">
        <v>24</v>
      </c>
      <c r="E539" t="s">
        <v>51</v>
      </c>
      <c r="F539" t="s">
        <v>192</v>
      </c>
      <c r="G539" t="s">
        <v>193</v>
      </c>
      <c r="H539" t="s">
        <v>79</v>
      </c>
      <c r="I539" t="s">
        <v>80</v>
      </c>
      <c r="J539" t="s">
        <v>66</v>
      </c>
      <c r="K539" t="s">
        <v>54</v>
      </c>
      <c r="P539" t="s">
        <v>135</v>
      </c>
      <c r="S539" t="s">
        <v>33</v>
      </c>
      <c r="T539" t="s">
        <v>84</v>
      </c>
      <c r="U539" t="s">
        <v>55</v>
      </c>
      <c r="V539" t="s">
        <v>35</v>
      </c>
      <c r="W539">
        <f>_xlfn.XLOOKUP(F539,tblEmployee[Employee_ID],tblEmployee[Age],"Not Found")</f>
        <v>32</v>
      </c>
      <c r="X539" t="str">
        <f>_xlfn.XLOOKUP(F539,tblEmployee[Employee_ID],tblEmployee[Gender],"Not Found")</f>
        <v>Female</v>
      </c>
      <c r="Y539">
        <f>_xlfn.XLOOKUP(F539,tblEmployee[Employee_ID],tblEmployee[Joining_Date],"")</f>
        <v>44880</v>
      </c>
      <c r="Z539">
        <f>_xlfn.XLOOKUP(H539,tblDepartment[Department],tblDepartment[Annual_Budget_INR],"")</f>
        <v>26000000</v>
      </c>
      <c r="AA539" t="str">
        <f>_xlfn.XLOOKUP(H539,tblDepartment[Department],tblDepartment[Monthly_Target],"")</f>
        <v>100% Payroll Accuracy</v>
      </c>
      <c r="AB539">
        <f>_xlfn.XLOOKUP(H539,tblDepartment[Department],tblDepartment[Average_Salary_INR],"")</f>
        <v>640000</v>
      </c>
      <c r="AC539" t="str">
        <f>_xlfn.XLOOKUP(H539,tblDepartment[Department],tblDepartment[Priority_Level],"")</f>
        <v>High</v>
      </c>
      <c r="AD539" t="str">
        <f>_xlfn.XLOOKUP(H539,tblDepartment[Department],tblDepartment[Key_KPI],"")</f>
        <v>Financial Compliance</v>
      </c>
      <c r="AE539">
        <f>_xlfn.XLOOKUP(tblMaster[[#This Row],[Shift]],tblShift[Shift_Name],tblShift[Login_Time],"")</f>
        <v>0.58333333333333337</v>
      </c>
      <c r="AF539">
        <f>_xlfn.XLOOKUP(tblMaster[[#This Row],[Shift]],tblShift[Shift_Name],tblShift[Logout_Time]," ")</f>
        <v>0.95833333333333337</v>
      </c>
      <c r="AG539">
        <f>_xlfn.XLOOKUP(tblMaster[[#This Row],[Shift]],tblShift[Shift_Name],tblShift[Standard_Working_Hours],"")</f>
        <v>8</v>
      </c>
      <c r="AH539" t="str">
        <f>_xlfn.XLOOKUP(tblMaster[[#This Row],[Attendance_Date]],tblHoliday[Holiday_Date],tblHoliday[Holiday_Name],"Working Day")</f>
        <v>Working Day</v>
      </c>
      <c r="AI539" t="str">
        <f>_xlfn.XLOOKUP(tblMaster[[#This Row],[Attendance_Date]],tblHoliday[Holiday_Date],tblHoliday[Holiday_Type],"Working Day ")</f>
        <v xml:space="preserve">Working Day </v>
      </c>
    </row>
    <row r="540" spans="1:35" x14ac:dyDescent="0.3">
      <c r="A540" t="s">
        <v>729</v>
      </c>
      <c r="B540" s="3">
        <v>45833</v>
      </c>
      <c r="C540" t="s">
        <v>23</v>
      </c>
      <c r="D540" t="s">
        <v>24</v>
      </c>
      <c r="E540" t="s">
        <v>51</v>
      </c>
      <c r="F540" t="s">
        <v>228</v>
      </c>
      <c r="G540" t="s">
        <v>229</v>
      </c>
      <c r="H540" t="s">
        <v>79</v>
      </c>
      <c r="I540" t="s">
        <v>80</v>
      </c>
      <c r="J540" t="s">
        <v>43</v>
      </c>
      <c r="K540" t="s">
        <v>31</v>
      </c>
      <c r="L540" s="2">
        <v>0.375</v>
      </c>
      <c r="M540" s="2">
        <v>0.75</v>
      </c>
      <c r="N540">
        <v>8</v>
      </c>
      <c r="O540">
        <v>0</v>
      </c>
      <c r="P540" t="s">
        <v>32</v>
      </c>
      <c r="R540">
        <v>4</v>
      </c>
      <c r="S540" t="s">
        <v>67</v>
      </c>
      <c r="T540" t="s">
        <v>84</v>
      </c>
      <c r="U540" t="str">
        <f>_xlfn.XLOOKUP(tblMaster[[#This Row],[Employee_ID]],tblEmployee[Employee_ID],tblEmployee[Work_Mode]," ")</f>
        <v>Hybrid</v>
      </c>
      <c r="V540" t="s">
        <v>69</v>
      </c>
      <c r="W540">
        <f>_xlfn.XLOOKUP(F540,tblEmployee[Employee_ID],tblEmployee[Age],"Not Found")</f>
        <v>29</v>
      </c>
      <c r="X540" t="str">
        <f>_xlfn.XLOOKUP(F540,tblEmployee[Employee_ID],tblEmployee[Gender],"Not Found")</f>
        <v>Female</v>
      </c>
      <c r="Y540">
        <f>_xlfn.XLOOKUP(F540,tblEmployee[Employee_ID],tblEmployee[Joining_Date],"")</f>
        <v>44607</v>
      </c>
      <c r="Z540">
        <f>_xlfn.XLOOKUP(H540,tblDepartment[Department],tblDepartment[Annual_Budget_INR],"")</f>
        <v>26000000</v>
      </c>
      <c r="AA540" t="str">
        <f>_xlfn.XLOOKUP(H540,tblDepartment[Department],tblDepartment[Monthly_Target],"")</f>
        <v>100% Payroll Accuracy</v>
      </c>
      <c r="AB540">
        <f>_xlfn.XLOOKUP(H540,tblDepartment[Department],tblDepartment[Average_Salary_INR],"")</f>
        <v>640000</v>
      </c>
      <c r="AC540" t="str">
        <f>_xlfn.XLOOKUP(H540,tblDepartment[Department],tblDepartment[Priority_Level],"")</f>
        <v>High</v>
      </c>
      <c r="AD540" t="str">
        <f>_xlfn.XLOOKUP(H540,tblDepartment[Department],tblDepartment[Key_KPI],"")</f>
        <v>Financial Compliance</v>
      </c>
      <c r="AE540">
        <f>_xlfn.XLOOKUP(tblMaster[[#This Row],[Shift]],tblShift[Shift_Name],tblShift[Login_Time],"")</f>
        <v>0.25</v>
      </c>
      <c r="AF540">
        <f>_xlfn.XLOOKUP(tblMaster[[#This Row],[Shift]],tblShift[Shift_Name],tblShift[Logout_Time]," ")</f>
        <v>0.625</v>
      </c>
      <c r="AG540">
        <f>_xlfn.XLOOKUP(tblMaster[[#This Row],[Shift]],tblShift[Shift_Name],tblShift[Standard_Working_Hours],"")</f>
        <v>8</v>
      </c>
      <c r="AH540" t="str">
        <f>_xlfn.XLOOKUP(tblMaster[[#This Row],[Attendance_Date]],tblHoliday[Holiday_Date],tblHoliday[Holiday_Name],"Working Day")</f>
        <v>Working Day</v>
      </c>
      <c r="AI540" t="str">
        <f>_xlfn.XLOOKUP(tblMaster[[#This Row],[Attendance_Date]],tblHoliday[Holiday_Date],tblHoliday[Holiday_Type],"Working Day ")</f>
        <v xml:space="preserve">Working Day </v>
      </c>
    </row>
    <row r="541" spans="1:35" x14ac:dyDescent="0.3">
      <c r="A541" t="s">
        <v>730</v>
      </c>
      <c r="B541" s="3">
        <v>45767</v>
      </c>
      <c r="C541" t="s">
        <v>37</v>
      </c>
      <c r="D541" t="s">
        <v>24</v>
      </c>
      <c r="E541" t="s">
        <v>103</v>
      </c>
      <c r="F541" t="s">
        <v>266</v>
      </c>
      <c r="G541" t="s">
        <v>267</v>
      </c>
      <c r="H541" t="s">
        <v>98</v>
      </c>
      <c r="I541" t="s">
        <v>99</v>
      </c>
      <c r="J541" t="s">
        <v>66</v>
      </c>
      <c r="K541" t="s">
        <v>44</v>
      </c>
      <c r="L541" s="2">
        <v>0.375</v>
      </c>
      <c r="M541" s="2">
        <v>0.75</v>
      </c>
      <c r="N541">
        <v>8</v>
      </c>
      <c r="O541">
        <v>0</v>
      </c>
      <c r="P541" t="s">
        <v>32</v>
      </c>
      <c r="S541" t="s">
        <v>33</v>
      </c>
      <c r="T541" t="s">
        <v>101</v>
      </c>
      <c r="U541" t="str">
        <f>_xlfn.XLOOKUP(tblMaster[[#This Row],[Employee_ID]],tblEmployee[Employee_ID],tblEmployee[Work_Mode]," ")</f>
        <v>Office</v>
      </c>
      <c r="V541" t="s">
        <v>35</v>
      </c>
      <c r="W541">
        <f>_xlfn.XLOOKUP(F541,tblEmployee[Employee_ID],tblEmployee[Age],"Not Found")</f>
        <v>28</v>
      </c>
      <c r="X541" t="str">
        <f>_xlfn.XLOOKUP(F541,tblEmployee[Employee_ID],tblEmployee[Gender],"Not Found")</f>
        <v>Female</v>
      </c>
      <c r="Y541">
        <f>_xlfn.XLOOKUP(F541,tblEmployee[Employee_ID],tblEmployee[Joining_Date],"")</f>
        <v>45488</v>
      </c>
      <c r="Z541">
        <f>_xlfn.XLOOKUP(H541,tblDepartment[Department],tblDepartment[Annual_Budget_INR],"")</f>
        <v>22000000</v>
      </c>
      <c r="AA541" t="str">
        <f>_xlfn.XLOOKUP(H541,tblDepartment[Department],tblDepartment[Monthly_Target],"")</f>
        <v>2500 Qualified Leads</v>
      </c>
      <c r="AB541">
        <f>_xlfn.XLOOKUP(H541,tblDepartment[Department],tblDepartment[Average_Salary_INR],"")</f>
        <v>590000</v>
      </c>
      <c r="AC541" t="str">
        <f>_xlfn.XLOOKUP(H541,tblDepartment[Department],tblDepartment[Priority_Level],"")</f>
        <v>Medium</v>
      </c>
      <c r="AD541" t="str">
        <f>_xlfn.XLOOKUP(H541,tblDepartment[Department],tblDepartment[Key_KPI],"")</f>
        <v>Lead Generation</v>
      </c>
      <c r="AE541">
        <f>_xlfn.XLOOKUP(tblMaster[[#This Row],[Shift]],tblShift[Shift_Name],tblShift[Login_Time],"")</f>
        <v>0.41666666666666669</v>
      </c>
      <c r="AF541">
        <f>_xlfn.XLOOKUP(tblMaster[[#This Row],[Shift]],tblShift[Shift_Name],tblShift[Logout_Time]," ")</f>
        <v>0.79166666666666663</v>
      </c>
      <c r="AG541">
        <f>_xlfn.XLOOKUP(tblMaster[[#This Row],[Shift]],tblShift[Shift_Name],tblShift[Standard_Working_Hours],"")</f>
        <v>8</v>
      </c>
      <c r="AH541" t="str">
        <f>_xlfn.XLOOKUP(tblMaster[[#This Row],[Attendance_Date]],tblHoliday[Holiday_Date],tblHoliday[Holiday_Name],"Working Day")</f>
        <v>Working Day</v>
      </c>
      <c r="AI541" t="str">
        <f>_xlfn.XLOOKUP(tblMaster[[#This Row],[Attendance_Date]],tblHoliday[Holiday_Date],tblHoliday[Holiday_Type],"Working Day ")</f>
        <v xml:space="preserve">Working Day </v>
      </c>
    </row>
    <row r="542" spans="1:35" x14ac:dyDescent="0.3">
      <c r="A542" t="s">
        <v>731</v>
      </c>
      <c r="B542" s="1">
        <v>45830</v>
      </c>
      <c r="C542" t="s">
        <v>23</v>
      </c>
      <c r="D542" t="s">
        <v>24</v>
      </c>
      <c r="E542" t="s">
        <v>103</v>
      </c>
      <c r="F542" t="s">
        <v>154</v>
      </c>
      <c r="G542" t="s">
        <v>155</v>
      </c>
      <c r="H542" t="s">
        <v>41</v>
      </c>
      <c r="I542" t="s">
        <v>42</v>
      </c>
      <c r="J542" t="s">
        <v>74</v>
      </c>
      <c r="K542" t="s">
        <v>75</v>
      </c>
      <c r="L542" s="2">
        <v>0.375</v>
      </c>
      <c r="M542" s="2">
        <v>0.75</v>
      </c>
      <c r="N542">
        <v>8</v>
      </c>
      <c r="O542">
        <v>0</v>
      </c>
      <c r="P542" t="s">
        <v>32</v>
      </c>
      <c r="S542" t="s">
        <v>92</v>
      </c>
      <c r="T542" t="s">
        <v>46</v>
      </c>
      <c r="U542" t="str">
        <f>_xlfn.XLOOKUP(tblMaster[[#This Row],[Employee_ID]],tblEmployee[Employee_ID],tblEmployee[Work_Mode]," ")</f>
        <v>Remote</v>
      </c>
      <c r="V542" t="s">
        <v>35</v>
      </c>
      <c r="W542">
        <f>_xlfn.XLOOKUP(F542,tblEmployee[Employee_ID],tblEmployee[Age],"Not Found")</f>
        <v>33</v>
      </c>
      <c r="X542" t="str">
        <f>_xlfn.XLOOKUP(F542,tblEmployee[Employee_ID],tblEmployee[Gender],"Not Found")</f>
        <v>Male</v>
      </c>
      <c r="Y542">
        <f>_xlfn.XLOOKUP(F542,tblEmployee[Employee_ID],tblEmployee[Joining_Date],"")</f>
        <v>45275</v>
      </c>
      <c r="Z542">
        <f>_xlfn.XLOOKUP(H542,tblDepartment[Department],tblDepartment[Annual_Budget_INR],"")</f>
        <v>34000000</v>
      </c>
      <c r="AA542" t="str">
        <f>_xlfn.XLOOKUP(H542,tblDepartment[Department],tblDepartment[Monthly_Target],"")</f>
        <v>95% Process Efficiency</v>
      </c>
      <c r="AB542">
        <f>_xlfn.XLOOKUP(H542,tblDepartment[Department],tblDepartment[Average_Salary_INR],"")</f>
        <v>610000</v>
      </c>
      <c r="AC542" t="str">
        <f>_xlfn.XLOOKUP(H542,tblDepartment[Department],tblDepartment[Priority_Level],"")</f>
        <v>High</v>
      </c>
      <c r="AD542" t="str">
        <f>_xlfn.XLOOKUP(H542,tblDepartment[Department],tblDepartment[Key_KPI],"")</f>
        <v>Operational Efficiency</v>
      </c>
      <c r="AE542">
        <f>_xlfn.XLOOKUP(tblMaster[[#This Row],[Shift]],tblShift[Shift_Name],tblShift[Login_Time],"")</f>
        <v>0.375</v>
      </c>
      <c r="AF542">
        <f>_xlfn.XLOOKUP(tblMaster[[#This Row],[Shift]],tblShift[Shift_Name],tblShift[Logout_Time]," ")</f>
        <v>0.75</v>
      </c>
      <c r="AG542">
        <f>_xlfn.XLOOKUP(tblMaster[[#This Row],[Shift]],tblShift[Shift_Name],tblShift[Standard_Working_Hours],"")</f>
        <v>8</v>
      </c>
      <c r="AH542" t="str">
        <f>_xlfn.XLOOKUP(tblMaster[[#This Row],[Attendance_Date]],tblHoliday[Holiday_Date],tblHoliday[Holiday_Name],"Working Day")</f>
        <v>Working Day</v>
      </c>
      <c r="AI542" t="str">
        <f>_xlfn.XLOOKUP(tblMaster[[#This Row],[Attendance_Date]],tblHoliday[Holiday_Date],tblHoliday[Holiday_Type],"Working Day ")</f>
        <v xml:space="preserve">Working Day </v>
      </c>
    </row>
    <row r="543" spans="1:35" hidden="1" x14ac:dyDescent="0.3">
      <c r="A543" t="s">
        <v>732</v>
      </c>
      <c r="B543" s="3">
        <v>45728</v>
      </c>
      <c r="C543" t="s">
        <v>71</v>
      </c>
      <c r="D543" t="s">
        <v>50</v>
      </c>
      <c r="E543" t="s">
        <v>51</v>
      </c>
      <c r="F543" t="s">
        <v>288</v>
      </c>
      <c r="G543" t="s">
        <v>289</v>
      </c>
      <c r="H543" t="s">
        <v>28</v>
      </c>
      <c r="I543" t="s">
        <v>29</v>
      </c>
      <c r="J543" t="s">
        <v>74</v>
      </c>
      <c r="K543" t="s">
        <v>81</v>
      </c>
      <c r="L543" s="2">
        <v>0.91666666666666663</v>
      </c>
      <c r="M543" s="2">
        <v>0.29166666666666669</v>
      </c>
      <c r="N543">
        <v>9.5</v>
      </c>
      <c r="O543">
        <v>1.5</v>
      </c>
      <c r="P543" t="s">
        <v>32</v>
      </c>
      <c r="S543" t="s">
        <v>67</v>
      </c>
      <c r="T543" t="s">
        <v>34</v>
      </c>
      <c r="U543" t="s">
        <v>55</v>
      </c>
      <c r="W543">
        <f>_xlfn.XLOOKUP(F543,tblEmployee[Employee_ID],tblEmployee[Age],"Not Found")</f>
        <v>29</v>
      </c>
      <c r="X543" t="str">
        <f>_xlfn.XLOOKUP(F543,tblEmployee[Employee_ID],tblEmployee[Gender],"Not Found")</f>
        <v>Male</v>
      </c>
      <c r="Y543">
        <f>_xlfn.XLOOKUP(F543,tblEmployee[Employee_ID],tblEmployee[Joining_Date],"")</f>
        <v>43327</v>
      </c>
      <c r="Z543">
        <f>_xlfn.XLOOKUP(H543,tblDepartment[Department],tblDepartment[Annual_Budget_INR],"")</f>
        <v>24000000</v>
      </c>
      <c r="AA543" t="str">
        <f>_xlfn.XLOOKUP(H543,tblDepartment[Department],tblDepartment[Monthly_Target],"")</f>
        <v>90% Customer Satisfaction</v>
      </c>
      <c r="AB543">
        <f>_xlfn.XLOOKUP(H543,tblDepartment[Department],tblDepartment[Average_Salary_INR],"")</f>
        <v>520000</v>
      </c>
      <c r="AC543" t="str">
        <f>_xlfn.XLOOKUP(H543,tblDepartment[Department],tblDepartment[Priority_Level],"")</f>
        <v>High</v>
      </c>
      <c r="AD543" t="str">
        <f>_xlfn.XLOOKUP(H543,tblDepartment[Department],tblDepartment[Key_KPI],"")</f>
        <v>Customer Satisfaction</v>
      </c>
      <c r="AE543">
        <f>_xlfn.XLOOKUP(tblMaster[[#This Row],[Shift]],tblShift[Shift_Name],tblShift[Login_Time],"")</f>
        <v>0.91666666666666663</v>
      </c>
      <c r="AF543">
        <f>_xlfn.XLOOKUP(tblMaster[[#This Row],[Shift]],tblShift[Shift_Name],tblShift[Logout_Time]," ")</f>
        <v>0.29166666666666669</v>
      </c>
      <c r="AG543">
        <f>_xlfn.XLOOKUP(tblMaster[[#This Row],[Shift]],tblShift[Shift_Name],tblShift[Standard_Working_Hours],"")</f>
        <v>8</v>
      </c>
      <c r="AH543" t="str">
        <f>_xlfn.XLOOKUP(tblMaster[[#This Row],[Attendance_Date]],tblHoliday[Holiday_Date],tblHoliday[Holiday_Name],"Working Day")</f>
        <v>Working Day</v>
      </c>
      <c r="AI543" t="str">
        <f>_xlfn.XLOOKUP(tblMaster[[#This Row],[Attendance_Date]],tblHoliday[Holiday_Date],tblHoliday[Holiday_Type],"Working Day ")</f>
        <v xml:space="preserve">Working Day </v>
      </c>
    </row>
    <row r="544" spans="1:35" hidden="1" x14ac:dyDescent="0.3">
      <c r="A544" t="s">
        <v>733</v>
      </c>
      <c r="B544" s="3">
        <v>45738</v>
      </c>
      <c r="C544" t="s">
        <v>71</v>
      </c>
      <c r="D544" t="s">
        <v>50</v>
      </c>
      <c r="E544" t="s">
        <v>38</v>
      </c>
      <c r="F544" t="s">
        <v>204</v>
      </c>
      <c r="G544" t="s">
        <v>205</v>
      </c>
      <c r="H544" t="s">
        <v>90</v>
      </c>
      <c r="I544" t="s">
        <v>91</v>
      </c>
      <c r="J544" t="s">
        <v>74</v>
      </c>
      <c r="K544" t="s">
        <v>75</v>
      </c>
      <c r="L544" s="2">
        <v>0.375</v>
      </c>
      <c r="M544" s="2">
        <v>0.75</v>
      </c>
      <c r="N544">
        <v>8</v>
      </c>
      <c r="O544">
        <v>0</v>
      </c>
      <c r="P544" t="s">
        <v>32</v>
      </c>
      <c r="S544" t="s">
        <v>92</v>
      </c>
      <c r="T544" t="s">
        <v>93</v>
      </c>
      <c r="U544" t="s">
        <v>55</v>
      </c>
      <c r="V544" t="s">
        <v>60</v>
      </c>
      <c r="W544">
        <f>_xlfn.XLOOKUP(F544,tblEmployee[Employee_ID],tblEmployee[Age],"Not Found")</f>
        <v>24</v>
      </c>
      <c r="X544" t="str">
        <f>_xlfn.XLOOKUP(F544,tblEmployee[Employee_ID],tblEmployee[Gender],"Not Found")</f>
        <v>Female</v>
      </c>
      <c r="Y544">
        <f>_xlfn.XLOOKUP(F544,tblEmployee[Employee_ID],tblEmployee[Joining_Date],"")</f>
        <v>43905</v>
      </c>
      <c r="Z544">
        <f>_xlfn.XLOOKUP(H544,tblDepartment[Department],tblDepartment[Annual_Budget_INR],"")</f>
        <v>18000000</v>
      </c>
      <c r="AA544" t="str">
        <f>_xlfn.XLOOKUP(H544,tblDepartment[Department],tblDepartment[Monthly_Target],"")</f>
        <v>&lt;30 Days Hiring Cycle</v>
      </c>
      <c r="AB544">
        <f>_xlfn.XLOOKUP(H544,tblDepartment[Department],tblDepartment[Average_Salary_INR],"")</f>
        <v>560000</v>
      </c>
      <c r="AC544" t="str">
        <f>_xlfn.XLOOKUP(H544,tblDepartment[Department],tblDepartment[Priority_Level],"")</f>
        <v>Medium</v>
      </c>
      <c r="AD544" t="str">
        <f>_xlfn.XLOOKUP(H544,tblDepartment[Department],tblDepartment[Key_KPI],"")</f>
        <v>Hiring &amp; Retention</v>
      </c>
      <c r="AE544">
        <f>_xlfn.XLOOKUP(tblMaster[[#This Row],[Shift]],tblShift[Shift_Name],tblShift[Login_Time],"")</f>
        <v>0.375</v>
      </c>
      <c r="AF544">
        <f>_xlfn.XLOOKUP(tblMaster[[#This Row],[Shift]],tblShift[Shift_Name],tblShift[Logout_Time]," ")</f>
        <v>0.75</v>
      </c>
      <c r="AG544">
        <f>_xlfn.XLOOKUP(tblMaster[[#This Row],[Shift]],tblShift[Shift_Name],tblShift[Standard_Working_Hours],"")</f>
        <v>8</v>
      </c>
      <c r="AH544" t="str">
        <f>_xlfn.XLOOKUP(tblMaster[[#This Row],[Attendance_Date]],tblHoliday[Holiday_Date],tblHoliday[Holiday_Name],"Working Day")</f>
        <v>Working Day</v>
      </c>
      <c r="AI544" t="str">
        <f>_xlfn.XLOOKUP(tblMaster[[#This Row],[Attendance_Date]],tblHoliday[Holiday_Date],tblHoliday[Holiday_Type],"Working Day ")</f>
        <v xml:space="preserve">Working Day </v>
      </c>
    </row>
    <row r="545" spans="1:35" x14ac:dyDescent="0.3">
      <c r="A545" t="s">
        <v>734</v>
      </c>
      <c r="B545" s="1">
        <v>45690</v>
      </c>
      <c r="C545" t="s">
        <v>95</v>
      </c>
      <c r="D545" t="s">
        <v>50</v>
      </c>
      <c r="E545" t="s">
        <v>103</v>
      </c>
      <c r="F545" t="s">
        <v>110</v>
      </c>
      <c r="G545" t="s">
        <v>111</v>
      </c>
      <c r="H545" t="s">
        <v>112</v>
      </c>
      <c r="I545" t="s">
        <v>113</v>
      </c>
      <c r="J545" t="s">
        <v>43</v>
      </c>
      <c r="K545" t="s">
        <v>75</v>
      </c>
      <c r="L545" s="2">
        <v>0.3888888888888889</v>
      </c>
      <c r="M545" s="2">
        <v>0.75</v>
      </c>
      <c r="N545">
        <v>8</v>
      </c>
      <c r="O545">
        <v>0</v>
      </c>
      <c r="P545" t="s">
        <v>32</v>
      </c>
      <c r="R545">
        <v>4</v>
      </c>
      <c r="S545" t="s">
        <v>45</v>
      </c>
      <c r="T545" t="s">
        <v>114</v>
      </c>
      <c r="U545" t="str">
        <f>_xlfn.XLOOKUP(tblMaster[[#This Row],[Employee_ID]],tblEmployee[Employee_ID],tblEmployee[Work_Mode]," ")</f>
        <v>Hybrid</v>
      </c>
      <c r="V545" t="s">
        <v>69</v>
      </c>
      <c r="W545">
        <f>_xlfn.XLOOKUP(F545,tblEmployee[Employee_ID],tblEmployee[Age],"Not Found")</f>
        <v>32</v>
      </c>
      <c r="X545" t="str">
        <f>_xlfn.XLOOKUP(F545,tblEmployee[Employee_ID],tblEmployee[Gender],"Not Found")</f>
        <v>Female</v>
      </c>
      <c r="Y545">
        <f>_xlfn.XLOOKUP(F545,tblEmployee[Employee_ID],tblEmployee[Joining_Date],"")</f>
        <v>44515</v>
      </c>
      <c r="Z545">
        <f>_xlfn.XLOOKUP(H545,tblDepartment[Department],tblDepartment[Annual_Budget_INR],"")</f>
        <v>42000000</v>
      </c>
      <c r="AA545" t="str">
        <f>_xlfn.XLOOKUP(H545,tblDepartment[Department],tblDepartment[Monthly_Target],"")</f>
        <v>₹2.5 Cr Monthly Sales</v>
      </c>
      <c r="AB545">
        <f>_xlfn.XLOOKUP(H545,tblDepartment[Department],tblDepartment[Average_Salary_INR],"")</f>
        <v>680000</v>
      </c>
      <c r="AC545" t="str">
        <f>_xlfn.XLOOKUP(H545,tblDepartment[Department],tblDepartment[Priority_Level],"")</f>
        <v>High</v>
      </c>
      <c r="AD545" t="str">
        <f>_xlfn.XLOOKUP(H545,tblDepartment[Department],tblDepartment[Key_KPI],"")</f>
        <v>Revenue Achievement</v>
      </c>
      <c r="AE545">
        <f>_xlfn.XLOOKUP(tblMaster[[#This Row],[Shift]],tblShift[Shift_Name],tblShift[Login_Time],"")</f>
        <v>0.375</v>
      </c>
      <c r="AF545">
        <f>_xlfn.XLOOKUP(tblMaster[[#This Row],[Shift]],tblShift[Shift_Name],tblShift[Logout_Time]," ")</f>
        <v>0.75</v>
      </c>
      <c r="AG545">
        <f>_xlfn.XLOOKUP(tblMaster[[#This Row],[Shift]],tblShift[Shift_Name],tblShift[Standard_Working_Hours],"")</f>
        <v>8</v>
      </c>
      <c r="AH545" t="str">
        <f>_xlfn.XLOOKUP(tblMaster[[#This Row],[Attendance_Date]],tblHoliday[Holiday_Date],tblHoliday[Holiday_Name],"Working Day")</f>
        <v>Working Day</v>
      </c>
      <c r="AI545" t="str">
        <f>_xlfn.XLOOKUP(tblMaster[[#This Row],[Attendance_Date]],tblHoliday[Holiday_Date],tblHoliday[Holiday_Type],"Working Day ")</f>
        <v xml:space="preserve">Working Day </v>
      </c>
    </row>
    <row r="546" spans="1:35" x14ac:dyDescent="0.3">
      <c r="A546" t="s">
        <v>735</v>
      </c>
      <c r="B546" s="3">
        <v>45727</v>
      </c>
      <c r="C546" t="s">
        <v>71</v>
      </c>
      <c r="D546" t="s">
        <v>50</v>
      </c>
      <c r="E546" t="s">
        <v>87</v>
      </c>
      <c r="F546" t="s">
        <v>58</v>
      </c>
      <c r="G546" t="s">
        <v>59</v>
      </c>
      <c r="H546" t="s">
        <v>41</v>
      </c>
      <c r="I546" t="s">
        <v>42</v>
      </c>
      <c r="J546" t="s">
        <v>30</v>
      </c>
      <c r="K546" t="s">
        <v>54</v>
      </c>
      <c r="L546" s="2">
        <v>0.375</v>
      </c>
      <c r="M546" s="2">
        <v>0.75</v>
      </c>
      <c r="N546">
        <v>8</v>
      </c>
      <c r="O546">
        <v>0</v>
      </c>
      <c r="P546" t="s">
        <v>32</v>
      </c>
      <c r="R546">
        <v>4</v>
      </c>
      <c r="S546" t="s">
        <v>67</v>
      </c>
      <c r="T546" t="s">
        <v>46</v>
      </c>
      <c r="U546" t="str">
        <f>_xlfn.XLOOKUP(tblMaster[[#This Row],[Employee_ID]],tblEmployee[Employee_ID],tblEmployee[Work_Mode]," ")</f>
        <v>Hybrid</v>
      </c>
      <c r="W546">
        <f>_xlfn.XLOOKUP(F546,tblEmployee[Employee_ID],tblEmployee[Age],"Not Found")</f>
        <v>23</v>
      </c>
      <c r="X546" t="str">
        <f>_xlfn.XLOOKUP(F546,tblEmployee[Employee_ID],tblEmployee[Gender],"Not Found")</f>
        <v>Female</v>
      </c>
      <c r="Y546">
        <f>_xlfn.XLOOKUP(F546,tblEmployee[Employee_ID],tblEmployee[Joining_Date],"")</f>
        <v>45153</v>
      </c>
      <c r="Z546">
        <f>_xlfn.XLOOKUP(H546,tblDepartment[Department],tblDepartment[Annual_Budget_INR],"")</f>
        <v>34000000</v>
      </c>
      <c r="AA546" t="str">
        <f>_xlfn.XLOOKUP(H546,tblDepartment[Department],tblDepartment[Monthly_Target],"")</f>
        <v>95% Process Efficiency</v>
      </c>
      <c r="AB546">
        <f>_xlfn.XLOOKUP(H546,tblDepartment[Department],tblDepartment[Average_Salary_INR],"")</f>
        <v>610000</v>
      </c>
      <c r="AC546" t="str">
        <f>_xlfn.XLOOKUP(H546,tblDepartment[Department],tblDepartment[Priority_Level],"")</f>
        <v>High</v>
      </c>
      <c r="AD546" t="str">
        <f>_xlfn.XLOOKUP(H546,tblDepartment[Department],tblDepartment[Key_KPI],"")</f>
        <v>Operational Efficiency</v>
      </c>
      <c r="AE546">
        <f>_xlfn.XLOOKUP(tblMaster[[#This Row],[Shift]],tblShift[Shift_Name],tblShift[Login_Time],"")</f>
        <v>0.58333333333333337</v>
      </c>
      <c r="AF546">
        <f>_xlfn.XLOOKUP(tblMaster[[#This Row],[Shift]],tblShift[Shift_Name],tblShift[Logout_Time]," ")</f>
        <v>0.95833333333333337</v>
      </c>
      <c r="AG546">
        <f>_xlfn.XLOOKUP(tblMaster[[#This Row],[Shift]],tblShift[Shift_Name],tblShift[Standard_Working_Hours],"")</f>
        <v>8</v>
      </c>
      <c r="AH546" t="str">
        <f>_xlfn.XLOOKUP(tblMaster[[#This Row],[Attendance_Date]],tblHoliday[Holiday_Date],tblHoliday[Holiday_Name],"Working Day")</f>
        <v>Working Day</v>
      </c>
      <c r="AI546" t="str">
        <f>_xlfn.XLOOKUP(tblMaster[[#This Row],[Attendance_Date]],tblHoliday[Holiday_Date],tblHoliday[Holiday_Type],"Working Day ")</f>
        <v xml:space="preserve">Working Day </v>
      </c>
    </row>
    <row r="547" spans="1:35" x14ac:dyDescent="0.3">
      <c r="A547" t="s">
        <v>736</v>
      </c>
      <c r="B547" s="1">
        <v>45661</v>
      </c>
      <c r="C547" t="s">
        <v>49</v>
      </c>
      <c r="D547" t="s">
        <v>50</v>
      </c>
      <c r="E547" t="s">
        <v>38</v>
      </c>
      <c r="F547" t="s">
        <v>58</v>
      </c>
      <c r="G547" t="s">
        <v>59</v>
      </c>
      <c r="H547" t="s">
        <v>41</v>
      </c>
      <c r="I547" t="s">
        <v>42</v>
      </c>
      <c r="J547" t="s">
        <v>30</v>
      </c>
      <c r="K547" t="s">
        <v>54</v>
      </c>
      <c r="L547" s="2">
        <v>0.375</v>
      </c>
      <c r="M547" s="2">
        <v>0.75</v>
      </c>
      <c r="N547">
        <v>8</v>
      </c>
      <c r="O547">
        <v>0</v>
      </c>
      <c r="P547" t="s">
        <v>32</v>
      </c>
      <c r="R547">
        <v>5</v>
      </c>
      <c r="S547" t="s">
        <v>92</v>
      </c>
      <c r="T547" t="s">
        <v>46</v>
      </c>
      <c r="U547" t="str">
        <f>_xlfn.XLOOKUP(tblMaster[[#This Row],[Employee_ID]],tblEmployee[Employee_ID],tblEmployee[Work_Mode]," ")</f>
        <v>Hybrid</v>
      </c>
      <c r="W547">
        <f>_xlfn.XLOOKUP(F547,tblEmployee[Employee_ID],tblEmployee[Age],"Not Found")</f>
        <v>23</v>
      </c>
      <c r="X547" t="str">
        <f>_xlfn.XLOOKUP(F547,tblEmployee[Employee_ID],tblEmployee[Gender],"Not Found")</f>
        <v>Female</v>
      </c>
      <c r="Y547">
        <f>_xlfn.XLOOKUP(F547,tblEmployee[Employee_ID],tblEmployee[Joining_Date],"")</f>
        <v>45153</v>
      </c>
      <c r="Z547">
        <f>_xlfn.XLOOKUP(H547,tblDepartment[Department],tblDepartment[Annual_Budget_INR],"")</f>
        <v>34000000</v>
      </c>
      <c r="AA547" t="str">
        <f>_xlfn.XLOOKUP(H547,tblDepartment[Department],tblDepartment[Monthly_Target],"")</f>
        <v>95% Process Efficiency</v>
      </c>
      <c r="AB547">
        <f>_xlfn.XLOOKUP(H547,tblDepartment[Department],tblDepartment[Average_Salary_INR],"")</f>
        <v>610000</v>
      </c>
      <c r="AC547" t="str">
        <f>_xlfn.XLOOKUP(H547,tblDepartment[Department],tblDepartment[Priority_Level],"")</f>
        <v>High</v>
      </c>
      <c r="AD547" t="str">
        <f>_xlfn.XLOOKUP(H547,tblDepartment[Department],tblDepartment[Key_KPI],"")</f>
        <v>Operational Efficiency</v>
      </c>
      <c r="AE547">
        <f>_xlfn.XLOOKUP(tblMaster[[#This Row],[Shift]],tblShift[Shift_Name],tblShift[Login_Time],"")</f>
        <v>0.58333333333333337</v>
      </c>
      <c r="AF547">
        <f>_xlfn.XLOOKUP(tblMaster[[#This Row],[Shift]],tblShift[Shift_Name],tblShift[Logout_Time]," ")</f>
        <v>0.95833333333333337</v>
      </c>
      <c r="AG547">
        <f>_xlfn.XLOOKUP(tblMaster[[#This Row],[Shift]],tblShift[Shift_Name],tblShift[Standard_Working_Hours],"")</f>
        <v>8</v>
      </c>
      <c r="AH547" t="str">
        <f>_xlfn.XLOOKUP(tblMaster[[#This Row],[Attendance_Date]],tblHoliday[Holiday_Date],tblHoliday[Holiday_Name],"Working Day")</f>
        <v>Working Day</v>
      </c>
      <c r="AI547" t="str">
        <f>_xlfn.XLOOKUP(tblMaster[[#This Row],[Attendance_Date]],tblHoliday[Holiday_Date],tblHoliday[Holiday_Type],"Working Day ")</f>
        <v xml:space="preserve">Working Day </v>
      </c>
    </row>
    <row r="548" spans="1:35" hidden="1" x14ac:dyDescent="0.3">
      <c r="A548" t="s">
        <v>737</v>
      </c>
      <c r="B548" s="1">
        <v>45669</v>
      </c>
      <c r="C548" t="s">
        <v>49</v>
      </c>
      <c r="D548" t="s">
        <v>50</v>
      </c>
      <c r="E548" t="s">
        <v>103</v>
      </c>
      <c r="F548" t="s">
        <v>207</v>
      </c>
      <c r="G548" t="s">
        <v>208</v>
      </c>
      <c r="H548" t="s">
        <v>64</v>
      </c>
      <c r="I548" t="s">
        <v>65</v>
      </c>
      <c r="J548" t="s">
        <v>30</v>
      </c>
      <c r="K548" t="s">
        <v>54</v>
      </c>
      <c r="L548" s="2">
        <v>0.375</v>
      </c>
      <c r="M548" s="2">
        <v>0.75</v>
      </c>
      <c r="N548">
        <v>8</v>
      </c>
      <c r="O548">
        <v>0</v>
      </c>
      <c r="P548" t="s">
        <v>32</v>
      </c>
      <c r="R548">
        <v>5</v>
      </c>
      <c r="S548" t="s">
        <v>45</v>
      </c>
      <c r="T548" t="s">
        <v>68</v>
      </c>
      <c r="U548" t="s">
        <v>55</v>
      </c>
      <c r="V548" t="s">
        <v>60</v>
      </c>
      <c r="W548">
        <f>_xlfn.XLOOKUP(F548,tblEmployee[Employee_ID],tblEmployee[Age],"Not Found")</f>
        <v>33</v>
      </c>
      <c r="X548" t="str">
        <f>_xlfn.XLOOKUP(F548,tblEmployee[Employee_ID],tblEmployee[Gender],"Not Found")</f>
        <v>Male</v>
      </c>
      <c r="Y548">
        <f>_xlfn.XLOOKUP(F548,tblEmployee[Employee_ID],tblEmployee[Joining_Date],"")</f>
        <v>43631</v>
      </c>
      <c r="Z548">
        <f>_xlfn.XLOOKUP(H548,tblDepartment[Department],tblDepartment[Annual_Budget_INR],"")</f>
        <v>85000000</v>
      </c>
      <c r="AA548" t="str">
        <f>_xlfn.XLOOKUP(H548,tblDepartment[Department],tblDepartment[Monthly_Target],"")</f>
        <v>99.5% System Uptime</v>
      </c>
      <c r="AB548">
        <f>_xlfn.XLOOKUP(H548,tblDepartment[Department],tblDepartment[Average_Salary_INR],"")</f>
        <v>720000</v>
      </c>
      <c r="AC548" t="str">
        <f>_xlfn.XLOOKUP(H548,tblDepartment[Department],tblDepartment[Priority_Level],"")</f>
        <v>High</v>
      </c>
      <c r="AD548" t="str">
        <f>_xlfn.XLOOKUP(H548,tblDepartment[Department],tblDepartment[Key_KPI],"")</f>
        <v>Project Delivery</v>
      </c>
      <c r="AE548">
        <f>_xlfn.XLOOKUP(tblMaster[[#This Row],[Shift]],tblShift[Shift_Name],tblShift[Login_Time],"")</f>
        <v>0.58333333333333337</v>
      </c>
      <c r="AF548">
        <f>_xlfn.XLOOKUP(tblMaster[[#This Row],[Shift]],tblShift[Shift_Name],tblShift[Logout_Time]," ")</f>
        <v>0.95833333333333337</v>
      </c>
      <c r="AG548">
        <f>_xlfn.XLOOKUP(tblMaster[[#This Row],[Shift]],tblShift[Shift_Name],tblShift[Standard_Working_Hours],"")</f>
        <v>8</v>
      </c>
      <c r="AH548" t="str">
        <f>_xlfn.XLOOKUP(tblMaster[[#This Row],[Attendance_Date]],tblHoliday[Holiday_Date],tblHoliday[Holiday_Name],"Working Day")</f>
        <v>Working Day</v>
      </c>
      <c r="AI548" t="str">
        <f>_xlfn.XLOOKUP(tblMaster[[#This Row],[Attendance_Date]],tblHoliday[Holiday_Date],tblHoliday[Holiday_Type],"Working Day ")</f>
        <v xml:space="preserve">Working Day </v>
      </c>
    </row>
    <row r="549" spans="1:35" x14ac:dyDescent="0.3">
      <c r="A549" t="s">
        <v>738</v>
      </c>
      <c r="B549" s="3">
        <v>45774</v>
      </c>
      <c r="C549" t="s">
        <v>37</v>
      </c>
      <c r="D549" t="s">
        <v>24</v>
      </c>
      <c r="E549" t="s">
        <v>103</v>
      </c>
      <c r="F549" t="s">
        <v>72</v>
      </c>
      <c r="G549" t="s">
        <v>73</v>
      </c>
      <c r="H549" t="s">
        <v>28</v>
      </c>
      <c r="I549" t="s">
        <v>29</v>
      </c>
      <c r="J549" t="s">
        <v>74</v>
      </c>
      <c r="K549" t="s">
        <v>81</v>
      </c>
      <c r="L549" s="2">
        <v>0.91666666666666663</v>
      </c>
      <c r="M549" s="2">
        <v>0.29166666666666669</v>
      </c>
      <c r="N549">
        <v>9.5</v>
      </c>
      <c r="O549">
        <v>1.5</v>
      </c>
      <c r="P549" t="s">
        <v>32</v>
      </c>
      <c r="R549">
        <v>5</v>
      </c>
      <c r="S549" t="s">
        <v>67</v>
      </c>
      <c r="T549" t="s">
        <v>34</v>
      </c>
      <c r="U549" t="str">
        <f>_xlfn.XLOOKUP(tblMaster[[#This Row],[Employee_ID]],tblEmployee[Employee_ID],tblEmployee[Work_Mode]," ")</f>
        <v>Office</v>
      </c>
      <c r="V549" t="s">
        <v>60</v>
      </c>
      <c r="W549">
        <f>_xlfn.XLOOKUP(F549,tblEmployee[Employee_ID],tblEmployee[Age],"Not Found")</f>
        <v>28</v>
      </c>
      <c r="X549" t="str">
        <f>_xlfn.XLOOKUP(F549,tblEmployee[Employee_ID],tblEmployee[Gender],"Not Found")</f>
        <v>Female</v>
      </c>
      <c r="Y549">
        <f>_xlfn.XLOOKUP(F549,tblEmployee[Employee_ID],tblEmployee[Joining_Date],"")</f>
        <v>43296</v>
      </c>
      <c r="Z549">
        <f>_xlfn.XLOOKUP(H549,tblDepartment[Department],tblDepartment[Annual_Budget_INR],"")</f>
        <v>24000000</v>
      </c>
      <c r="AA549" t="str">
        <f>_xlfn.XLOOKUP(H549,tblDepartment[Department],tblDepartment[Monthly_Target],"")</f>
        <v>90% Customer Satisfaction</v>
      </c>
      <c r="AB549">
        <f>_xlfn.XLOOKUP(H549,tblDepartment[Department],tblDepartment[Average_Salary_INR],"")</f>
        <v>520000</v>
      </c>
      <c r="AC549" t="str">
        <f>_xlfn.XLOOKUP(H549,tblDepartment[Department],tblDepartment[Priority_Level],"")</f>
        <v>High</v>
      </c>
      <c r="AD549" t="str">
        <f>_xlfn.XLOOKUP(H549,tblDepartment[Department],tblDepartment[Key_KPI],"")</f>
        <v>Customer Satisfaction</v>
      </c>
      <c r="AE549">
        <f>_xlfn.XLOOKUP(tblMaster[[#This Row],[Shift]],tblShift[Shift_Name],tblShift[Login_Time],"")</f>
        <v>0.91666666666666663</v>
      </c>
      <c r="AF549">
        <f>_xlfn.XLOOKUP(tblMaster[[#This Row],[Shift]],tblShift[Shift_Name],tblShift[Logout_Time]," ")</f>
        <v>0.29166666666666669</v>
      </c>
      <c r="AG549">
        <f>_xlfn.XLOOKUP(tblMaster[[#This Row],[Shift]],tblShift[Shift_Name],tblShift[Standard_Working_Hours],"")</f>
        <v>8</v>
      </c>
      <c r="AH549" t="str">
        <f>_xlfn.XLOOKUP(tblMaster[[#This Row],[Attendance_Date]],tblHoliday[Holiday_Date],tblHoliday[Holiday_Name],"Working Day")</f>
        <v>Working Day</v>
      </c>
      <c r="AI549" t="str">
        <f>_xlfn.XLOOKUP(tblMaster[[#This Row],[Attendance_Date]],tblHoliday[Holiday_Date],tblHoliday[Holiday_Type],"Working Day ")</f>
        <v xml:space="preserve">Working Day </v>
      </c>
    </row>
    <row r="550" spans="1:35" hidden="1" x14ac:dyDescent="0.3">
      <c r="A550" t="s">
        <v>739</v>
      </c>
      <c r="B550" s="3">
        <v>45725</v>
      </c>
      <c r="C550" t="s">
        <v>71</v>
      </c>
      <c r="D550" t="s">
        <v>50</v>
      </c>
      <c r="E550" t="s">
        <v>103</v>
      </c>
      <c r="F550" t="s">
        <v>142</v>
      </c>
      <c r="G550" t="s">
        <v>143</v>
      </c>
      <c r="H550" t="s">
        <v>64</v>
      </c>
      <c r="I550" t="s">
        <v>65</v>
      </c>
      <c r="J550" t="s">
        <v>43</v>
      </c>
      <c r="K550" t="s">
        <v>31</v>
      </c>
      <c r="L550" s="2">
        <v>0.375</v>
      </c>
      <c r="M550" s="2">
        <v>0.75</v>
      </c>
      <c r="N550">
        <v>9.5</v>
      </c>
      <c r="O550">
        <v>1.5</v>
      </c>
      <c r="P550" t="s">
        <v>32</v>
      </c>
      <c r="S550" t="s">
        <v>45</v>
      </c>
      <c r="T550" t="s">
        <v>68</v>
      </c>
      <c r="U550" t="s">
        <v>47</v>
      </c>
      <c r="V550" t="s">
        <v>69</v>
      </c>
      <c r="W550">
        <f>_xlfn.XLOOKUP(F550,tblEmployee[Employee_ID],tblEmployee[Age],"Not Found")</f>
        <v>37</v>
      </c>
      <c r="X550" t="str">
        <f>_xlfn.XLOOKUP(F550,tblEmployee[Employee_ID],tblEmployee[Gender],"Not Found")</f>
        <v>Male</v>
      </c>
      <c r="Y550">
        <f>_xlfn.XLOOKUP(F550,tblEmployee[Employee_ID],tblEmployee[Joining_Date],"")</f>
        <v>43570</v>
      </c>
      <c r="Z550">
        <f>_xlfn.XLOOKUP(H550,tblDepartment[Department],tblDepartment[Annual_Budget_INR],"")</f>
        <v>85000000</v>
      </c>
      <c r="AA550" t="str">
        <f>_xlfn.XLOOKUP(H550,tblDepartment[Department],tblDepartment[Monthly_Target],"")</f>
        <v>99.5% System Uptime</v>
      </c>
      <c r="AB550">
        <f>_xlfn.XLOOKUP(H550,tblDepartment[Department],tblDepartment[Average_Salary_INR],"")</f>
        <v>720000</v>
      </c>
      <c r="AC550" t="str">
        <f>_xlfn.XLOOKUP(H550,tblDepartment[Department],tblDepartment[Priority_Level],"")</f>
        <v>High</v>
      </c>
      <c r="AD550" t="str">
        <f>_xlfn.XLOOKUP(H550,tblDepartment[Department],tblDepartment[Key_KPI],"")</f>
        <v>Project Delivery</v>
      </c>
      <c r="AE550">
        <f>_xlfn.XLOOKUP(tblMaster[[#This Row],[Shift]],tblShift[Shift_Name],tblShift[Login_Time],"")</f>
        <v>0.25</v>
      </c>
      <c r="AF550">
        <f>_xlfn.XLOOKUP(tblMaster[[#This Row],[Shift]],tblShift[Shift_Name],tblShift[Logout_Time]," ")</f>
        <v>0.625</v>
      </c>
      <c r="AG550">
        <f>_xlfn.XLOOKUP(tblMaster[[#This Row],[Shift]],tblShift[Shift_Name],tblShift[Standard_Working_Hours],"")</f>
        <v>8</v>
      </c>
      <c r="AH550" t="str">
        <f>_xlfn.XLOOKUP(tblMaster[[#This Row],[Attendance_Date]],tblHoliday[Holiday_Date],tblHoliday[Holiday_Name],"Working Day")</f>
        <v>Working Day</v>
      </c>
      <c r="AI550" t="str">
        <f>_xlfn.XLOOKUP(tblMaster[[#This Row],[Attendance_Date]],tblHoliday[Holiday_Date],tblHoliday[Holiday_Type],"Working Day ")</f>
        <v xml:space="preserve">Working Day </v>
      </c>
    </row>
    <row r="551" spans="1:35" hidden="1" x14ac:dyDescent="0.3">
      <c r="A551" t="s">
        <v>740</v>
      </c>
      <c r="B551" s="3">
        <v>45797</v>
      </c>
      <c r="C551" t="s">
        <v>57</v>
      </c>
      <c r="D551" t="s">
        <v>24</v>
      </c>
      <c r="E551" t="s">
        <v>87</v>
      </c>
      <c r="F551" t="s">
        <v>220</v>
      </c>
      <c r="G551" t="s">
        <v>221</v>
      </c>
      <c r="H551" t="s">
        <v>79</v>
      </c>
      <c r="I551" t="s">
        <v>80</v>
      </c>
      <c r="J551" t="s">
        <v>100</v>
      </c>
      <c r="K551" t="s">
        <v>75</v>
      </c>
      <c r="L551" s="2">
        <v>0.375</v>
      </c>
      <c r="M551" s="2">
        <v>0.75</v>
      </c>
      <c r="N551">
        <v>8</v>
      </c>
      <c r="O551">
        <v>0</v>
      </c>
      <c r="P551" t="s">
        <v>32</v>
      </c>
      <c r="R551">
        <v>4</v>
      </c>
      <c r="S551" t="s">
        <v>33</v>
      </c>
      <c r="T551" t="s">
        <v>84</v>
      </c>
      <c r="U551" t="s">
        <v>55</v>
      </c>
      <c r="V551" t="s">
        <v>35</v>
      </c>
      <c r="W551">
        <f>_xlfn.XLOOKUP(F551,tblEmployee[Employee_ID],tblEmployee[Age],"Not Found")</f>
        <v>22</v>
      </c>
      <c r="X551" t="str">
        <f>_xlfn.XLOOKUP(F551,tblEmployee[Employee_ID],tblEmployee[Gender],"Not Found")</f>
        <v>Male</v>
      </c>
      <c r="Y551">
        <f>_xlfn.XLOOKUP(F551,tblEmployee[Employee_ID],tblEmployee[Joining_Date],"")</f>
        <v>44757</v>
      </c>
      <c r="Z551">
        <f>_xlfn.XLOOKUP(H551,tblDepartment[Department],tblDepartment[Annual_Budget_INR],"")</f>
        <v>26000000</v>
      </c>
      <c r="AA551" t="str">
        <f>_xlfn.XLOOKUP(H551,tblDepartment[Department],tblDepartment[Monthly_Target],"")</f>
        <v>100% Payroll Accuracy</v>
      </c>
      <c r="AB551">
        <f>_xlfn.XLOOKUP(H551,tblDepartment[Department],tblDepartment[Average_Salary_INR],"")</f>
        <v>640000</v>
      </c>
      <c r="AC551" t="str">
        <f>_xlfn.XLOOKUP(H551,tblDepartment[Department],tblDepartment[Priority_Level],"")</f>
        <v>High</v>
      </c>
      <c r="AD551" t="str">
        <f>_xlfn.XLOOKUP(H551,tblDepartment[Department],tblDepartment[Key_KPI],"")</f>
        <v>Financial Compliance</v>
      </c>
      <c r="AE551">
        <f>_xlfn.XLOOKUP(tblMaster[[#This Row],[Shift]],tblShift[Shift_Name],tblShift[Login_Time],"")</f>
        <v>0.375</v>
      </c>
      <c r="AF551">
        <f>_xlfn.XLOOKUP(tblMaster[[#This Row],[Shift]],tblShift[Shift_Name],tblShift[Logout_Time]," ")</f>
        <v>0.75</v>
      </c>
      <c r="AG551">
        <f>_xlfn.XLOOKUP(tblMaster[[#This Row],[Shift]],tblShift[Shift_Name],tblShift[Standard_Working_Hours],"")</f>
        <v>8</v>
      </c>
      <c r="AH551" t="str">
        <f>_xlfn.XLOOKUP(tblMaster[[#This Row],[Attendance_Date]],tblHoliday[Holiday_Date],tblHoliday[Holiday_Name],"Working Day")</f>
        <v>Working Day</v>
      </c>
      <c r="AI551" t="str">
        <f>_xlfn.XLOOKUP(tblMaster[[#This Row],[Attendance_Date]],tblHoliday[Holiday_Date],tblHoliday[Holiday_Type],"Working Day ")</f>
        <v xml:space="preserve">Working Day </v>
      </c>
    </row>
    <row r="552" spans="1:35" hidden="1" x14ac:dyDescent="0.3">
      <c r="A552" t="s">
        <v>741</v>
      </c>
      <c r="B552" s="3">
        <v>45696</v>
      </c>
      <c r="C552" t="s">
        <v>95</v>
      </c>
      <c r="D552" t="s">
        <v>50</v>
      </c>
      <c r="E552" t="s">
        <v>38</v>
      </c>
      <c r="F552" t="s">
        <v>154</v>
      </c>
      <c r="G552" t="s">
        <v>155</v>
      </c>
      <c r="H552" t="s">
        <v>41</v>
      </c>
      <c r="I552" t="s">
        <v>42</v>
      </c>
      <c r="J552" t="s">
        <v>74</v>
      </c>
      <c r="K552" t="s">
        <v>31</v>
      </c>
      <c r="L552" s="2">
        <v>0.375</v>
      </c>
      <c r="M552" s="2">
        <v>0.75</v>
      </c>
      <c r="N552">
        <v>8</v>
      </c>
      <c r="O552">
        <v>0</v>
      </c>
      <c r="P552" t="s">
        <v>32</v>
      </c>
      <c r="R552">
        <v>4</v>
      </c>
      <c r="S552" t="s">
        <v>67</v>
      </c>
      <c r="T552" t="s">
        <v>46</v>
      </c>
      <c r="U552" t="s">
        <v>85</v>
      </c>
      <c r="V552" t="s">
        <v>35</v>
      </c>
      <c r="W552">
        <f>_xlfn.XLOOKUP(F552,tblEmployee[Employee_ID],tblEmployee[Age],"Not Found")</f>
        <v>33</v>
      </c>
      <c r="X552" t="str">
        <f>_xlfn.XLOOKUP(F552,tblEmployee[Employee_ID],tblEmployee[Gender],"Not Found")</f>
        <v>Male</v>
      </c>
      <c r="Y552">
        <f>_xlfn.XLOOKUP(F552,tblEmployee[Employee_ID],tblEmployee[Joining_Date],"")</f>
        <v>45275</v>
      </c>
      <c r="Z552">
        <f>_xlfn.XLOOKUP(H552,tblDepartment[Department],tblDepartment[Annual_Budget_INR],"")</f>
        <v>34000000</v>
      </c>
      <c r="AA552" t="str">
        <f>_xlfn.XLOOKUP(H552,tblDepartment[Department],tblDepartment[Monthly_Target],"")</f>
        <v>95% Process Efficiency</v>
      </c>
      <c r="AB552">
        <f>_xlfn.XLOOKUP(H552,tblDepartment[Department],tblDepartment[Average_Salary_INR],"")</f>
        <v>610000</v>
      </c>
      <c r="AC552" t="str">
        <f>_xlfn.XLOOKUP(H552,tblDepartment[Department],tblDepartment[Priority_Level],"")</f>
        <v>High</v>
      </c>
      <c r="AD552" t="str">
        <f>_xlfn.XLOOKUP(H552,tblDepartment[Department],tblDepartment[Key_KPI],"")</f>
        <v>Operational Efficiency</v>
      </c>
      <c r="AE552">
        <f>_xlfn.XLOOKUP(tblMaster[[#This Row],[Shift]],tblShift[Shift_Name],tblShift[Login_Time],"")</f>
        <v>0.25</v>
      </c>
      <c r="AF552">
        <f>_xlfn.XLOOKUP(tblMaster[[#This Row],[Shift]],tblShift[Shift_Name],tblShift[Logout_Time]," ")</f>
        <v>0.625</v>
      </c>
      <c r="AG552">
        <f>_xlfn.XLOOKUP(tblMaster[[#This Row],[Shift]],tblShift[Shift_Name],tblShift[Standard_Working_Hours],"")</f>
        <v>8</v>
      </c>
      <c r="AH552" t="str">
        <f>_xlfn.XLOOKUP(tblMaster[[#This Row],[Attendance_Date]],tblHoliday[Holiday_Date],tblHoliday[Holiday_Name],"Working Day")</f>
        <v>Working Day</v>
      </c>
      <c r="AI552" t="str">
        <f>_xlfn.XLOOKUP(tblMaster[[#This Row],[Attendance_Date]],tblHoliday[Holiday_Date],tblHoliday[Holiday_Type],"Working Day ")</f>
        <v xml:space="preserve">Working Day </v>
      </c>
    </row>
    <row r="553" spans="1:35" hidden="1" x14ac:dyDescent="0.3">
      <c r="A553" t="s">
        <v>742</v>
      </c>
      <c r="B553" s="3">
        <v>45719</v>
      </c>
      <c r="C553" t="s">
        <v>71</v>
      </c>
      <c r="D553" t="s">
        <v>50</v>
      </c>
      <c r="E553" t="s">
        <v>109</v>
      </c>
      <c r="F553" t="s">
        <v>220</v>
      </c>
      <c r="G553" t="s">
        <v>221</v>
      </c>
      <c r="H553" t="s">
        <v>79</v>
      </c>
      <c r="I553" t="s">
        <v>80</v>
      </c>
      <c r="J553" t="s">
        <v>100</v>
      </c>
      <c r="K553" t="s">
        <v>44</v>
      </c>
      <c r="L553" s="2">
        <v>0.375</v>
      </c>
      <c r="M553" s="2">
        <v>0.75</v>
      </c>
      <c r="N553">
        <v>8</v>
      </c>
      <c r="O553">
        <v>0</v>
      </c>
      <c r="P553" t="s">
        <v>32</v>
      </c>
      <c r="R553">
        <v>3</v>
      </c>
      <c r="S553" t="s">
        <v>33</v>
      </c>
      <c r="T553" t="s">
        <v>84</v>
      </c>
      <c r="U553" t="s">
        <v>55</v>
      </c>
      <c r="V553" t="s">
        <v>69</v>
      </c>
      <c r="W553">
        <f>_xlfn.XLOOKUP(F553,tblEmployee[Employee_ID],tblEmployee[Age],"Not Found")</f>
        <v>22</v>
      </c>
      <c r="X553" t="str">
        <f>_xlfn.XLOOKUP(F553,tblEmployee[Employee_ID],tblEmployee[Gender],"Not Found")</f>
        <v>Male</v>
      </c>
      <c r="Y553">
        <f>_xlfn.XLOOKUP(F553,tblEmployee[Employee_ID],tblEmployee[Joining_Date],"")</f>
        <v>44757</v>
      </c>
      <c r="Z553">
        <f>_xlfn.XLOOKUP(H553,tblDepartment[Department],tblDepartment[Annual_Budget_INR],"")</f>
        <v>26000000</v>
      </c>
      <c r="AA553" t="str">
        <f>_xlfn.XLOOKUP(H553,tblDepartment[Department],tblDepartment[Monthly_Target],"")</f>
        <v>100% Payroll Accuracy</v>
      </c>
      <c r="AB553">
        <f>_xlfn.XLOOKUP(H553,tblDepartment[Department],tblDepartment[Average_Salary_INR],"")</f>
        <v>640000</v>
      </c>
      <c r="AC553" t="str">
        <f>_xlfn.XLOOKUP(H553,tblDepartment[Department],tblDepartment[Priority_Level],"")</f>
        <v>High</v>
      </c>
      <c r="AD553" t="str">
        <f>_xlfn.XLOOKUP(H553,tblDepartment[Department],tblDepartment[Key_KPI],"")</f>
        <v>Financial Compliance</v>
      </c>
      <c r="AE553">
        <f>_xlfn.XLOOKUP(tblMaster[[#This Row],[Shift]],tblShift[Shift_Name],tblShift[Login_Time],"")</f>
        <v>0.41666666666666669</v>
      </c>
      <c r="AF553">
        <f>_xlfn.XLOOKUP(tblMaster[[#This Row],[Shift]],tblShift[Shift_Name],tblShift[Logout_Time]," ")</f>
        <v>0.79166666666666663</v>
      </c>
      <c r="AG553">
        <f>_xlfn.XLOOKUP(tblMaster[[#This Row],[Shift]],tblShift[Shift_Name],tblShift[Standard_Working_Hours],"")</f>
        <v>8</v>
      </c>
      <c r="AH553" t="str">
        <f>_xlfn.XLOOKUP(tblMaster[[#This Row],[Attendance_Date]],tblHoliday[Holiday_Date],tblHoliday[Holiday_Name],"Working Day")</f>
        <v>Working Day</v>
      </c>
      <c r="AI553" t="str">
        <f>_xlfn.XLOOKUP(tblMaster[[#This Row],[Attendance_Date]],tblHoliday[Holiday_Date],tblHoliday[Holiday_Type],"Working Day ")</f>
        <v xml:space="preserve">Working Day </v>
      </c>
    </row>
    <row r="554" spans="1:35" hidden="1" x14ac:dyDescent="0.3">
      <c r="A554" t="s">
        <v>743</v>
      </c>
      <c r="B554" s="3">
        <v>45810</v>
      </c>
      <c r="C554" t="s">
        <v>23</v>
      </c>
      <c r="D554" t="s">
        <v>24</v>
      </c>
      <c r="E554" t="s">
        <v>109</v>
      </c>
      <c r="F554" t="s">
        <v>243</v>
      </c>
      <c r="G554" t="s">
        <v>244</v>
      </c>
      <c r="H554" t="s">
        <v>90</v>
      </c>
      <c r="I554" t="s">
        <v>91</v>
      </c>
      <c r="J554" t="s">
        <v>30</v>
      </c>
      <c r="K554" t="s">
        <v>81</v>
      </c>
      <c r="L554" s="2">
        <v>0.91666666666666663</v>
      </c>
      <c r="M554" s="2">
        <v>0.29166666666666669</v>
      </c>
      <c r="N554">
        <v>8.5</v>
      </c>
      <c r="O554">
        <v>0.5</v>
      </c>
      <c r="P554" t="s">
        <v>32</v>
      </c>
      <c r="R554">
        <v>3</v>
      </c>
      <c r="S554" t="s">
        <v>45</v>
      </c>
      <c r="T554" t="s">
        <v>93</v>
      </c>
      <c r="U554" t="s">
        <v>55</v>
      </c>
      <c r="V554" t="s">
        <v>35</v>
      </c>
      <c r="W554">
        <f>_xlfn.XLOOKUP(F554,tblEmployee[Employee_ID],tblEmployee[Age],"Not Found")</f>
        <v>30</v>
      </c>
      <c r="X554" t="str">
        <f>_xlfn.XLOOKUP(F554,tblEmployee[Employee_ID],tblEmployee[Gender],"Not Found")</f>
        <v>Female</v>
      </c>
      <c r="Y554">
        <f>_xlfn.XLOOKUP(F554,tblEmployee[Employee_ID],tblEmployee[Joining_Date],"")</f>
        <v>44089</v>
      </c>
      <c r="Z554">
        <f>_xlfn.XLOOKUP(H554,tblDepartment[Department],tblDepartment[Annual_Budget_INR],"")</f>
        <v>18000000</v>
      </c>
      <c r="AA554" t="str">
        <f>_xlfn.XLOOKUP(H554,tblDepartment[Department],tblDepartment[Monthly_Target],"")</f>
        <v>&lt;30 Days Hiring Cycle</v>
      </c>
      <c r="AB554">
        <f>_xlfn.XLOOKUP(H554,tblDepartment[Department],tblDepartment[Average_Salary_INR],"")</f>
        <v>560000</v>
      </c>
      <c r="AC554" t="str">
        <f>_xlfn.XLOOKUP(H554,tblDepartment[Department],tblDepartment[Priority_Level],"")</f>
        <v>Medium</v>
      </c>
      <c r="AD554" t="str">
        <f>_xlfn.XLOOKUP(H554,tblDepartment[Department],tblDepartment[Key_KPI],"")</f>
        <v>Hiring &amp; Retention</v>
      </c>
      <c r="AE554">
        <f>_xlfn.XLOOKUP(tblMaster[[#This Row],[Shift]],tblShift[Shift_Name],tblShift[Login_Time],"")</f>
        <v>0.91666666666666663</v>
      </c>
      <c r="AF554">
        <f>_xlfn.XLOOKUP(tblMaster[[#This Row],[Shift]],tblShift[Shift_Name],tblShift[Logout_Time]," ")</f>
        <v>0.29166666666666669</v>
      </c>
      <c r="AG554">
        <f>_xlfn.XLOOKUP(tblMaster[[#This Row],[Shift]],tblShift[Shift_Name],tblShift[Standard_Working_Hours],"")</f>
        <v>8</v>
      </c>
      <c r="AH554" t="str">
        <f>_xlfn.XLOOKUP(tblMaster[[#This Row],[Attendance_Date]],tblHoliday[Holiday_Date],tblHoliday[Holiday_Name],"Working Day")</f>
        <v>Working Day</v>
      </c>
      <c r="AI554" t="str">
        <f>_xlfn.XLOOKUP(tblMaster[[#This Row],[Attendance_Date]],tblHoliday[Holiday_Date],tblHoliday[Holiday_Type],"Working Day ")</f>
        <v xml:space="preserve">Working Day </v>
      </c>
    </row>
    <row r="555" spans="1:35" hidden="1" x14ac:dyDescent="0.3">
      <c r="A555" t="s">
        <v>744</v>
      </c>
      <c r="B555" s="3">
        <v>45663</v>
      </c>
      <c r="C555" t="s">
        <v>49</v>
      </c>
      <c r="D555" t="s">
        <v>50</v>
      </c>
      <c r="E555" t="s">
        <v>109</v>
      </c>
      <c r="F555" t="s">
        <v>266</v>
      </c>
      <c r="G555" t="s">
        <v>267</v>
      </c>
      <c r="H555" t="s">
        <v>98</v>
      </c>
      <c r="I555" t="s">
        <v>99</v>
      </c>
      <c r="J555" t="s">
        <v>66</v>
      </c>
      <c r="K555" t="s">
        <v>81</v>
      </c>
      <c r="P555" t="s">
        <v>135</v>
      </c>
      <c r="S555" t="s">
        <v>67</v>
      </c>
      <c r="T555" t="s">
        <v>101</v>
      </c>
      <c r="U555" t="s">
        <v>47</v>
      </c>
      <c r="V555" t="s">
        <v>35</v>
      </c>
      <c r="W555">
        <f>_xlfn.XLOOKUP(F555,tblEmployee[Employee_ID],tblEmployee[Age],"Not Found")</f>
        <v>28</v>
      </c>
      <c r="X555" t="str">
        <f>_xlfn.XLOOKUP(F555,tblEmployee[Employee_ID],tblEmployee[Gender],"Not Found")</f>
        <v>Female</v>
      </c>
      <c r="Y555">
        <f>_xlfn.XLOOKUP(F555,tblEmployee[Employee_ID],tblEmployee[Joining_Date],"")</f>
        <v>45488</v>
      </c>
      <c r="Z555">
        <f>_xlfn.XLOOKUP(H555,tblDepartment[Department],tblDepartment[Annual_Budget_INR],"")</f>
        <v>22000000</v>
      </c>
      <c r="AA555" t="str">
        <f>_xlfn.XLOOKUP(H555,tblDepartment[Department],tblDepartment[Monthly_Target],"")</f>
        <v>2500 Qualified Leads</v>
      </c>
      <c r="AB555">
        <f>_xlfn.XLOOKUP(H555,tblDepartment[Department],tblDepartment[Average_Salary_INR],"")</f>
        <v>590000</v>
      </c>
      <c r="AC555" t="str">
        <f>_xlfn.XLOOKUP(H555,tblDepartment[Department],tblDepartment[Priority_Level],"")</f>
        <v>Medium</v>
      </c>
      <c r="AD555" t="str">
        <f>_xlfn.XLOOKUP(H555,tblDepartment[Department],tblDepartment[Key_KPI],"")</f>
        <v>Lead Generation</v>
      </c>
      <c r="AE555">
        <f>_xlfn.XLOOKUP(tblMaster[[#This Row],[Shift]],tblShift[Shift_Name],tblShift[Login_Time],"")</f>
        <v>0.91666666666666663</v>
      </c>
      <c r="AF555">
        <f>_xlfn.XLOOKUP(tblMaster[[#This Row],[Shift]],tblShift[Shift_Name],tblShift[Logout_Time]," ")</f>
        <v>0.29166666666666669</v>
      </c>
      <c r="AG555">
        <f>_xlfn.XLOOKUP(tblMaster[[#This Row],[Shift]],tblShift[Shift_Name],tblShift[Standard_Working_Hours],"")</f>
        <v>8</v>
      </c>
      <c r="AH555" t="str">
        <f>_xlfn.XLOOKUP(tblMaster[[#This Row],[Attendance_Date]],tblHoliday[Holiday_Date],tblHoliday[Holiday_Name],"Working Day")</f>
        <v>Working Day</v>
      </c>
      <c r="AI555" t="str">
        <f>_xlfn.XLOOKUP(tblMaster[[#This Row],[Attendance_Date]],tblHoliday[Holiday_Date],tblHoliday[Holiday_Type],"Working Day ")</f>
        <v xml:space="preserve">Working Day </v>
      </c>
    </row>
    <row r="556" spans="1:35" hidden="1" x14ac:dyDescent="0.3">
      <c r="A556" t="s">
        <v>745</v>
      </c>
      <c r="B556" s="3">
        <v>45786</v>
      </c>
      <c r="C556" t="s">
        <v>57</v>
      </c>
      <c r="D556" t="s">
        <v>24</v>
      </c>
      <c r="E556" t="s">
        <v>119</v>
      </c>
      <c r="F556" t="s">
        <v>96</v>
      </c>
      <c r="G556" t="s">
        <v>97</v>
      </c>
      <c r="H556" t="s">
        <v>98</v>
      </c>
      <c r="I556" t="s">
        <v>99</v>
      </c>
      <c r="J556" t="s">
        <v>100</v>
      </c>
      <c r="K556" t="s">
        <v>31</v>
      </c>
      <c r="L556" s="2">
        <v>0.375</v>
      </c>
      <c r="M556" s="2">
        <v>0.75</v>
      </c>
      <c r="N556">
        <v>8</v>
      </c>
      <c r="O556">
        <v>0</v>
      </c>
      <c r="P556" t="s">
        <v>32</v>
      </c>
      <c r="R556">
        <v>5</v>
      </c>
      <c r="S556" t="s">
        <v>33</v>
      </c>
      <c r="T556" t="s">
        <v>101</v>
      </c>
      <c r="U556" t="s">
        <v>47</v>
      </c>
      <c r="V556" t="s">
        <v>60</v>
      </c>
      <c r="W556">
        <f>_xlfn.XLOOKUP(F556,tblEmployee[Employee_ID],tblEmployee[Age],"Not Found")</f>
        <v>34</v>
      </c>
      <c r="X556" t="str">
        <f>_xlfn.XLOOKUP(F556,tblEmployee[Employee_ID],tblEmployee[Gender],"Not Found")</f>
        <v>Female</v>
      </c>
      <c r="Y556">
        <f>_xlfn.XLOOKUP(F556,tblEmployee[Employee_ID],tblEmployee[Joining_Date],"")</f>
        <v>45306</v>
      </c>
      <c r="Z556">
        <f>_xlfn.XLOOKUP(H556,tblDepartment[Department],tblDepartment[Annual_Budget_INR],"")</f>
        <v>22000000</v>
      </c>
      <c r="AA556" t="str">
        <f>_xlfn.XLOOKUP(H556,tblDepartment[Department],tblDepartment[Monthly_Target],"")</f>
        <v>2500 Qualified Leads</v>
      </c>
      <c r="AB556">
        <f>_xlfn.XLOOKUP(H556,tblDepartment[Department],tblDepartment[Average_Salary_INR],"")</f>
        <v>590000</v>
      </c>
      <c r="AC556" t="str">
        <f>_xlfn.XLOOKUP(H556,tblDepartment[Department],tblDepartment[Priority_Level],"")</f>
        <v>Medium</v>
      </c>
      <c r="AD556" t="str">
        <f>_xlfn.XLOOKUP(H556,tblDepartment[Department],tblDepartment[Key_KPI],"")</f>
        <v>Lead Generation</v>
      </c>
      <c r="AE556">
        <f>_xlfn.XLOOKUP(tblMaster[[#This Row],[Shift]],tblShift[Shift_Name],tblShift[Login_Time],"")</f>
        <v>0.25</v>
      </c>
      <c r="AF556">
        <f>_xlfn.XLOOKUP(tblMaster[[#This Row],[Shift]],tblShift[Shift_Name],tblShift[Logout_Time]," ")</f>
        <v>0.625</v>
      </c>
      <c r="AG556">
        <f>_xlfn.XLOOKUP(tblMaster[[#This Row],[Shift]],tblShift[Shift_Name],tblShift[Standard_Working_Hours],"")</f>
        <v>8</v>
      </c>
      <c r="AH556" t="str">
        <f>_xlfn.XLOOKUP(tblMaster[[#This Row],[Attendance_Date]],tblHoliday[Holiday_Date],tblHoliday[Holiday_Name],"Working Day")</f>
        <v>Working Day</v>
      </c>
      <c r="AI556" t="str">
        <f>_xlfn.XLOOKUP(tblMaster[[#This Row],[Attendance_Date]],tblHoliday[Holiday_Date],tblHoliday[Holiday_Type],"Working Day ")</f>
        <v xml:space="preserve">Working Day </v>
      </c>
    </row>
    <row r="557" spans="1:35" hidden="1" x14ac:dyDescent="0.3">
      <c r="A557" t="s">
        <v>746</v>
      </c>
      <c r="B557" s="3">
        <v>45701</v>
      </c>
      <c r="C557" t="s">
        <v>95</v>
      </c>
      <c r="D557" t="s">
        <v>50</v>
      </c>
      <c r="E557" t="s">
        <v>25</v>
      </c>
      <c r="F557" t="s">
        <v>182</v>
      </c>
      <c r="G557" t="s">
        <v>183</v>
      </c>
      <c r="H557" t="s">
        <v>112</v>
      </c>
      <c r="I557" t="s">
        <v>113</v>
      </c>
      <c r="J557" t="s">
        <v>30</v>
      </c>
      <c r="K557" t="s">
        <v>44</v>
      </c>
      <c r="L557" s="2">
        <v>0.38194444444444442</v>
      </c>
      <c r="M557" s="2">
        <v>0.75</v>
      </c>
      <c r="N557">
        <v>8</v>
      </c>
      <c r="O557">
        <v>0</v>
      </c>
      <c r="P557" t="s">
        <v>32</v>
      </c>
      <c r="S557" t="s">
        <v>33</v>
      </c>
      <c r="T557" t="s">
        <v>114</v>
      </c>
      <c r="U557" t="s">
        <v>55</v>
      </c>
      <c r="W557">
        <f>_xlfn.XLOOKUP(F557,tblEmployee[Employee_ID],tblEmployee[Age],"Not Found")</f>
        <v>28</v>
      </c>
      <c r="X557" t="str">
        <f>_xlfn.XLOOKUP(F557,tblEmployee[Employee_ID],tblEmployee[Gender],"Not Found")</f>
        <v>Male</v>
      </c>
      <c r="Y557">
        <f>_xlfn.XLOOKUP(F557,tblEmployee[Employee_ID],tblEmployee[Joining_Date],"")</f>
        <v>44211</v>
      </c>
      <c r="Z557">
        <f>_xlfn.XLOOKUP(H557,tblDepartment[Department],tblDepartment[Annual_Budget_INR],"")</f>
        <v>42000000</v>
      </c>
      <c r="AA557" t="str">
        <f>_xlfn.XLOOKUP(H557,tblDepartment[Department],tblDepartment[Monthly_Target],"")</f>
        <v>₹2.5 Cr Monthly Sales</v>
      </c>
      <c r="AB557">
        <f>_xlfn.XLOOKUP(H557,tblDepartment[Department],tblDepartment[Average_Salary_INR],"")</f>
        <v>680000</v>
      </c>
      <c r="AC557" t="str">
        <f>_xlfn.XLOOKUP(H557,tblDepartment[Department],tblDepartment[Priority_Level],"")</f>
        <v>High</v>
      </c>
      <c r="AD557" t="str">
        <f>_xlfn.XLOOKUP(H557,tblDepartment[Department],tblDepartment[Key_KPI],"")</f>
        <v>Revenue Achievement</v>
      </c>
      <c r="AE557">
        <f>_xlfn.XLOOKUP(tblMaster[[#This Row],[Shift]],tblShift[Shift_Name],tblShift[Login_Time],"")</f>
        <v>0.41666666666666669</v>
      </c>
      <c r="AF557">
        <f>_xlfn.XLOOKUP(tblMaster[[#This Row],[Shift]],tblShift[Shift_Name],tblShift[Logout_Time]," ")</f>
        <v>0.79166666666666663</v>
      </c>
      <c r="AG557">
        <f>_xlfn.XLOOKUP(tblMaster[[#This Row],[Shift]],tblShift[Shift_Name],tblShift[Standard_Working_Hours],"")</f>
        <v>8</v>
      </c>
      <c r="AH557" t="str">
        <f>_xlfn.XLOOKUP(tblMaster[[#This Row],[Attendance_Date]],tblHoliday[Holiday_Date],tblHoliday[Holiday_Name],"Working Day")</f>
        <v>Working Day</v>
      </c>
      <c r="AI557" t="str">
        <f>_xlfn.XLOOKUP(tblMaster[[#This Row],[Attendance_Date]],tblHoliday[Holiday_Date],tblHoliday[Holiday_Type],"Working Day ")</f>
        <v xml:space="preserve">Working Day </v>
      </c>
    </row>
    <row r="558" spans="1:35" hidden="1" x14ac:dyDescent="0.3">
      <c r="A558" t="s">
        <v>747</v>
      </c>
      <c r="B558" s="1">
        <v>45773</v>
      </c>
      <c r="C558" t="s">
        <v>37</v>
      </c>
      <c r="D558" t="s">
        <v>24</v>
      </c>
      <c r="E558" t="s">
        <v>38</v>
      </c>
      <c r="F558" t="s">
        <v>195</v>
      </c>
      <c r="G558" t="s">
        <v>196</v>
      </c>
      <c r="H558" t="s">
        <v>98</v>
      </c>
      <c r="I558" t="s">
        <v>99</v>
      </c>
      <c r="J558" t="s">
        <v>43</v>
      </c>
      <c r="K558" t="s">
        <v>54</v>
      </c>
      <c r="M558" s="2">
        <v>0.75</v>
      </c>
      <c r="N558">
        <v>8</v>
      </c>
      <c r="O558">
        <v>0</v>
      </c>
      <c r="P558" t="s">
        <v>32</v>
      </c>
      <c r="S558" t="s">
        <v>45</v>
      </c>
      <c r="T558" t="s">
        <v>101</v>
      </c>
      <c r="U558" t="s">
        <v>85</v>
      </c>
      <c r="V558" t="s">
        <v>35</v>
      </c>
      <c r="W558">
        <f>_xlfn.XLOOKUP(F558,tblEmployee[Employee_ID],tblEmployee[Age],"Not Found")</f>
        <v>24</v>
      </c>
      <c r="X558" t="str">
        <f>_xlfn.XLOOKUP(F558,tblEmployee[Employee_ID],tblEmployee[Gender],"Not Found")</f>
        <v>Male</v>
      </c>
      <c r="Y558">
        <f>_xlfn.XLOOKUP(F558,tblEmployee[Employee_ID],tblEmployee[Joining_Date],"")</f>
        <v>45550</v>
      </c>
      <c r="Z558">
        <f>_xlfn.XLOOKUP(H558,tblDepartment[Department],tblDepartment[Annual_Budget_INR],"")</f>
        <v>22000000</v>
      </c>
      <c r="AA558" t="str">
        <f>_xlfn.XLOOKUP(H558,tblDepartment[Department],tblDepartment[Monthly_Target],"")</f>
        <v>2500 Qualified Leads</v>
      </c>
      <c r="AB558">
        <f>_xlfn.XLOOKUP(H558,tblDepartment[Department],tblDepartment[Average_Salary_INR],"")</f>
        <v>590000</v>
      </c>
      <c r="AC558" t="str">
        <f>_xlfn.XLOOKUP(H558,tblDepartment[Department],tblDepartment[Priority_Level],"")</f>
        <v>Medium</v>
      </c>
      <c r="AD558" t="str">
        <f>_xlfn.XLOOKUP(H558,tblDepartment[Department],tblDepartment[Key_KPI],"")</f>
        <v>Lead Generation</v>
      </c>
      <c r="AE558">
        <f>_xlfn.XLOOKUP(tblMaster[[#This Row],[Shift]],tblShift[Shift_Name],tblShift[Login_Time],"")</f>
        <v>0.58333333333333337</v>
      </c>
      <c r="AF558">
        <f>_xlfn.XLOOKUP(tblMaster[[#This Row],[Shift]],tblShift[Shift_Name],tblShift[Logout_Time]," ")</f>
        <v>0.95833333333333337</v>
      </c>
      <c r="AG558">
        <f>_xlfn.XLOOKUP(tblMaster[[#This Row],[Shift]],tblShift[Shift_Name],tblShift[Standard_Working_Hours],"")</f>
        <v>8</v>
      </c>
      <c r="AH558" t="str">
        <f>_xlfn.XLOOKUP(tblMaster[[#This Row],[Attendance_Date]],tblHoliday[Holiday_Date],tblHoliday[Holiday_Name],"Working Day")</f>
        <v>Working Day</v>
      </c>
      <c r="AI558" t="str">
        <f>_xlfn.XLOOKUP(tblMaster[[#This Row],[Attendance_Date]],tblHoliday[Holiday_Date],tblHoliday[Holiday_Type],"Working Day ")</f>
        <v xml:space="preserve">Working Day </v>
      </c>
    </row>
    <row r="559" spans="1:35" x14ac:dyDescent="0.3">
      <c r="A559" t="s">
        <v>748</v>
      </c>
      <c r="B559" s="3">
        <v>45771</v>
      </c>
      <c r="C559" t="s">
        <v>37</v>
      </c>
      <c r="D559" t="s">
        <v>24</v>
      </c>
      <c r="E559" t="s">
        <v>25</v>
      </c>
      <c r="F559" t="s">
        <v>166</v>
      </c>
      <c r="G559" t="s">
        <v>167</v>
      </c>
      <c r="H559" t="s">
        <v>41</v>
      </c>
      <c r="I559" t="s">
        <v>42</v>
      </c>
      <c r="J559" t="s">
        <v>100</v>
      </c>
      <c r="K559" t="s">
        <v>75</v>
      </c>
      <c r="L559" s="2">
        <v>0.375</v>
      </c>
      <c r="M559" s="2">
        <v>0.75</v>
      </c>
      <c r="N559">
        <v>8</v>
      </c>
      <c r="O559">
        <v>0</v>
      </c>
      <c r="P559" t="s">
        <v>32</v>
      </c>
      <c r="R559">
        <v>3</v>
      </c>
      <c r="S559" t="s">
        <v>33</v>
      </c>
      <c r="T559" t="s">
        <v>46</v>
      </c>
      <c r="U559" t="str">
        <f>_xlfn.XLOOKUP(tblMaster[[#This Row],[Employee_ID]],tblEmployee[Employee_ID],tblEmployee[Work_Mode]," ")</f>
        <v>Office</v>
      </c>
      <c r="V559" t="s">
        <v>60</v>
      </c>
      <c r="W559">
        <f>_xlfn.XLOOKUP(F559,tblEmployee[Employee_ID],tblEmployee[Age],"Not Found")</f>
        <v>37</v>
      </c>
      <c r="X559" t="str">
        <f>_xlfn.XLOOKUP(F559,tblEmployee[Employee_ID],tblEmployee[Gender],"Not Found")</f>
        <v>Male</v>
      </c>
      <c r="Y559">
        <f>_xlfn.XLOOKUP(F559,tblEmployee[Employee_ID],tblEmployee[Joining_Date],"")</f>
        <v>45214</v>
      </c>
      <c r="Z559">
        <f>_xlfn.XLOOKUP(H559,tblDepartment[Department],tblDepartment[Annual_Budget_INR],"")</f>
        <v>34000000</v>
      </c>
      <c r="AA559" t="str">
        <f>_xlfn.XLOOKUP(H559,tblDepartment[Department],tblDepartment[Monthly_Target],"")</f>
        <v>95% Process Efficiency</v>
      </c>
      <c r="AB559">
        <f>_xlfn.XLOOKUP(H559,tblDepartment[Department],tblDepartment[Average_Salary_INR],"")</f>
        <v>610000</v>
      </c>
      <c r="AC559" t="str">
        <f>_xlfn.XLOOKUP(H559,tblDepartment[Department],tblDepartment[Priority_Level],"")</f>
        <v>High</v>
      </c>
      <c r="AD559" t="str">
        <f>_xlfn.XLOOKUP(H559,tblDepartment[Department],tblDepartment[Key_KPI],"")</f>
        <v>Operational Efficiency</v>
      </c>
      <c r="AE559">
        <f>_xlfn.XLOOKUP(tblMaster[[#This Row],[Shift]],tblShift[Shift_Name],tblShift[Login_Time],"")</f>
        <v>0.375</v>
      </c>
      <c r="AF559">
        <f>_xlfn.XLOOKUP(tblMaster[[#This Row],[Shift]],tblShift[Shift_Name],tblShift[Logout_Time]," ")</f>
        <v>0.75</v>
      </c>
      <c r="AG559">
        <f>_xlfn.XLOOKUP(tblMaster[[#This Row],[Shift]],tblShift[Shift_Name],tblShift[Standard_Working_Hours],"")</f>
        <v>8</v>
      </c>
      <c r="AH559" t="str">
        <f>_xlfn.XLOOKUP(tblMaster[[#This Row],[Attendance_Date]],tblHoliday[Holiday_Date],tblHoliday[Holiday_Name],"Working Day")</f>
        <v>Working Day</v>
      </c>
      <c r="AI559" t="str">
        <f>_xlfn.XLOOKUP(tblMaster[[#This Row],[Attendance_Date]],tblHoliday[Holiday_Date],tblHoliday[Holiday_Type],"Working Day ")</f>
        <v xml:space="preserve">Working Day </v>
      </c>
    </row>
    <row r="560" spans="1:35" hidden="1" x14ac:dyDescent="0.3">
      <c r="A560" t="s">
        <v>749</v>
      </c>
      <c r="B560" s="3">
        <v>45695</v>
      </c>
      <c r="C560" t="s">
        <v>95</v>
      </c>
      <c r="D560" t="s">
        <v>50</v>
      </c>
      <c r="E560" t="s">
        <v>119</v>
      </c>
      <c r="F560" t="s">
        <v>192</v>
      </c>
      <c r="G560" t="s">
        <v>193</v>
      </c>
      <c r="H560" t="s">
        <v>79</v>
      </c>
      <c r="I560" t="s">
        <v>80</v>
      </c>
      <c r="J560" t="s">
        <v>66</v>
      </c>
      <c r="K560" t="s">
        <v>54</v>
      </c>
      <c r="L560" s="2">
        <v>0.375</v>
      </c>
      <c r="M560" s="2">
        <v>0.75</v>
      </c>
      <c r="N560">
        <v>8</v>
      </c>
      <c r="O560">
        <v>0</v>
      </c>
      <c r="P560" t="s">
        <v>32</v>
      </c>
      <c r="R560">
        <v>3</v>
      </c>
      <c r="S560" t="s">
        <v>92</v>
      </c>
      <c r="T560" t="s">
        <v>84</v>
      </c>
      <c r="U560" t="s">
        <v>47</v>
      </c>
      <c r="V560" t="s">
        <v>60</v>
      </c>
      <c r="W560">
        <f>_xlfn.XLOOKUP(F560,tblEmployee[Employee_ID],tblEmployee[Age],"Not Found")</f>
        <v>32</v>
      </c>
      <c r="X560" t="str">
        <f>_xlfn.XLOOKUP(F560,tblEmployee[Employee_ID],tblEmployee[Gender],"Not Found")</f>
        <v>Female</v>
      </c>
      <c r="Y560">
        <f>_xlfn.XLOOKUP(F560,tblEmployee[Employee_ID],tblEmployee[Joining_Date],"")</f>
        <v>44880</v>
      </c>
      <c r="Z560">
        <f>_xlfn.XLOOKUP(H560,tblDepartment[Department],tblDepartment[Annual_Budget_INR],"")</f>
        <v>26000000</v>
      </c>
      <c r="AA560" t="str">
        <f>_xlfn.XLOOKUP(H560,tblDepartment[Department],tblDepartment[Monthly_Target],"")</f>
        <v>100% Payroll Accuracy</v>
      </c>
      <c r="AB560">
        <f>_xlfn.XLOOKUP(H560,tblDepartment[Department],tblDepartment[Average_Salary_INR],"")</f>
        <v>640000</v>
      </c>
      <c r="AC560" t="str">
        <f>_xlfn.XLOOKUP(H560,tblDepartment[Department],tblDepartment[Priority_Level],"")</f>
        <v>High</v>
      </c>
      <c r="AD560" t="str">
        <f>_xlfn.XLOOKUP(H560,tblDepartment[Department],tblDepartment[Key_KPI],"")</f>
        <v>Financial Compliance</v>
      </c>
      <c r="AE560">
        <f>_xlfn.XLOOKUP(tblMaster[[#This Row],[Shift]],tblShift[Shift_Name],tblShift[Login_Time],"")</f>
        <v>0.58333333333333337</v>
      </c>
      <c r="AF560">
        <f>_xlfn.XLOOKUP(tblMaster[[#This Row],[Shift]],tblShift[Shift_Name],tblShift[Logout_Time]," ")</f>
        <v>0.95833333333333337</v>
      </c>
      <c r="AG560">
        <f>_xlfn.XLOOKUP(tblMaster[[#This Row],[Shift]],tblShift[Shift_Name],tblShift[Standard_Working_Hours],"")</f>
        <v>8</v>
      </c>
      <c r="AH560" t="str">
        <f>_xlfn.XLOOKUP(tblMaster[[#This Row],[Attendance_Date]],tblHoliday[Holiday_Date],tblHoliday[Holiday_Name],"Working Day")</f>
        <v>Working Day</v>
      </c>
      <c r="AI560" t="str">
        <f>_xlfn.XLOOKUP(tblMaster[[#This Row],[Attendance_Date]],tblHoliday[Holiday_Date],tblHoliday[Holiday_Type],"Working Day ")</f>
        <v xml:space="preserve">Working Day </v>
      </c>
    </row>
    <row r="561" spans="1:35" x14ac:dyDescent="0.3">
      <c r="A561" t="s">
        <v>750</v>
      </c>
      <c r="B561" s="3">
        <v>45661</v>
      </c>
      <c r="C561" t="s">
        <v>49</v>
      </c>
      <c r="D561" t="s">
        <v>50</v>
      </c>
      <c r="E561" t="s">
        <v>38</v>
      </c>
      <c r="F561" t="s">
        <v>142</v>
      </c>
      <c r="G561" t="s">
        <v>143</v>
      </c>
      <c r="H561" t="s">
        <v>64</v>
      </c>
      <c r="I561" t="s">
        <v>65</v>
      </c>
      <c r="J561" t="s">
        <v>43</v>
      </c>
      <c r="K561" t="s">
        <v>81</v>
      </c>
      <c r="L561" s="2">
        <v>0.91666666666666663</v>
      </c>
      <c r="M561" s="2">
        <v>0.29166666666666669</v>
      </c>
      <c r="N561">
        <v>10</v>
      </c>
      <c r="O561">
        <v>2</v>
      </c>
      <c r="P561" t="s">
        <v>32</v>
      </c>
      <c r="R561">
        <v>5</v>
      </c>
      <c r="S561" t="s">
        <v>45</v>
      </c>
      <c r="T561" t="s">
        <v>68</v>
      </c>
      <c r="U561" t="str">
        <f>_xlfn.XLOOKUP(tblMaster[[#This Row],[Employee_ID]],tblEmployee[Employee_ID],tblEmployee[Work_Mode]," ")</f>
        <v>Office</v>
      </c>
      <c r="V561" t="s">
        <v>69</v>
      </c>
      <c r="W561">
        <f>_xlfn.XLOOKUP(F561,tblEmployee[Employee_ID],tblEmployee[Age],"Not Found")</f>
        <v>37</v>
      </c>
      <c r="X561" t="str">
        <f>_xlfn.XLOOKUP(F561,tblEmployee[Employee_ID],tblEmployee[Gender],"Not Found")</f>
        <v>Male</v>
      </c>
      <c r="Y561">
        <f>_xlfn.XLOOKUP(F561,tblEmployee[Employee_ID],tblEmployee[Joining_Date],"")</f>
        <v>43570</v>
      </c>
      <c r="Z561">
        <f>_xlfn.XLOOKUP(H561,tblDepartment[Department],tblDepartment[Annual_Budget_INR],"")</f>
        <v>85000000</v>
      </c>
      <c r="AA561" t="str">
        <f>_xlfn.XLOOKUP(H561,tblDepartment[Department],tblDepartment[Monthly_Target],"")</f>
        <v>99.5% System Uptime</v>
      </c>
      <c r="AB561">
        <f>_xlfn.XLOOKUP(H561,tblDepartment[Department],tblDepartment[Average_Salary_INR],"")</f>
        <v>720000</v>
      </c>
      <c r="AC561" t="str">
        <f>_xlfn.XLOOKUP(H561,tblDepartment[Department],tblDepartment[Priority_Level],"")</f>
        <v>High</v>
      </c>
      <c r="AD561" t="str">
        <f>_xlfn.XLOOKUP(H561,tblDepartment[Department],tblDepartment[Key_KPI],"")</f>
        <v>Project Delivery</v>
      </c>
      <c r="AE561">
        <f>_xlfn.XLOOKUP(tblMaster[[#This Row],[Shift]],tblShift[Shift_Name],tblShift[Login_Time],"")</f>
        <v>0.91666666666666663</v>
      </c>
      <c r="AF561">
        <f>_xlfn.XLOOKUP(tblMaster[[#This Row],[Shift]],tblShift[Shift_Name],tblShift[Logout_Time]," ")</f>
        <v>0.29166666666666669</v>
      </c>
      <c r="AG561">
        <f>_xlfn.XLOOKUP(tblMaster[[#This Row],[Shift]],tblShift[Shift_Name],tblShift[Standard_Working_Hours],"")</f>
        <v>8</v>
      </c>
      <c r="AH561" t="str">
        <f>_xlfn.XLOOKUP(tblMaster[[#This Row],[Attendance_Date]],tblHoliday[Holiday_Date],tblHoliday[Holiday_Name],"Working Day")</f>
        <v>Working Day</v>
      </c>
      <c r="AI561" t="str">
        <f>_xlfn.XLOOKUP(tblMaster[[#This Row],[Attendance_Date]],tblHoliday[Holiday_Date],tblHoliday[Holiday_Type],"Working Day ")</f>
        <v xml:space="preserve">Working Day </v>
      </c>
    </row>
    <row r="562" spans="1:35" hidden="1" x14ac:dyDescent="0.3">
      <c r="A562" t="s">
        <v>751</v>
      </c>
      <c r="B562" s="3">
        <v>45677</v>
      </c>
      <c r="C562" t="s">
        <v>49</v>
      </c>
      <c r="D562" t="s">
        <v>50</v>
      </c>
      <c r="E562" t="s">
        <v>109</v>
      </c>
      <c r="F562" t="s">
        <v>116</v>
      </c>
      <c r="G562" t="s">
        <v>117</v>
      </c>
      <c r="H562" t="s">
        <v>112</v>
      </c>
      <c r="I562" t="s">
        <v>113</v>
      </c>
      <c r="J562" t="s">
        <v>100</v>
      </c>
      <c r="K562" t="s">
        <v>75</v>
      </c>
      <c r="L562" s="2">
        <v>0.3888888888888889</v>
      </c>
      <c r="M562" s="2">
        <v>0.75</v>
      </c>
      <c r="N562">
        <v>8</v>
      </c>
      <c r="O562">
        <v>0</v>
      </c>
      <c r="P562" t="s">
        <v>32</v>
      </c>
      <c r="R562">
        <v>4</v>
      </c>
      <c r="S562" t="s">
        <v>45</v>
      </c>
      <c r="T562" t="s">
        <v>114</v>
      </c>
      <c r="U562" t="s">
        <v>47</v>
      </c>
      <c r="V562" t="s">
        <v>60</v>
      </c>
      <c r="W562">
        <f>_xlfn.XLOOKUP(F562,tblEmployee[Employee_ID],tblEmployee[Age],"Not Found")</f>
        <v>24</v>
      </c>
      <c r="X562" t="str">
        <f>_xlfn.XLOOKUP(F562,tblEmployee[Employee_ID],tblEmployee[Gender],"Not Found")</f>
        <v>Male</v>
      </c>
      <c r="Y562">
        <f>_xlfn.XLOOKUP(F562,tblEmployee[Employee_ID],tblEmployee[Joining_Date],"")</f>
        <v>44270</v>
      </c>
      <c r="Z562">
        <f>_xlfn.XLOOKUP(H562,tblDepartment[Department],tblDepartment[Annual_Budget_INR],"")</f>
        <v>42000000</v>
      </c>
      <c r="AA562" t="str">
        <f>_xlfn.XLOOKUP(H562,tblDepartment[Department],tblDepartment[Monthly_Target],"")</f>
        <v>₹2.5 Cr Monthly Sales</v>
      </c>
      <c r="AB562">
        <f>_xlfn.XLOOKUP(H562,tblDepartment[Department],tblDepartment[Average_Salary_INR],"")</f>
        <v>680000</v>
      </c>
      <c r="AC562" t="str">
        <f>_xlfn.XLOOKUP(H562,tblDepartment[Department],tblDepartment[Priority_Level],"")</f>
        <v>High</v>
      </c>
      <c r="AD562" t="str">
        <f>_xlfn.XLOOKUP(H562,tblDepartment[Department],tblDepartment[Key_KPI],"")</f>
        <v>Revenue Achievement</v>
      </c>
      <c r="AE562">
        <f>_xlfn.XLOOKUP(tblMaster[[#This Row],[Shift]],tblShift[Shift_Name],tblShift[Login_Time],"")</f>
        <v>0.375</v>
      </c>
      <c r="AF562">
        <f>_xlfn.XLOOKUP(tblMaster[[#This Row],[Shift]],tblShift[Shift_Name],tblShift[Logout_Time]," ")</f>
        <v>0.75</v>
      </c>
      <c r="AG562">
        <f>_xlfn.XLOOKUP(tblMaster[[#This Row],[Shift]],tblShift[Shift_Name],tblShift[Standard_Working_Hours],"")</f>
        <v>8</v>
      </c>
      <c r="AH562" t="str">
        <f>_xlfn.XLOOKUP(tblMaster[[#This Row],[Attendance_Date]],tblHoliday[Holiday_Date],tblHoliday[Holiday_Name],"Working Day")</f>
        <v>Working Day</v>
      </c>
      <c r="AI562" t="str">
        <f>_xlfn.XLOOKUP(tblMaster[[#This Row],[Attendance_Date]],tblHoliday[Holiday_Date],tblHoliday[Holiday_Type],"Working Day ")</f>
        <v xml:space="preserve">Working Day </v>
      </c>
    </row>
    <row r="563" spans="1:35" hidden="1" x14ac:dyDescent="0.3">
      <c r="A563" t="s">
        <v>752</v>
      </c>
      <c r="B563" s="3">
        <v>45675</v>
      </c>
      <c r="C563" t="s">
        <v>49</v>
      </c>
      <c r="D563" t="s">
        <v>50</v>
      </c>
      <c r="E563" t="s">
        <v>38</v>
      </c>
      <c r="F563" t="s">
        <v>133</v>
      </c>
      <c r="G563" t="s">
        <v>134</v>
      </c>
      <c r="H563" t="s">
        <v>98</v>
      </c>
      <c r="I563" t="s">
        <v>99</v>
      </c>
      <c r="J563" t="s">
        <v>66</v>
      </c>
      <c r="K563" t="s">
        <v>81</v>
      </c>
      <c r="L563" s="2">
        <v>0.91666666666666663</v>
      </c>
      <c r="M563" s="2">
        <v>0.29166666666666669</v>
      </c>
      <c r="N563">
        <v>10</v>
      </c>
      <c r="O563">
        <v>2</v>
      </c>
      <c r="P563" t="s">
        <v>32</v>
      </c>
      <c r="R563">
        <v>4</v>
      </c>
      <c r="S563" t="s">
        <v>92</v>
      </c>
      <c r="T563" t="s">
        <v>101</v>
      </c>
      <c r="U563" t="s">
        <v>55</v>
      </c>
      <c r="W563">
        <f>_xlfn.XLOOKUP(F563,tblEmployee[Employee_ID],tblEmployee[Age],"Not Found")</f>
        <v>27</v>
      </c>
      <c r="X563" t="str">
        <f>_xlfn.XLOOKUP(F563,tblEmployee[Employee_ID],tblEmployee[Gender],"Not Found")</f>
        <v>Male</v>
      </c>
      <c r="Y563">
        <f>_xlfn.XLOOKUP(F563,tblEmployee[Employee_ID],tblEmployee[Joining_Date],"")</f>
        <v>45458</v>
      </c>
      <c r="Z563">
        <f>_xlfn.XLOOKUP(H563,tblDepartment[Department],tblDepartment[Annual_Budget_INR],"")</f>
        <v>22000000</v>
      </c>
      <c r="AA563" t="str">
        <f>_xlfn.XLOOKUP(H563,tblDepartment[Department],tblDepartment[Monthly_Target],"")</f>
        <v>2500 Qualified Leads</v>
      </c>
      <c r="AB563">
        <f>_xlfn.XLOOKUP(H563,tblDepartment[Department],tblDepartment[Average_Salary_INR],"")</f>
        <v>590000</v>
      </c>
      <c r="AC563" t="str">
        <f>_xlfn.XLOOKUP(H563,tblDepartment[Department],tblDepartment[Priority_Level],"")</f>
        <v>Medium</v>
      </c>
      <c r="AD563" t="str">
        <f>_xlfn.XLOOKUP(H563,tblDepartment[Department],tblDepartment[Key_KPI],"")</f>
        <v>Lead Generation</v>
      </c>
      <c r="AE563">
        <f>_xlfn.XLOOKUP(tblMaster[[#This Row],[Shift]],tblShift[Shift_Name],tblShift[Login_Time],"")</f>
        <v>0.91666666666666663</v>
      </c>
      <c r="AF563">
        <f>_xlfn.XLOOKUP(tblMaster[[#This Row],[Shift]],tblShift[Shift_Name],tblShift[Logout_Time]," ")</f>
        <v>0.29166666666666669</v>
      </c>
      <c r="AG563">
        <f>_xlfn.XLOOKUP(tblMaster[[#This Row],[Shift]],tblShift[Shift_Name],tblShift[Standard_Working_Hours],"")</f>
        <v>8</v>
      </c>
      <c r="AH563" t="str">
        <f>_xlfn.XLOOKUP(tblMaster[[#This Row],[Attendance_Date]],tblHoliday[Holiday_Date],tblHoliday[Holiday_Name],"Working Day")</f>
        <v>Working Day</v>
      </c>
      <c r="AI563" t="str">
        <f>_xlfn.XLOOKUP(tblMaster[[#This Row],[Attendance_Date]],tblHoliday[Holiday_Date],tblHoliday[Holiday_Type],"Working Day ")</f>
        <v xml:space="preserve">Working Day </v>
      </c>
    </row>
    <row r="564" spans="1:35" hidden="1" x14ac:dyDescent="0.3">
      <c r="A564" t="s">
        <v>753</v>
      </c>
      <c r="B564" s="3">
        <v>45716</v>
      </c>
      <c r="C564" t="s">
        <v>95</v>
      </c>
      <c r="D564" t="s">
        <v>50</v>
      </c>
      <c r="E564" t="s">
        <v>119</v>
      </c>
      <c r="F564" t="s">
        <v>182</v>
      </c>
      <c r="G564" t="s">
        <v>183</v>
      </c>
      <c r="H564" t="s">
        <v>112</v>
      </c>
      <c r="I564" t="s">
        <v>113</v>
      </c>
      <c r="J564" t="s">
        <v>30</v>
      </c>
      <c r="K564" t="s">
        <v>31</v>
      </c>
      <c r="L564" s="2">
        <v>0.39930555555555558</v>
      </c>
      <c r="M564" s="2">
        <v>0.75</v>
      </c>
      <c r="N564">
        <v>8</v>
      </c>
      <c r="O564">
        <v>0</v>
      </c>
      <c r="P564" t="s">
        <v>32</v>
      </c>
      <c r="R564">
        <v>3</v>
      </c>
      <c r="S564" t="s">
        <v>45</v>
      </c>
      <c r="T564" t="s">
        <v>114</v>
      </c>
      <c r="U564" t="s">
        <v>85</v>
      </c>
      <c r="W564">
        <f>_xlfn.XLOOKUP(F564,tblEmployee[Employee_ID],tblEmployee[Age],"Not Found")</f>
        <v>28</v>
      </c>
      <c r="X564" t="str">
        <f>_xlfn.XLOOKUP(F564,tblEmployee[Employee_ID],tblEmployee[Gender],"Not Found")</f>
        <v>Male</v>
      </c>
      <c r="Y564">
        <f>_xlfn.XLOOKUP(F564,tblEmployee[Employee_ID],tblEmployee[Joining_Date],"")</f>
        <v>44211</v>
      </c>
      <c r="Z564">
        <f>_xlfn.XLOOKUP(H564,tblDepartment[Department],tblDepartment[Annual_Budget_INR],"")</f>
        <v>42000000</v>
      </c>
      <c r="AA564" t="str">
        <f>_xlfn.XLOOKUP(H564,tblDepartment[Department],tblDepartment[Monthly_Target],"")</f>
        <v>₹2.5 Cr Monthly Sales</v>
      </c>
      <c r="AB564">
        <f>_xlfn.XLOOKUP(H564,tblDepartment[Department],tblDepartment[Average_Salary_INR],"")</f>
        <v>680000</v>
      </c>
      <c r="AC564" t="str">
        <f>_xlfn.XLOOKUP(H564,tblDepartment[Department],tblDepartment[Priority_Level],"")</f>
        <v>High</v>
      </c>
      <c r="AD564" t="str">
        <f>_xlfn.XLOOKUP(H564,tblDepartment[Department],tblDepartment[Key_KPI],"")</f>
        <v>Revenue Achievement</v>
      </c>
      <c r="AE564">
        <f>_xlfn.XLOOKUP(tblMaster[[#This Row],[Shift]],tblShift[Shift_Name],tblShift[Login_Time],"")</f>
        <v>0.25</v>
      </c>
      <c r="AF564">
        <f>_xlfn.XLOOKUP(tblMaster[[#This Row],[Shift]],tblShift[Shift_Name],tblShift[Logout_Time]," ")</f>
        <v>0.625</v>
      </c>
      <c r="AG564">
        <f>_xlfn.XLOOKUP(tblMaster[[#This Row],[Shift]],tblShift[Shift_Name],tblShift[Standard_Working_Hours],"")</f>
        <v>8</v>
      </c>
      <c r="AH564" t="str">
        <f>_xlfn.XLOOKUP(tblMaster[[#This Row],[Attendance_Date]],tblHoliday[Holiday_Date],tblHoliday[Holiday_Name],"Working Day")</f>
        <v>Working Day</v>
      </c>
      <c r="AI564" t="str">
        <f>_xlfn.XLOOKUP(tblMaster[[#This Row],[Attendance_Date]],tblHoliday[Holiday_Date],tblHoliday[Holiday_Type],"Working Day ")</f>
        <v xml:space="preserve">Working Day </v>
      </c>
    </row>
    <row r="565" spans="1:35" hidden="1" x14ac:dyDescent="0.3">
      <c r="A565" t="s">
        <v>754</v>
      </c>
      <c r="B565" s="1">
        <v>45710</v>
      </c>
      <c r="C565" t="s">
        <v>95</v>
      </c>
      <c r="D565" t="s">
        <v>50</v>
      </c>
      <c r="E565" t="s">
        <v>38</v>
      </c>
      <c r="F565" t="s">
        <v>148</v>
      </c>
      <c r="G565" t="s">
        <v>149</v>
      </c>
      <c r="H565" t="s">
        <v>112</v>
      </c>
      <c r="I565" t="s">
        <v>113</v>
      </c>
      <c r="J565" t="s">
        <v>43</v>
      </c>
      <c r="K565" t="s">
        <v>44</v>
      </c>
      <c r="L565" s="2">
        <v>0.38194444444444442</v>
      </c>
      <c r="M565" s="2">
        <v>0.75</v>
      </c>
      <c r="N565">
        <v>8</v>
      </c>
      <c r="O565">
        <v>0</v>
      </c>
      <c r="P565" t="s">
        <v>32</v>
      </c>
      <c r="R565">
        <v>3</v>
      </c>
      <c r="S565" t="s">
        <v>45</v>
      </c>
      <c r="T565" t="s">
        <v>114</v>
      </c>
      <c r="U565" t="s">
        <v>55</v>
      </c>
      <c r="V565" t="s">
        <v>60</v>
      </c>
      <c r="W565">
        <f>_xlfn.XLOOKUP(F565,tblEmployee[Employee_ID],tblEmployee[Age],"Not Found")</f>
        <v>31</v>
      </c>
      <c r="X565" t="str">
        <f>_xlfn.XLOOKUP(F565,tblEmployee[Employee_ID],tblEmployee[Gender],"Not Found")</f>
        <v>Male</v>
      </c>
      <c r="Y565">
        <f>_xlfn.XLOOKUP(F565,tblEmployee[Employee_ID],tblEmployee[Joining_Date],"")</f>
        <v>44484</v>
      </c>
      <c r="Z565">
        <f>_xlfn.XLOOKUP(H565,tblDepartment[Department],tblDepartment[Annual_Budget_INR],"")</f>
        <v>42000000</v>
      </c>
      <c r="AA565" t="str">
        <f>_xlfn.XLOOKUP(H565,tblDepartment[Department],tblDepartment[Monthly_Target],"")</f>
        <v>₹2.5 Cr Monthly Sales</v>
      </c>
      <c r="AB565">
        <f>_xlfn.XLOOKUP(H565,tblDepartment[Department],tblDepartment[Average_Salary_INR],"")</f>
        <v>680000</v>
      </c>
      <c r="AC565" t="str">
        <f>_xlfn.XLOOKUP(H565,tblDepartment[Department],tblDepartment[Priority_Level],"")</f>
        <v>High</v>
      </c>
      <c r="AD565" t="str">
        <f>_xlfn.XLOOKUP(H565,tblDepartment[Department],tblDepartment[Key_KPI],"")</f>
        <v>Revenue Achievement</v>
      </c>
      <c r="AE565">
        <f>_xlfn.XLOOKUP(tblMaster[[#This Row],[Shift]],tblShift[Shift_Name],tblShift[Login_Time],"")</f>
        <v>0.41666666666666669</v>
      </c>
      <c r="AF565">
        <f>_xlfn.XLOOKUP(tblMaster[[#This Row],[Shift]],tblShift[Shift_Name],tblShift[Logout_Time]," ")</f>
        <v>0.79166666666666663</v>
      </c>
      <c r="AG565">
        <f>_xlfn.XLOOKUP(tblMaster[[#This Row],[Shift]],tblShift[Shift_Name],tblShift[Standard_Working_Hours],"")</f>
        <v>8</v>
      </c>
      <c r="AH565" t="str">
        <f>_xlfn.XLOOKUP(tblMaster[[#This Row],[Attendance_Date]],tblHoliday[Holiday_Date],tblHoliday[Holiday_Name],"Working Day")</f>
        <v>Working Day</v>
      </c>
      <c r="AI565" t="str">
        <f>_xlfn.XLOOKUP(tblMaster[[#This Row],[Attendance_Date]],tblHoliday[Holiday_Date],tblHoliday[Holiday_Type],"Working Day ")</f>
        <v xml:space="preserve">Working Day </v>
      </c>
    </row>
    <row r="566" spans="1:35" hidden="1" x14ac:dyDescent="0.3">
      <c r="A566" t="s">
        <v>755</v>
      </c>
      <c r="B566" s="3">
        <v>45721</v>
      </c>
      <c r="C566" t="s">
        <v>71</v>
      </c>
      <c r="D566" t="s">
        <v>50</v>
      </c>
      <c r="E566" t="s">
        <v>51</v>
      </c>
      <c r="F566" t="s">
        <v>151</v>
      </c>
      <c r="G566" t="s">
        <v>152</v>
      </c>
      <c r="H566" t="s">
        <v>98</v>
      </c>
      <c r="I566" t="s">
        <v>99</v>
      </c>
      <c r="J566" t="s">
        <v>30</v>
      </c>
      <c r="K566" t="s">
        <v>81</v>
      </c>
      <c r="L566" s="2">
        <v>0.91666666666666663</v>
      </c>
      <c r="M566" s="2">
        <v>0.29166666666666669</v>
      </c>
      <c r="N566">
        <v>9.5</v>
      </c>
      <c r="O566">
        <v>1.5</v>
      </c>
      <c r="P566" t="s">
        <v>32</v>
      </c>
      <c r="R566">
        <v>3</v>
      </c>
      <c r="S566" t="s">
        <v>92</v>
      </c>
      <c r="T566" t="s">
        <v>101</v>
      </c>
      <c r="U566" t="s">
        <v>85</v>
      </c>
      <c r="V566" t="s">
        <v>35</v>
      </c>
      <c r="W566">
        <f>_xlfn.XLOOKUP(F566,tblEmployee[Employee_ID],tblEmployee[Age],"Not Found")</f>
        <v>38</v>
      </c>
      <c r="X566" t="str">
        <f>_xlfn.XLOOKUP(F566,tblEmployee[Employee_ID],tblEmployee[Gender],"Not Found")</f>
        <v>Female</v>
      </c>
      <c r="Y566">
        <f>_xlfn.XLOOKUP(F566,tblEmployee[Employee_ID],tblEmployee[Joining_Date],"")</f>
        <v>45611</v>
      </c>
      <c r="Z566">
        <f>_xlfn.XLOOKUP(H566,tblDepartment[Department],tblDepartment[Annual_Budget_INR],"")</f>
        <v>22000000</v>
      </c>
      <c r="AA566" t="str">
        <f>_xlfn.XLOOKUP(H566,tblDepartment[Department],tblDepartment[Monthly_Target],"")</f>
        <v>2500 Qualified Leads</v>
      </c>
      <c r="AB566">
        <f>_xlfn.XLOOKUP(H566,tblDepartment[Department],tblDepartment[Average_Salary_INR],"")</f>
        <v>590000</v>
      </c>
      <c r="AC566" t="str">
        <f>_xlfn.XLOOKUP(H566,tblDepartment[Department],tblDepartment[Priority_Level],"")</f>
        <v>Medium</v>
      </c>
      <c r="AD566" t="str">
        <f>_xlfn.XLOOKUP(H566,tblDepartment[Department],tblDepartment[Key_KPI],"")</f>
        <v>Lead Generation</v>
      </c>
      <c r="AE566">
        <f>_xlfn.XLOOKUP(tblMaster[[#This Row],[Shift]],tblShift[Shift_Name],tblShift[Login_Time],"")</f>
        <v>0.91666666666666663</v>
      </c>
      <c r="AF566">
        <f>_xlfn.XLOOKUP(tblMaster[[#This Row],[Shift]],tblShift[Shift_Name],tblShift[Logout_Time]," ")</f>
        <v>0.29166666666666669</v>
      </c>
      <c r="AG566">
        <f>_xlfn.XLOOKUP(tblMaster[[#This Row],[Shift]],tblShift[Shift_Name],tblShift[Standard_Working_Hours],"")</f>
        <v>8</v>
      </c>
      <c r="AH566" t="str">
        <f>_xlfn.XLOOKUP(tblMaster[[#This Row],[Attendance_Date]],tblHoliday[Holiday_Date],tblHoliday[Holiday_Name],"Working Day")</f>
        <v>Working Day</v>
      </c>
      <c r="AI566" t="str">
        <f>_xlfn.XLOOKUP(tblMaster[[#This Row],[Attendance_Date]],tblHoliday[Holiday_Date],tblHoliday[Holiday_Type],"Working Day ")</f>
        <v xml:space="preserve">Working Day </v>
      </c>
    </row>
    <row r="567" spans="1:35" x14ac:dyDescent="0.3">
      <c r="A567" t="s">
        <v>756</v>
      </c>
      <c r="B567" s="1">
        <v>45753</v>
      </c>
      <c r="C567" t="s">
        <v>37</v>
      </c>
      <c r="D567" t="s">
        <v>24</v>
      </c>
      <c r="E567" t="s">
        <v>103</v>
      </c>
      <c r="F567" t="s">
        <v>215</v>
      </c>
      <c r="G567" t="s">
        <v>216</v>
      </c>
      <c r="H567" t="s">
        <v>79</v>
      </c>
      <c r="I567" t="s">
        <v>80</v>
      </c>
      <c r="J567" t="s">
        <v>30</v>
      </c>
      <c r="K567" t="s">
        <v>81</v>
      </c>
      <c r="L567" s="2">
        <v>0.91666666666666663</v>
      </c>
      <c r="M567" s="2">
        <v>0.29166666666666669</v>
      </c>
      <c r="N567">
        <v>9</v>
      </c>
      <c r="O567">
        <v>1</v>
      </c>
      <c r="P567" t="s">
        <v>32</v>
      </c>
      <c r="R567">
        <v>4</v>
      </c>
      <c r="S567" t="s">
        <v>33</v>
      </c>
      <c r="T567" t="s">
        <v>84</v>
      </c>
      <c r="U567" t="str">
        <f>_xlfn.XLOOKUP(tblMaster[[#This Row],[Employee_ID]],tblEmployee[Employee_ID],tblEmployee[Work_Mode]," ")</f>
        <v>Office</v>
      </c>
      <c r="V567" t="s">
        <v>69</v>
      </c>
      <c r="W567">
        <f>_xlfn.XLOOKUP(F567,tblEmployee[Employee_ID],tblEmployee[Age],"Not Found")</f>
        <v>25</v>
      </c>
      <c r="X567" t="str">
        <f>_xlfn.XLOOKUP(F567,tblEmployee[Employee_ID],tblEmployee[Gender],"Not Found")</f>
        <v>Female</v>
      </c>
      <c r="Y567">
        <f>_xlfn.XLOOKUP(F567,tblEmployee[Employee_ID],tblEmployee[Joining_Date],"")</f>
        <v>44666</v>
      </c>
      <c r="Z567">
        <f>_xlfn.XLOOKUP(H567,tblDepartment[Department],tblDepartment[Annual_Budget_INR],"")</f>
        <v>26000000</v>
      </c>
      <c r="AA567" t="str">
        <f>_xlfn.XLOOKUP(H567,tblDepartment[Department],tblDepartment[Monthly_Target],"")</f>
        <v>100% Payroll Accuracy</v>
      </c>
      <c r="AB567">
        <f>_xlfn.XLOOKUP(H567,tblDepartment[Department],tblDepartment[Average_Salary_INR],"")</f>
        <v>640000</v>
      </c>
      <c r="AC567" t="str">
        <f>_xlfn.XLOOKUP(H567,tblDepartment[Department],tblDepartment[Priority_Level],"")</f>
        <v>High</v>
      </c>
      <c r="AD567" t="str">
        <f>_xlfn.XLOOKUP(H567,tblDepartment[Department],tblDepartment[Key_KPI],"")</f>
        <v>Financial Compliance</v>
      </c>
      <c r="AE567">
        <f>_xlfn.XLOOKUP(tblMaster[[#This Row],[Shift]],tblShift[Shift_Name],tblShift[Login_Time],"")</f>
        <v>0.91666666666666663</v>
      </c>
      <c r="AF567">
        <f>_xlfn.XLOOKUP(tblMaster[[#This Row],[Shift]],tblShift[Shift_Name],tblShift[Logout_Time]," ")</f>
        <v>0.29166666666666669</v>
      </c>
      <c r="AG567">
        <f>_xlfn.XLOOKUP(tblMaster[[#This Row],[Shift]],tblShift[Shift_Name],tblShift[Standard_Working_Hours],"")</f>
        <v>8</v>
      </c>
      <c r="AH567" t="str">
        <f>_xlfn.XLOOKUP(tblMaster[[#This Row],[Attendance_Date]],tblHoliday[Holiday_Date],tblHoliday[Holiday_Name],"Working Day")</f>
        <v>Working Day</v>
      </c>
      <c r="AI567" t="str">
        <f>_xlfn.XLOOKUP(tblMaster[[#This Row],[Attendance_Date]],tblHoliday[Holiday_Date],tblHoliday[Holiday_Type],"Working Day ")</f>
        <v xml:space="preserve">Working Day </v>
      </c>
    </row>
    <row r="568" spans="1:35" hidden="1" x14ac:dyDescent="0.3">
      <c r="A568" t="s">
        <v>757</v>
      </c>
      <c r="B568" s="3">
        <v>45694</v>
      </c>
      <c r="C568" t="s">
        <v>95</v>
      </c>
      <c r="D568" t="s">
        <v>50</v>
      </c>
      <c r="E568" t="s">
        <v>25</v>
      </c>
      <c r="F568" t="s">
        <v>275</v>
      </c>
      <c r="G568" t="s">
        <v>276</v>
      </c>
      <c r="H568" t="s">
        <v>64</v>
      </c>
      <c r="I568" t="s">
        <v>65</v>
      </c>
      <c r="J568" t="s">
        <v>100</v>
      </c>
      <c r="K568" t="s">
        <v>31</v>
      </c>
      <c r="L568" s="2">
        <v>0.375</v>
      </c>
      <c r="M568" s="2">
        <v>0.75</v>
      </c>
      <c r="N568">
        <v>9</v>
      </c>
      <c r="O568">
        <v>1</v>
      </c>
      <c r="P568" t="s">
        <v>32</v>
      </c>
      <c r="S568" t="s">
        <v>45</v>
      </c>
      <c r="T568" t="s">
        <v>68</v>
      </c>
      <c r="U568" t="s">
        <v>47</v>
      </c>
      <c r="W568">
        <f>_xlfn.XLOOKUP(F568,tblEmployee[Employee_ID],tblEmployee[Age],"Not Found")</f>
        <v>29</v>
      </c>
      <c r="X568" t="str">
        <f>_xlfn.XLOOKUP(F568,tblEmployee[Employee_ID],tblEmployee[Gender],"Not Found")</f>
        <v>Male</v>
      </c>
      <c r="Y568">
        <f>_xlfn.XLOOKUP(F568,tblEmployee[Employee_ID],tblEmployee[Joining_Date],"")</f>
        <v>43692</v>
      </c>
      <c r="Z568">
        <f>_xlfn.XLOOKUP(H568,tblDepartment[Department],tblDepartment[Annual_Budget_INR],"")</f>
        <v>85000000</v>
      </c>
      <c r="AA568" t="str">
        <f>_xlfn.XLOOKUP(H568,tblDepartment[Department],tblDepartment[Monthly_Target],"")</f>
        <v>99.5% System Uptime</v>
      </c>
      <c r="AB568">
        <f>_xlfn.XLOOKUP(H568,tblDepartment[Department],tblDepartment[Average_Salary_INR],"")</f>
        <v>720000</v>
      </c>
      <c r="AC568" t="str">
        <f>_xlfn.XLOOKUP(H568,tblDepartment[Department],tblDepartment[Priority_Level],"")</f>
        <v>High</v>
      </c>
      <c r="AD568" t="str">
        <f>_xlfn.XLOOKUP(H568,tblDepartment[Department],tblDepartment[Key_KPI],"")</f>
        <v>Project Delivery</v>
      </c>
      <c r="AE568">
        <f>_xlfn.XLOOKUP(tblMaster[[#This Row],[Shift]],tblShift[Shift_Name],tblShift[Login_Time],"")</f>
        <v>0.25</v>
      </c>
      <c r="AF568">
        <f>_xlfn.XLOOKUP(tblMaster[[#This Row],[Shift]],tblShift[Shift_Name],tblShift[Logout_Time]," ")</f>
        <v>0.625</v>
      </c>
      <c r="AG568">
        <f>_xlfn.XLOOKUP(tblMaster[[#This Row],[Shift]],tblShift[Shift_Name],tblShift[Standard_Working_Hours],"")</f>
        <v>8</v>
      </c>
      <c r="AH568" t="str">
        <f>_xlfn.XLOOKUP(tblMaster[[#This Row],[Attendance_Date]],tblHoliday[Holiday_Date],tblHoliday[Holiday_Name],"Working Day")</f>
        <v>Working Day</v>
      </c>
      <c r="AI568" t="str">
        <f>_xlfn.XLOOKUP(tblMaster[[#This Row],[Attendance_Date]],tblHoliday[Holiday_Date],tblHoliday[Holiday_Type],"Working Day ")</f>
        <v xml:space="preserve">Working Day </v>
      </c>
    </row>
    <row r="569" spans="1:35" hidden="1" x14ac:dyDescent="0.3">
      <c r="A569" t="s">
        <v>758</v>
      </c>
      <c r="B569" s="1">
        <v>45735</v>
      </c>
      <c r="C569" t="s">
        <v>71</v>
      </c>
      <c r="D569" t="s">
        <v>50</v>
      </c>
      <c r="E569" t="s">
        <v>51</v>
      </c>
      <c r="F569" t="s">
        <v>288</v>
      </c>
      <c r="G569" t="s">
        <v>289</v>
      </c>
      <c r="H569" t="s">
        <v>28</v>
      </c>
      <c r="I569" t="s">
        <v>29</v>
      </c>
      <c r="J569" t="s">
        <v>74</v>
      </c>
      <c r="K569" t="s">
        <v>81</v>
      </c>
      <c r="L569" s="2">
        <v>0.91666666666666663</v>
      </c>
      <c r="M569" s="2">
        <v>0.29166666666666669</v>
      </c>
      <c r="N569">
        <v>9</v>
      </c>
      <c r="O569">
        <v>1</v>
      </c>
      <c r="P569" t="s">
        <v>32</v>
      </c>
      <c r="R569">
        <v>4</v>
      </c>
      <c r="S569" t="s">
        <v>45</v>
      </c>
      <c r="T569" t="s">
        <v>34</v>
      </c>
      <c r="U569" t="s">
        <v>47</v>
      </c>
      <c r="V569" t="s">
        <v>69</v>
      </c>
      <c r="W569">
        <f>_xlfn.XLOOKUP(F569,tblEmployee[Employee_ID],tblEmployee[Age],"Not Found")</f>
        <v>29</v>
      </c>
      <c r="X569" t="str">
        <f>_xlfn.XLOOKUP(F569,tblEmployee[Employee_ID],tblEmployee[Gender],"Not Found")</f>
        <v>Male</v>
      </c>
      <c r="Y569">
        <f>_xlfn.XLOOKUP(F569,tblEmployee[Employee_ID],tblEmployee[Joining_Date],"")</f>
        <v>43327</v>
      </c>
      <c r="Z569">
        <f>_xlfn.XLOOKUP(H569,tblDepartment[Department],tblDepartment[Annual_Budget_INR],"")</f>
        <v>24000000</v>
      </c>
      <c r="AA569" t="str">
        <f>_xlfn.XLOOKUP(H569,tblDepartment[Department],tblDepartment[Monthly_Target],"")</f>
        <v>90% Customer Satisfaction</v>
      </c>
      <c r="AB569">
        <f>_xlfn.XLOOKUP(H569,tblDepartment[Department],tblDepartment[Average_Salary_INR],"")</f>
        <v>520000</v>
      </c>
      <c r="AC569" t="str">
        <f>_xlfn.XLOOKUP(H569,tblDepartment[Department],tblDepartment[Priority_Level],"")</f>
        <v>High</v>
      </c>
      <c r="AD569" t="str">
        <f>_xlfn.XLOOKUP(H569,tblDepartment[Department],tblDepartment[Key_KPI],"")</f>
        <v>Customer Satisfaction</v>
      </c>
      <c r="AE569">
        <f>_xlfn.XLOOKUP(tblMaster[[#This Row],[Shift]],tblShift[Shift_Name],tblShift[Login_Time],"")</f>
        <v>0.91666666666666663</v>
      </c>
      <c r="AF569">
        <f>_xlfn.XLOOKUP(tblMaster[[#This Row],[Shift]],tblShift[Shift_Name],tblShift[Logout_Time]," ")</f>
        <v>0.29166666666666669</v>
      </c>
      <c r="AG569">
        <f>_xlfn.XLOOKUP(tblMaster[[#This Row],[Shift]],tblShift[Shift_Name],tblShift[Standard_Working_Hours],"")</f>
        <v>8</v>
      </c>
      <c r="AH569" t="str">
        <f>_xlfn.XLOOKUP(tblMaster[[#This Row],[Attendance_Date]],tblHoliday[Holiday_Date],tblHoliday[Holiday_Name],"Working Day")</f>
        <v>Working Day</v>
      </c>
      <c r="AI569" t="str">
        <f>_xlfn.XLOOKUP(tblMaster[[#This Row],[Attendance_Date]],tblHoliday[Holiday_Date],tblHoliday[Holiday_Type],"Working Day ")</f>
        <v xml:space="preserve">Working Day </v>
      </c>
    </row>
    <row r="570" spans="1:35" x14ac:dyDescent="0.3">
      <c r="A570" t="s">
        <v>759</v>
      </c>
      <c r="B570" s="1">
        <v>45777</v>
      </c>
      <c r="C570" t="s">
        <v>37</v>
      </c>
      <c r="D570" t="s">
        <v>24</v>
      </c>
      <c r="E570" t="s">
        <v>51</v>
      </c>
      <c r="F570" t="s">
        <v>110</v>
      </c>
      <c r="G570" t="s">
        <v>111</v>
      </c>
      <c r="H570" t="s">
        <v>112</v>
      </c>
      <c r="I570" t="s">
        <v>113</v>
      </c>
      <c r="J570" t="s">
        <v>43</v>
      </c>
      <c r="K570" t="s">
        <v>31</v>
      </c>
      <c r="L570" s="2">
        <v>0.38194444444444442</v>
      </c>
      <c r="M570" s="2">
        <v>0.75</v>
      </c>
      <c r="N570">
        <v>8</v>
      </c>
      <c r="O570">
        <v>0</v>
      </c>
      <c r="P570" t="s">
        <v>32</v>
      </c>
      <c r="R570">
        <v>4</v>
      </c>
      <c r="S570" t="s">
        <v>67</v>
      </c>
      <c r="T570" t="s">
        <v>114</v>
      </c>
      <c r="U570" t="str">
        <f>_xlfn.XLOOKUP(tblMaster[[#This Row],[Employee_ID]],tblEmployee[Employee_ID],tblEmployee[Work_Mode]," ")</f>
        <v>Hybrid</v>
      </c>
      <c r="V570" t="s">
        <v>35</v>
      </c>
      <c r="W570">
        <f>_xlfn.XLOOKUP(F570,tblEmployee[Employee_ID],tblEmployee[Age],"Not Found")</f>
        <v>32</v>
      </c>
      <c r="X570" t="str">
        <f>_xlfn.XLOOKUP(F570,tblEmployee[Employee_ID],tblEmployee[Gender],"Not Found")</f>
        <v>Female</v>
      </c>
      <c r="Y570">
        <f>_xlfn.XLOOKUP(F570,tblEmployee[Employee_ID],tblEmployee[Joining_Date],"")</f>
        <v>44515</v>
      </c>
      <c r="Z570">
        <f>_xlfn.XLOOKUP(H570,tblDepartment[Department],tblDepartment[Annual_Budget_INR],"")</f>
        <v>42000000</v>
      </c>
      <c r="AA570" t="str">
        <f>_xlfn.XLOOKUP(H570,tblDepartment[Department],tblDepartment[Monthly_Target],"")</f>
        <v>₹2.5 Cr Monthly Sales</v>
      </c>
      <c r="AB570">
        <f>_xlfn.XLOOKUP(H570,tblDepartment[Department],tblDepartment[Average_Salary_INR],"")</f>
        <v>680000</v>
      </c>
      <c r="AC570" t="str">
        <f>_xlfn.XLOOKUP(H570,tblDepartment[Department],tblDepartment[Priority_Level],"")</f>
        <v>High</v>
      </c>
      <c r="AD570" t="str">
        <f>_xlfn.XLOOKUP(H570,tblDepartment[Department],tblDepartment[Key_KPI],"")</f>
        <v>Revenue Achievement</v>
      </c>
      <c r="AE570">
        <f>_xlfn.XLOOKUP(tblMaster[[#This Row],[Shift]],tblShift[Shift_Name],tblShift[Login_Time],"")</f>
        <v>0.25</v>
      </c>
      <c r="AF570">
        <f>_xlfn.XLOOKUP(tblMaster[[#This Row],[Shift]],tblShift[Shift_Name],tblShift[Logout_Time]," ")</f>
        <v>0.625</v>
      </c>
      <c r="AG570">
        <f>_xlfn.XLOOKUP(tblMaster[[#This Row],[Shift]],tblShift[Shift_Name],tblShift[Standard_Working_Hours],"")</f>
        <v>8</v>
      </c>
      <c r="AH570" t="str">
        <f>_xlfn.XLOOKUP(tblMaster[[#This Row],[Attendance_Date]],tblHoliday[Holiday_Date],tblHoliday[Holiday_Name],"Working Day")</f>
        <v>Working Day</v>
      </c>
      <c r="AI570" t="str">
        <f>_xlfn.XLOOKUP(tblMaster[[#This Row],[Attendance_Date]],tblHoliday[Holiday_Date],tblHoliday[Holiday_Type],"Working Day ")</f>
        <v xml:space="preserve">Working Day </v>
      </c>
    </row>
    <row r="571" spans="1:35" hidden="1" x14ac:dyDescent="0.3">
      <c r="A571" t="s">
        <v>760</v>
      </c>
      <c r="B571" s="1">
        <v>45790</v>
      </c>
      <c r="C571" t="s">
        <v>57</v>
      </c>
      <c r="D571" t="s">
        <v>24</v>
      </c>
      <c r="E571" t="s">
        <v>87</v>
      </c>
      <c r="F571" t="s">
        <v>266</v>
      </c>
      <c r="G571" t="s">
        <v>267</v>
      </c>
      <c r="H571" t="s">
        <v>98</v>
      </c>
      <c r="I571" t="s">
        <v>99</v>
      </c>
      <c r="J571" t="s">
        <v>66</v>
      </c>
      <c r="K571" t="s">
        <v>31</v>
      </c>
      <c r="L571" s="2">
        <v>0.375</v>
      </c>
      <c r="M571" s="2">
        <v>0.75</v>
      </c>
      <c r="N571">
        <v>8</v>
      </c>
      <c r="O571">
        <v>0</v>
      </c>
      <c r="P571" t="s">
        <v>32</v>
      </c>
      <c r="R571">
        <v>5</v>
      </c>
      <c r="S571" t="s">
        <v>92</v>
      </c>
      <c r="T571" t="s">
        <v>101</v>
      </c>
      <c r="U571" t="s">
        <v>55</v>
      </c>
      <c r="V571" t="s">
        <v>35</v>
      </c>
      <c r="W571">
        <f>_xlfn.XLOOKUP(F571,tblEmployee[Employee_ID],tblEmployee[Age],"Not Found")</f>
        <v>28</v>
      </c>
      <c r="X571" t="str">
        <f>_xlfn.XLOOKUP(F571,tblEmployee[Employee_ID],tblEmployee[Gender],"Not Found")</f>
        <v>Female</v>
      </c>
      <c r="Y571">
        <f>_xlfn.XLOOKUP(F571,tblEmployee[Employee_ID],tblEmployee[Joining_Date],"")</f>
        <v>45488</v>
      </c>
      <c r="Z571">
        <f>_xlfn.XLOOKUP(H571,tblDepartment[Department],tblDepartment[Annual_Budget_INR],"")</f>
        <v>22000000</v>
      </c>
      <c r="AA571" t="str">
        <f>_xlfn.XLOOKUP(H571,tblDepartment[Department],tblDepartment[Monthly_Target],"")</f>
        <v>2500 Qualified Leads</v>
      </c>
      <c r="AB571">
        <f>_xlfn.XLOOKUP(H571,tblDepartment[Department],tblDepartment[Average_Salary_INR],"")</f>
        <v>590000</v>
      </c>
      <c r="AC571" t="str">
        <f>_xlfn.XLOOKUP(H571,tblDepartment[Department],tblDepartment[Priority_Level],"")</f>
        <v>Medium</v>
      </c>
      <c r="AD571" t="str">
        <f>_xlfn.XLOOKUP(H571,tblDepartment[Department],tblDepartment[Key_KPI],"")</f>
        <v>Lead Generation</v>
      </c>
      <c r="AE571">
        <f>_xlfn.XLOOKUP(tblMaster[[#This Row],[Shift]],tblShift[Shift_Name],tblShift[Login_Time],"")</f>
        <v>0.25</v>
      </c>
      <c r="AF571">
        <f>_xlfn.XLOOKUP(tblMaster[[#This Row],[Shift]],tblShift[Shift_Name],tblShift[Logout_Time]," ")</f>
        <v>0.625</v>
      </c>
      <c r="AG571">
        <f>_xlfn.XLOOKUP(tblMaster[[#This Row],[Shift]],tblShift[Shift_Name],tblShift[Standard_Working_Hours],"")</f>
        <v>8</v>
      </c>
      <c r="AH571" t="str">
        <f>_xlfn.XLOOKUP(tblMaster[[#This Row],[Attendance_Date]],tblHoliday[Holiday_Date],tblHoliday[Holiday_Name],"Working Day")</f>
        <v>Working Day</v>
      </c>
      <c r="AI571" t="str">
        <f>_xlfn.XLOOKUP(tblMaster[[#This Row],[Attendance_Date]],tblHoliday[Holiday_Date],tblHoliday[Holiday_Type],"Working Day ")</f>
        <v xml:space="preserve">Working Day </v>
      </c>
    </row>
    <row r="572" spans="1:35" x14ac:dyDescent="0.3">
      <c r="A572" t="s">
        <v>761</v>
      </c>
      <c r="B572" s="1">
        <v>45713</v>
      </c>
      <c r="C572" t="s">
        <v>95</v>
      </c>
      <c r="D572" t="s">
        <v>50</v>
      </c>
      <c r="E572" t="s">
        <v>87</v>
      </c>
      <c r="F572" t="s">
        <v>120</v>
      </c>
      <c r="G572" t="s">
        <v>121</v>
      </c>
      <c r="H572" t="s">
        <v>41</v>
      </c>
      <c r="I572" t="s">
        <v>42</v>
      </c>
      <c r="J572" t="s">
        <v>74</v>
      </c>
      <c r="K572" t="s">
        <v>54</v>
      </c>
      <c r="L572" s="2">
        <v>0.375</v>
      </c>
      <c r="M572" s="2">
        <v>0.75</v>
      </c>
      <c r="N572">
        <v>8</v>
      </c>
      <c r="O572">
        <v>0</v>
      </c>
      <c r="P572" t="s">
        <v>32</v>
      </c>
      <c r="R572">
        <v>3</v>
      </c>
      <c r="S572" t="s">
        <v>67</v>
      </c>
      <c r="T572" t="s">
        <v>46</v>
      </c>
      <c r="U572" t="str">
        <f>_xlfn.XLOOKUP(tblMaster[[#This Row],[Employee_ID]],tblEmployee[Employee_ID],tblEmployee[Work_Mode]," ")</f>
        <v>Office</v>
      </c>
      <c r="W572">
        <f>_xlfn.XLOOKUP(F572,tblEmployee[Employee_ID],tblEmployee[Age],"Not Found")</f>
        <v>34</v>
      </c>
      <c r="X572" t="str">
        <f>_xlfn.XLOOKUP(F572,tblEmployee[Employee_ID],tblEmployee[Gender],"Not Found")</f>
        <v>Female</v>
      </c>
      <c r="Y572">
        <f>_xlfn.XLOOKUP(F572,tblEmployee[Employee_ID],tblEmployee[Joining_Date],"")</f>
        <v>44941</v>
      </c>
      <c r="Z572">
        <f>_xlfn.XLOOKUP(H572,tblDepartment[Department],tblDepartment[Annual_Budget_INR],"")</f>
        <v>34000000</v>
      </c>
      <c r="AA572" t="str">
        <f>_xlfn.XLOOKUP(H572,tblDepartment[Department],tblDepartment[Monthly_Target],"")</f>
        <v>95% Process Efficiency</v>
      </c>
      <c r="AB572">
        <f>_xlfn.XLOOKUP(H572,tblDepartment[Department],tblDepartment[Average_Salary_INR],"")</f>
        <v>610000</v>
      </c>
      <c r="AC572" t="str">
        <f>_xlfn.XLOOKUP(H572,tblDepartment[Department],tblDepartment[Priority_Level],"")</f>
        <v>High</v>
      </c>
      <c r="AD572" t="str">
        <f>_xlfn.XLOOKUP(H572,tblDepartment[Department],tblDepartment[Key_KPI],"")</f>
        <v>Operational Efficiency</v>
      </c>
      <c r="AE572">
        <f>_xlfn.XLOOKUP(tblMaster[[#This Row],[Shift]],tblShift[Shift_Name],tblShift[Login_Time],"")</f>
        <v>0.58333333333333337</v>
      </c>
      <c r="AF572">
        <f>_xlfn.XLOOKUP(tblMaster[[#This Row],[Shift]],tblShift[Shift_Name],tblShift[Logout_Time]," ")</f>
        <v>0.95833333333333337</v>
      </c>
      <c r="AG572">
        <f>_xlfn.XLOOKUP(tblMaster[[#This Row],[Shift]],tblShift[Shift_Name],tblShift[Standard_Working_Hours],"")</f>
        <v>8</v>
      </c>
      <c r="AH572" t="str">
        <f>_xlfn.XLOOKUP(tblMaster[[#This Row],[Attendance_Date]],tblHoliday[Holiday_Date],tblHoliday[Holiday_Name],"Working Day")</f>
        <v>Working Day</v>
      </c>
      <c r="AI572" t="str">
        <f>_xlfn.XLOOKUP(tblMaster[[#This Row],[Attendance_Date]],tblHoliday[Holiday_Date],tblHoliday[Holiday_Type],"Working Day ")</f>
        <v xml:space="preserve">Working Day </v>
      </c>
    </row>
    <row r="573" spans="1:35" hidden="1" x14ac:dyDescent="0.3">
      <c r="A573" t="s">
        <v>762</v>
      </c>
      <c r="B573" s="1">
        <v>45688</v>
      </c>
      <c r="C573" t="s">
        <v>49</v>
      </c>
      <c r="D573" t="s">
        <v>50</v>
      </c>
      <c r="E573" t="s">
        <v>119</v>
      </c>
      <c r="F573" t="s">
        <v>173</v>
      </c>
      <c r="G573" t="s">
        <v>174</v>
      </c>
      <c r="H573" t="s">
        <v>90</v>
      </c>
      <c r="I573" t="s">
        <v>91</v>
      </c>
      <c r="J573" t="s">
        <v>74</v>
      </c>
      <c r="K573" t="s">
        <v>75</v>
      </c>
      <c r="P573" t="s">
        <v>135</v>
      </c>
      <c r="S573" t="s">
        <v>67</v>
      </c>
      <c r="T573" t="s">
        <v>93</v>
      </c>
      <c r="U573" t="s">
        <v>55</v>
      </c>
      <c r="V573" t="s">
        <v>69</v>
      </c>
      <c r="W573">
        <f>_xlfn.XLOOKUP(F573,tblEmployee[Employee_ID],tblEmployee[Age],"Not Found")</f>
        <v>23</v>
      </c>
      <c r="X573" t="str">
        <f>_xlfn.XLOOKUP(F573,tblEmployee[Employee_ID],tblEmployee[Gender],"Not Found")</f>
        <v>Female</v>
      </c>
      <c r="Y573">
        <f>_xlfn.XLOOKUP(F573,tblEmployee[Employee_ID],tblEmployee[Joining_Date],"")</f>
        <v>43876</v>
      </c>
      <c r="Z573">
        <f>_xlfn.XLOOKUP(H573,tblDepartment[Department],tblDepartment[Annual_Budget_INR],"")</f>
        <v>18000000</v>
      </c>
      <c r="AA573" t="str">
        <f>_xlfn.XLOOKUP(H573,tblDepartment[Department],tblDepartment[Monthly_Target],"")</f>
        <v>&lt;30 Days Hiring Cycle</v>
      </c>
      <c r="AB573">
        <f>_xlfn.XLOOKUP(H573,tblDepartment[Department],tblDepartment[Average_Salary_INR],"")</f>
        <v>560000</v>
      </c>
      <c r="AC573" t="str">
        <f>_xlfn.XLOOKUP(H573,tblDepartment[Department],tblDepartment[Priority_Level],"")</f>
        <v>Medium</v>
      </c>
      <c r="AD573" t="str">
        <f>_xlfn.XLOOKUP(H573,tblDepartment[Department],tblDepartment[Key_KPI],"")</f>
        <v>Hiring &amp; Retention</v>
      </c>
      <c r="AE573">
        <f>_xlfn.XLOOKUP(tblMaster[[#This Row],[Shift]],tblShift[Shift_Name],tblShift[Login_Time],"")</f>
        <v>0.375</v>
      </c>
      <c r="AF573">
        <f>_xlfn.XLOOKUP(tblMaster[[#This Row],[Shift]],tblShift[Shift_Name],tblShift[Logout_Time]," ")</f>
        <v>0.75</v>
      </c>
      <c r="AG573">
        <f>_xlfn.XLOOKUP(tblMaster[[#This Row],[Shift]],tblShift[Shift_Name],tblShift[Standard_Working_Hours],"")</f>
        <v>8</v>
      </c>
      <c r="AH573" t="str">
        <f>_xlfn.XLOOKUP(tblMaster[[#This Row],[Attendance_Date]],tblHoliday[Holiday_Date],tblHoliday[Holiday_Name],"Working Day")</f>
        <v>Working Day</v>
      </c>
      <c r="AI573" t="str">
        <f>_xlfn.XLOOKUP(tblMaster[[#This Row],[Attendance_Date]],tblHoliday[Holiday_Date],tblHoliday[Holiday_Type],"Working Day ")</f>
        <v xml:space="preserve">Working Day </v>
      </c>
    </row>
    <row r="574" spans="1:35" hidden="1" x14ac:dyDescent="0.3">
      <c r="A574" t="s">
        <v>763</v>
      </c>
      <c r="B574" s="3">
        <v>45718</v>
      </c>
      <c r="C574" t="s">
        <v>71</v>
      </c>
      <c r="D574" t="s">
        <v>50</v>
      </c>
      <c r="E574" t="s">
        <v>103</v>
      </c>
      <c r="F574" t="s">
        <v>77</v>
      </c>
      <c r="G574" t="s">
        <v>78</v>
      </c>
      <c r="H574" t="s">
        <v>79</v>
      </c>
      <c r="I574" t="s">
        <v>80</v>
      </c>
      <c r="J574" t="s">
        <v>30</v>
      </c>
      <c r="K574" t="s">
        <v>44</v>
      </c>
      <c r="L574" s="2">
        <v>0.375</v>
      </c>
      <c r="M574" s="2">
        <v>0.75</v>
      </c>
      <c r="N574">
        <v>8</v>
      </c>
      <c r="O574">
        <v>0</v>
      </c>
      <c r="P574" t="s">
        <v>32</v>
      </c>
      <c r="R574">
        <v>5</v>
      </c>
      <c r="S574" t="s">
        <v>67</v>
      </c>
      <c r="T574" t="s">
        <v>84</v>
      </c>
      <c r="U574" t="s">
        <v>85</v>
      </c>
      <c r="V574" t="s">
        <v>69</v>
      </c>
      <c r="W574">
        <f>_xlfn.XLOOKUP(F574,tblEmployee[Employee_ID],tblEmployee[Age],"Not Found")</f>
        <v>26</v>
      </c>
      <c r="X574" t="str">
        <f>_xlfn.XLOOKUP(F574,tblEmployee[Employee_ID],tblEmployee[Gender],"Not Found")</f>
        <v>Female</v>
      </c>
      <c r="Y574">
        <f>_xlfn.XLOOKUP(F574,tblEmployee[Employee_ID],tblEmployee[Joining_Date],"")</f>
        <v>44696</v>
      </c>
      <c r="Z574">
        <f>_xlfn.XLOOKUP(H574,tblDepartment[Department],tblDepartment[Annual_Budget_INR],"")</f>
        <v>26000000</v>
      </c>
      <c r="AA574" t="str">
        <f>_xlfn.XLOOKUP(H574,tblDepartment[Department],tblDepartment[Monthly_Target],"")</f>
        <v>100% Payroll Accuracy</v>
      </c>
      <c r="AB574">
        <f>_xlfn.XLOOKUP(H574,tblDepartment[Department],tblDepartment[Average_Salary_INR],"")</f>
        <v>640000</v>
      </c>
      <c r="AC574" t="str">
        <f>_xlfn.XLOOKUP(H574,tblDepartment[Department],tblDepartment[Priority_Level],"")</f>
        <v>High</v>
      </c>
      <c r="AD574" t="str">
        <f>_xlfn.XLOOKUP(H574,tblDepartment[Department],tblDepartment[Key_KPI],"")</f>
        <v>Financial Compliance</v>
      </c>
      <c r="AE574">
        <f>_xlfn.XLOOKUP(tblMaster[[#This Row],[Shift]],tblShift[Shift_Name],tblShift[Login_Time],"")</f>
        <v>0.41666666666666669</v>
      </c>
      <c r="AF574">
        <f>_xlfn.XLOOKUP(tblMaster[[#This Row],[Shift]],tblShift[Shift_Name],tblShift[Logout_Time]," ")</f>
        <v>0.79166666666666663</v>
      </c>
      <c r="AG574">
        <f>_xlfn.XLOOKUP(tblMaster[[#This Row],[Shift]],tblShift[Shift_Name],tblShift[Standard_Working_Hours],"")</f>
        <v>8</v>
      </c>
      <c r="AH574" t="str">
        <f>_xlfn.XLOOKUP(tblMaster[[#This Row],[Attendance_Date]],tblHoliday[Holiday_Date],tblHoliday[Holiday_Name],"Working Day")</f>
        <v>Working Day</v>
      </c>
      <c r="AI574" t="str">
        <f>_xlfn.XLOOKUP(tblMaster[[#This Row],[Attendance_Date]],tblHoliday[Holiday_Date],tblHoliday[Holiday_Type],"Working Day ")</f>
        <v xml:space="preserve">Working Day </v>
      </c>
    </row>
    <row r="575" spans="1:35" hidden="1" x14ac:dyDescent="0.3">
      <c r="A575" t="s">
        <v>764</v>
      </c>
      <c r="B575" s="3">
        <v>45749</v>
      </c>
      <c r="C575" t="s">
        <v>37</v>
      </c>
      <c r="D575" t="s">
        <v>24</v>
      </c>
      <c r="E575" t="s">
        <v>51</v>
      </c>
      <c r="F575" t="s">
        <v>309</v>
      </c>
      <c r="G575" t="s">
        <v>310</v>
      </c>
      <c r="H575" t="s">
        <v>28</v>
      </c>
      <c r="I575" t="s">
        <v>29</v>
      </c>
      <c r="J575" t="s">
        <v>43</v>
      </c>
      <c r="K575" t="s">
        <v>31</v>
      </c>
      <c r="L575" s="2">
        <v>0.375</v>
      </c>
      <c r="M575" s="2">
        <v>0.75</v>
      </c>
      <c r="N575">
        <v>8</v>
      </c>
      <c r="O575">
        <v>0</v>
      </c>
      <c r="P575" t="s">
        <v>32</v>
      </c>
      <c r="R575">
        <v>3</v>
      </c>
      <c r="S575" t="s">
        <v>67</v>
      </c>
      <c r="T575" t="s">
        <v>34</v>
      </c>
      <c r="U575" t="s">
        <v>55</v>
      </c>
      <c r="V575" t="s">
        <v>69</v>
      </c>
      <c r="W575">
        <f>_xlfn.XLOOKUP(F575,tblEmployee[Employee_ID],tblEmployee[Age],"Not Found")</f>
        <v>39</v>
      </c>
      <c r="X575" t="str">
        <f>_xlfn.XLOOKUP(F575,tblEmployee[Employee_ID],tblEmployee[Gender],"Not Found")</f>
        <v>Male</v>
      </c>
      <c r="Y575">
        <f>_xlfn.XLOOKUP(F575,tblEmployee[Employee_ID],tblEmployee[Joining_Date],"")</f>
        <v>43449</v>
      </c>
      <c r="Z575">
        <f>_xlfn.XLOOKUP(H575,tblDepartment[Department],tblDepartment[Annual_Budget_INR],"")</f>
        <v>24000000</v>
      </c>
      <c r="AA575" t="str">
        <f>_xlfn.XLOOKUP(H575,tblDepartment[Department],tblDepartment[Monthly_Target],"")</f>
        <v>90% Customer Satisfaction</v>
      </c>
      <c r="AB575">
        <f>_xlfn.XLOOKUP(H575,tblDepartment[Department],tblDepartment[Average_Salary_INR],"")</f>
        <v>520000</v>
      </c>
      <c r="AC575" t="str">
        <f>_xlfn.XLOOKUP(H575,tblDepartment[Department],tblDepartment[Priority_Level],"")</f>
        <v>High</v>
      </c>
      <c r="AD575" t="str">
        <f>_xlfn.XLOOKUP(H575,tblDepartment[Department],tblDepartment[Key_KPI],"")</f>
        <v>Customer Satisfaction</v>
      </c>
      <c r="AE575">
        <f>_xlfn.XLOOKUP(tblMaster[[#This Row],[Shift]],tblShift[Shift_Name],tblShift[Login_Time],"")</f>
        <v>0.25</v>
      </c>
      <c r="AF575">
        <f>_xlfn.XLOOKUP(tblMaster[[#This Row],[Shift]],tblShift[Shift_Name],tblShift[Logout_Time]," ")</f>
        <v>0.625</v>
      </c>
      <c r="AG575">
        <f>_xlfn.XLOOKUP(tblMaster[[#This Row],[Shift]],tblShift[Shift_Name],tblShift[Standard_Working_Hours],"")</f>
        <v>8</v>
      </c>
      <c r="AH575" t="str">
        <f>_xlfn.XLOOKUP(tblMaster[[#This Row],[Attendance_Date]],tblHoliday[Holiday_Date],tblHoliday[Holiday_Name],"Working Day")</f>
        <v>Working Day</v>
      </c>
      <c r="AI575" t="str">
        <f>_xlfn.XLOOKUP(tblMaster[[#This Row],[Attendance_Date]],tblHoliday[Holiday_Date],tblHoliday[Holiday_Type],"Working Day ")</f>
        <v xml:space="preserve">Working Day </v>
      </c>
    </row>
    <row r="576" spans="1:35" hidden="1" x14ac:dyDescent="0.3">
      <c r="A576" t="s">
        <v>765</v>
      </c>
      <c r="B576" s="3">
        <v>45782</v>
      </c>
      <c r="C576" t="s">
        <v>57</v>
      </c>
      <c r="D576" t="s">
        <v>24</v>
      </c>
      <c r="E576" t="s">
        <v>109</v>
      </c>
      <c r="F576" t="s">
        <v>88</v>
      </c>
      <c r="G576" t="s">
        <v>89</v>
      </c>
      <c r="H576" t="s">
        <v>90</v>
      </c>
      <c r="I576" t="s">
        <v>91</v>
      </c>
      <c r="J576" t="s">
        <v>43</v>
      </c>
      <c r="K576" t="s">
        <v>81</v>
      </c>
      <c r="L576" s="2">
        <v>0.91666666666666663</v>
      </c>
      <c r="M576" s="2">
        <v>0.29166666666666669</v>
      </c>
      <c r="N576">
        <v>10</v>
      </c>
      <c r="O576">
        <v>2</v>
      </c>
      <c r="P576" t="s">
        <v>32</v>
      </c>
      <c r="R576">
        <v>4</v>
      </c>
      <c r="S576" t="s">
        <v>92</v>
      </c>
      <c r="T576" t="s">
        <v>93</v>
      </c>
      <c r="U576" t="s">
        <v>55</v>
      </c>
      <c r="V576" t="s">
        <v>35</v>
      </c>
      <c r="W576">
        <f>_xlfn.XLOOKUP(F576,tblEmployee[Employee_ID],tblEmployee[Age],"Not Found")</f>
        <v>34</v>
      </c>
      <c r="X576" t="str">
        <f>_xlfn.XLOOKUP(F576,tblEmployee[Employee_ID],tblEmployee[Gender],"Not Found")</f>
        <v>Female</v>
      </c>
      <c r="Y576">
        <f>_xlfn.XLOOKUP(F576,tblEmployee[Employee_ID],tblEmployee[Joining_Date],"")</f>
        <v>44027</v>
      </c>
      <c r="Z576">
        <f>_xlfn.XLOOKUP(H576,tblDepartment[Department],tblDepartment[Annual_Budget_INR],"")</f>
        <v>18000000</v>
      </c>
      <c r="AA576" t="str">
        <f>_xlfn.XLOOKUP(H576,tblDepartment[Department],tblDepartment[Monthly_Target],"")</f>
        <v>&lt;30 Days Hiring Cycle</v>
      </c>
      <c r="AB576">
        <f>_xlfn.XLOOKUP(H576,tblDepartment[Department],tblDepartment[Average_Salary_INR],"")</f>
        <v>560000</v>
      </c>
      <c r="AC576" t="str">
        <f>_xlfn.XLOOKUP(H576,tblDepartment[Department],tblDepartment[Priority_Level],"")</f>
        <v>Medium</v>
      </c>
      <c r="AD576" t="str">
        <f>_xlfn.XLOOKUP(H576,tblDepartment[Department],tblDepartment[Key_KPI],"")</f>
        <v>Hiring &amp; Retention</v>
      </c>
      <c r="AE576">
        <f>_xlfn.XLOOKUP(tblMaster[[#This Row],[Shift]],tblShift[Shift_Name],tblShift[Login_Time],"")</f>
        <v>0.91666666666666663</v>
      </c>
      <c r="AF576">
        <f>_xlfn.XLOOKUP(tblMaster[[#This Row],[Shift]],tblShift[Shift_Name],tblShift[Logout_Time]," ")</f>
        <v>0.29166666666666669</v>
      </c>
      <c r="AG576">
        <f>_xlfn.XLOOKUP(tblMaster[[#This Row],[Shift]],tblShift[Shift_Name],tblShift[Standard_Working_Hours],"")</f>
        <v>8</v>
      </c>
      <c r="AH576" t="str">
        <f>_xlfn.XLOOKUP(tblMaster[[#This Row],[Attendance_Date]],tblHoliday[Holiday_Date],tblHoliday[Holiday_Name],"Working Day")</f>
        <v>Working Day</v>
      </c>
      <c r="AI576" t="str">
        <f>_xlfn.XLOOKUP(tblMaster[[#This Row],[Attendance_Date]],tblHoliday[Holiday_Date],tblHoliday[Holiday_Type],"Working Day ")</f>
        <v xml:space="preserve">Working Day </v>
      </c>
    </row>
    <row r="577" spans="1:35" hidden="1" x14ac:dyDescent="0.3">
      <c r="A577" t="s">
        <v>766</v>
      </c>
      <c r="B577" s="3">
        <v>45771</v>
      </c>
      <c r="C577" t="s">
        <v>37</v>
      </c>
      <c r="D577" t="s">
        <v>24</v>
      </c>
      <c r="E577" t="s">
        <v>25</v>
      </c>
      <c r="F577" t="s">
        <v>240</v>
      </c>
      <c r="G577" t="s">
        <v>241</v>
      </c>
      <c r="H577" t="s">
        <v>41</v>
      </c>
      <c r="I577" t="s">
        <v>42</v>
      </c>
      <c r="J577" t="s">
        <v>66</v>
      </c>
      <c r="K577" t="s">
        <v>54</v>
      </c>
      <c r="L577" s="2">
        <v>0.375</v>
      </c>
      <c r="M577" s="2">
        <v>0.75</v>
      </c>
      <c r="N577">
        <v>8</v>
      </c>
      <c r="O577">
        <v>0</v>
      </c>
      <c r="P577" t="s">
        <v>32</v>
      </c>
      <c r="S577" t="s">
        <v>67</v>
      </c>
      <c r="T577" t="s">
        <v>46</v>
      </c>
      <c r="U577" t="s">
        <v>55</v>
      </c>
      <c r="W577">
        <f>_xlfn.XLOOKUP(F577,tblEmployee[Employee_ID],tblEmployee[Age],"Not Found")</f>
        <v>30</v>
      </c>
      <c r="X577" t="str">
        <f>_xlfn.XLOOKUP(F577,tblEmployee[Employee_ID],tblEmployee[Gender],"Not Found")</f>
        <v>Female</v>
      </c>
      <c r="Y577">
        <f>_xlfn.XLOOKUP(F577,tblEmployee[Employee_ID],tblEmployee[Joining_Date],"")</f>
        <v>45000</v>
      </c>
      <c r="Z577">
        <f>_xlfn.XLOOKUP(H577,tblDepartment[Department],tblDepartment[Annual_Budget_INR],"")</f>
        <v>34000000</v>
      </c>
      <c r="AA577" t="str">
        <f>_xlfn.XLOOKUP(H577,tblDepartment[Department],tblDepartment[Monthly_Target],"")</f>
        <v>95% Process Efficiency</v>
      </c>
      <c r="AB577">
        <f>_xlfn.XLOOKUP(H577,tblDepartment[Department],tblDepartment[Average_Salary_INR],"")</f>
        <v>610000</v>
      </c>
      <c r="AC577" t="str">
        <f>_xlfn.XLOOKUP(H577,tblDepartment[Department],tblDepartment[Priority_Level],"")</f>
        <v>High</v>
      </c>
      <c r="AD577" t="str">
        <f>_xlfn.XLOOKUP(H577,tblDepartment[Department],tblDepartment[Key_KPI],"")</f>
        <v>Operational Efficiency</v>
      </c>
      <c r="AE577">
        <f>_xlfn.XLOOKUP(tblMaster[[#This Row],[Shift]],tblShift[Shift_Name],tblShift[Login_Time],"")</f>
        <v>0.58333333333333337</v>
      </c>
      <c r="AF577">
        <f>_xlfn.XLOOKUP(tblMaster[[#This Row],[Shift]],tblShift[Shift_Name],tblShift[Logout_Time]," ")</f>
        <v>0.95833333333333337</v>
      </c>
      <c r="AG577">
        <f>_xlfn.XLOOKUP(tblMaster[[#This Row],[Shift]],tblShift[Shift_Name],tblShift[Standard_Working_Hours],"")</f>
        <v>8</v>
      </c>
      <c r="AH577" t="str">
        <f>_xlfn.XLOOKUP(tblMaster[[#This Row],[Attendance_Date]],tblHoliday[Holiday_Date],tblHoliday[Holiday_Name],"Working Day")</f>
        <v>Working Day</v>
      </c>
      <c r="AI577" t="str">
        <f>_xlfn.XLOOKUP(tblMaster[[#This Row],[Attendance_Date]],tblHoliday[Holiday_Date],tblHoliday[Holiday_Type],"Working Day ")</f>
        <v xml:space="preserve">Working Day </v>
      </c>
    </row>
    <row r="578" spans="1:35" x14ac:dyDescent="0.3">
      <c r="A578" t="s">
        <v>767</v>
      </c>
      <c r="B578" s="3">
        <v>45730</v>
      </c>
      <c r="C578" t="s">
        <v>71</v>
      </c>
      <c r="D578" t="s">
        <v>50</v>
      </c>
      <c r="E578" t="s">
        <v>119</v>
      </c>
      <c r="F578" t="s">
        <v>96</v>
      </c>
      <c r="G578" t="s">
        <v>97</v>
      </c>
      <c r="H578" t="s">
        <v>98</v>
      </c>
      <c r="I578" t="s">
        <v>99</v>
      </c>
      <c r="J578" t="s">
        <v>100</v>
      </c>
      <c r="K578" t="s">
        <v>44</v>
      </c>
      <c r="L578" s="2">
        <v>0.375</v>
      </c>
      <c r="M578" s="2">
        <v>0.75</v>
      </c>
      <c r="N578">
        <v>8</v>
      </c>
      <c r="O578">
        <v>0</v>
      </c>
      <c r="P578" t="s">
        <v>32</v>
      </c>
      <c r="R578">
        <v>3</v>
      </c>
      <c r="S578" t="s">
        <v>67</v>
      </c>
      <c r="T578" t="s">
        <v>101</v>
      </c>
      <c r="U578" t="str">
        <f>_xlfn.XLOOKUP(tblMaster[[#This Row],[Employee_ID]],tblEmployee[Employee_ID],tblEmployee[Work_Mode]," ")</f>
        <v>Office</v>
      </c>
      <c r="V578" t="s">
        <v>69</v>
      </c>
      <c r="W578">
        <f>_xlfn.XLOOKUP(F578,tblEmployee[Employee_ID],tblEmployee[Age],"Not Found")</f>
        <v>34</v>
      </c>
      <c r="X578" t="str">
        <f>_xlfn.XLOOKUP(F578,tblEmployee[Employee_ID],tblEmployee[Gender],"Not Found")</f>
        <v>Female</v>
      </c>
      <c r="Y578">
        <f>_xlfn.XLOOKUP(F578,tblEmployee[Employee_ID],tblEmployee[Joining_Date],"")</f>
        <v>45306</v>
      </c>
      <c r="Z578">
        <f>_xlfn.XLOOKUP(H578,tblDepartment[Department],tblDepartment[Annual_Budget_INR],"")</f>
        <v>22000000</v>
      </c>
      <c r="AA578" t="str">
        <f>_xlfn.XLOOKUP(H578,tblDepartment[Department],tblDepartment[Monthly_Target],"")</f>
        <v>2500 Qualified Leads</v>
      </c>
      <c r="AB578">
        <f>_xlfn.XLOOKUP(H578,tblDepartment[Department],tblDepartment[Average_Salary_INR],"")</f>
        <v>590000</v>
      </c>
      <c r="AC578" t="str">
        <f>_xlfn.XLOOKUP(H578,tblDepartment[Department],tblDepartment[Priority_Level],"")</f>
        <v>Medium</v>
      </c>
      <c r="AD578" t="str">
        <f>_xlfn.XLOOKUP(H578,tblDepartment[Department],tblDepartment[Key_KPI],"")</f>
        <v>Lead Generation</v>
      </c>
      <c r="AE578">
        <f>_xlfn.XLOOKUP(tblMaster[[#This Row],[Shift]],tblShift[Shift_Name],tblShift[Login_Time],"")</f>
        <v>0.41666666666666669</v>
      </c>
      <c r="AF578">
        <f>_xlfn.XLOOKUP(tblMaster[[#This Row],[Shift]],tblShift[Shift_Name],tblShift[Logout_Time]," ")</f>
        <v>0.79166666666666663</v>
      </c>
      <c r="AG578">
        <f>_xlfn.XLOOKUP(tblMaster[[#This Row],[Shift]],tblShift[Shift_Name],tblShift[Standard_Working_Hours],"")</f>
        <v>8</v>
      </c>
      <c r="AH578" t="str">
        <f>_xlfn.XLOOKUP(tblMaster[[#This Row],[Attendance_Date]],tblHoliday[Holiday_Date],tblHoliday[Holiday_Name],"Working Day")</f>
        <v>Working Day</v>
      </c>
      <c r="AI578" t="str">
        <f>_xlfn.XLOOKUP(tblMaster[[#This Row],[Attendance_Date]],tblHoliday[Holiday_Date],tblHoliday[Holiday_Type],"Working Day ")</f>
        <v xml:space="preserve">Working Day </v>
      </c>
    </row>
    <row r="579" spans="1:35" hidden="1" x14ac:dyDescent="0.3">
      <c r="A579" t="s">
        <v>768</v>
      </c>
      <c r="B579" s="3">
        <v>45781</v>
      </c>
      <c r="C579" t="s">
        <v>57</v>
      </c>
      <c r="D579" t="s">
        <v>24</v>
      </c>
      <c r="E579" t="s">
        <v>103</v>
      </c>
      <c r="F579" t="s">
        <v>354</v>
      </c>
      <c r="G579" t="s">
        <v>355</v>
      </c>
      <c r="H579" t="s">
        <v>28</v>
      </c>
      <c r="I579" t="s">
        <v>29</v>
      </c>
      <c r="J579" t="s">
        <v>100</v>
      </c>
      <c r="K579" t="s">
        <v>54</v>
      </c>
      <c r="L579" s="2">
        <v>0.375</v>
      </c>
      <c r="M579" s="2">
        <v>0.75</v>
      </c>
      <c r="N579">
        <v>8</v>
      </c>
      <c r="O579">
        <v>0</v>
      </c>
      <c r="P579" t="s">
        <v>32</v>
      </c>
      <c r="R579">
        <v>4</v>
      </c>
      <c r="S579" t="s">
        <v>92</v>
      </c>
      <c r="T579" t="s">
        <v>34</v>
      </c>
      <c r="U579" t="s">
        <v>85</v>
      </c>
      <c r="V579" t="s">
        <v>35</v>
      </c>
      <c r="W579">
        <f>_xlfn.XLOOKUP(F579,tblEmployee[Employee_ID],tblEmployee[Age],"Not Found")</f>
        <v>32</v>
      </c>
      <c r="X579" t="str">
        <f>_xlfn.XLOOKUP(F579,tblEmployee[Employee_ID],tblEmployee[Gender],"Not Found")</f>
        <v>Female</v>
      </c>
      <c r="Y579">
        <f>_xlfn.XLOOKUP(F579,tblEmployee[Employee_ID],tblEmployee[Joining_Date],"")</f>
        <v>43235</v>
      </c>
      <c r="Z579">
        <f>_xlfn.XLOOKUP(H579,tblDepartment[Department],tblDepartment[Annual_Budget_INR],"")</f>
        <v>24000000</v>
      </c>
      <c r="AA579" t="str">
        <f>_xlfn.XLOOKUP(H579,tblDepartment[Department],tblDepartment[Monthly_Target],"")</f>
        <v>90% Customer Satisfaction</v>
      </c>
      <c r="AB579">
        <f>_xlfn.XLOOKUP(H579,tblDepartment[Department],tblDepartment[Average_Salary_INR],"")</f>
        <v>520000</v>
      </c>
      <c r="AC579" t="str">
        <f>_xlfn.XLOOKUP(H579,tblDepartment[Department],tblDepartment[Priority_Level],"")</f>
        <v>High</v>
      </c>
      <c r="AD579" t="str">
        <f>_xlfn.XLOOKUP(H579,tblDepartment[Department],tblDepartment[Key_KPI],"")</f>
        <v>Customer Satisfaction</v>
      </c>
      <c r="AE579">
        <f>_xlfn.XLOOKUP(tblMaster[[#This Row],[Shift]],tblShift[Shift_Name],tblShift[Login_Time],"")</f>
        <v>0.58333333333333337</v>
      </c>
      <c r="AF579">
        <f>_xlfn.XLOOKUP(tblMaster[[#This Row],[Shift]],tblShift[Shift_Name],tblShift[Logout_Time]," ")</f>
        <v>0.95833333333333337</v>
      </c>
      <c r="AG579">
        <f>_xlfn.XLOOKUP(tblMaster[[#This Row],[Shift]],tblShift[Shift_Name],tblShift[Standard_Working_Hours],"")</f>
        <v>8</v>
      </c>
      <c r="AH579" t="str">
        <f>_xlfn.XLOOKUP(tblMaster[[#This Row],[Attendance_Date]],tblHoliday[Holiday_Date],tblHoliday[Holiday_Name],"Working Day")</f>
        <v>Working Day</v>
      </c>
      <c r="AI579" t="str">
        <f>_xlfn.XLOOKUP(tblMaster[[#This Row],[Attendance_Date]],tblHoliday[Holiday_Date],tblHoliday[Holiday_Type],"Working Day ")</f>
        <v xml:space="preserve">Working Day </v>
      </c>
    </row>
    <row r="580" spans="1:35" hidden="1" x14ac:dyDescent="0.3">
      <c r="A580" t="s">
        <v>769</v>
      </c>
      <c r="B580" s="3">
        <v>45836</v>
      </c>
      <c r="C580" t="s">
        <v>23</v>
      </c>
      <c r="D580" t="s">
        <v>24</v>
      </c>
      <c r="E580" t="s">
        <v>38</v>
      </c>
      <c r="F580" t="s">
        <v>96</v>
      </c>
      <c r="G580" t="s">
        <v>97</v>
      </c>
      <c r="H580" t="s">
        <v>98</v>
      </c>
      <c r="I580" t="s">
        <v>99</v>
      </c>
      <c r="J580" t="s">
        <v>100</v>
      </c>
      <c r="K580" t="s">
        <v>31</v>
      </c>
      <c r="L580" s="2">
        <v>0.375</v>
      </c>
      <c r="M580" s="2">
        <v>0.75</v>
      </c>
      <c r="N580">
        <v>8</v>
      </c>
      <c r="O580">
        <v>0</v>
      </c>
      <c r="P580" t="s">
        <v>32</v>
      </c>
      <c r="R580">
        <v>5</v>
      </c>
      <c r="S580" t="s">
        <v>92</v>
      </c>
      <c r="T580" t="s">
        <v>101</v>
      </c>
      <c r="U580" t="s">
        <v>47</v>
      </c>
      <c r="W580">
        <f>_xlfn.XLOOKUP(F580,tblEmployee[Employee_ID],tblEmployee[Age],"Not Found")</f>
        <v>34</v>
      </c>
      <c r="X580" t="str">
        <f>_xlfn.XLOOKUP(F580,tblEmployee[Employee_ID],tblEmployee[Gender],"Not Found")</f>
        <v>Female</v>
      </c>
      <c r="Y580">
        <f>_xlfn.XLOOKUP(F580,tblEmployee[Employee_ID],tblEmployee[Joining_Date],"")</f>
        <v>45306</v>
      </c>
      <c r="Z580">
        <f>_xlfn.XLOOKUP(H580,tblDepartment[Department],tblDepartment[Annual_Budget_INR],"")</f>
        <v>22000000</v>
      </c>
      <c r="AA580" t="str">
        <f>_xlfn.XLOOKUP(H580,tblDepartment[Department],tblDepartment[Monthly_Target],"")</f>
        <v>2500 Qualified Leads</v>
      </c>
      <c r="AB580">
        <f>_xlfn.XLOOKUP(H580,tblDepartment[Department],tblDepartment[Average_Salary_INR],"")</f>
        <v>590000</v>
      </c>
      <c r="AC580" t="str">
        <f>_xlfn.XLOOKUP(H580,tblDepartment[Department],tblDepartment[Priority_Level],"")</f>
        <v>Medium</v>
      </c>
      <c r="AD580" t="str">
        <f>_xlfn.XLOOKUP(H580,tblDepartment[Department],tblDepartment[Key_KPI],"")</f>
        <v>Lead Generation</v>
      </c>
      <c r="AE580">
        <f>_xlfn.XLOOKUP(tblMaster[[#This Row],[Shift]],tblShift[Shift_Name],tblShift[Login_Time],"")</f>
        <v>0.25</v>
      </c>
      <c r="AF580">
        <f>_xlfn.XLOOKUP(tblMaster[[#This Row],[Shift]],tblShift[Shift_Name],tblShift[Logout_Time]," ")</f>
        <v>0.625</v>
      </c>
      <c r="AG580">
        <f>_xlfn.XLOOKUP(tblMaster[[#This Row],[Shift]],tblShift[Shift_Name],tblShift[Standard_Working_Hours],"")</f>
        <v>8</v>
      </c>
      <c r="AH580" t="str">
        <f>_xlfn.XLOOKUP(tblMaster[[#This Row],[Attendance_Date]],tblHoliday[Holiday_Date],tblHoliday[Holiday_Name],"Working Day")</f>
        <v>Working Day</v>
      </c>
      <c r="AI580" t="str">
        <f>_xlfn.XLOOKUP(tblMaster[[#This Row],[Attendance_Date]],tblHoliday[Holiday_Date],tblHoliday[Holiday_Type],"Working Day ")</f>
        <v xml:space="preserve">Working Day </v>
      </c>
    </row>
    <row r="581" spans="1:35" hidden="1" x14ac:dyDescent="0.3">
      <c r="A581" t="s">
        <v>770</v>
      </c>
      <c r="B581" s="3">
        <v>45694</v>
      </c>
      <c r="C581" t="s">
        <v>95</v>
      </c>
      <c r="D581" t="s">
        <v>50</v>
      </c>
      <c r="E581" t="s">
        <v>25</v>
      </c>
      <c r="F581" t="s">
        <v>220</v>
      </c>
      <c r="G581" t="s">
        <v>221</v>
      </c>
      <c r="H581" t="s">
        <v>79</v>
      </c>
      <c r="I581" t="s">
        <v>80</v>
      </c>
      <c r="J581" t="s">
        <v>100</v>
      </c>
      <c r="K581" t="s">
        <v>54</v>
      </c>
      <c r="L581" s="2">
        <v>0.375</v>
      </c>
      <c r="M581" s="2">
        <v>0.75</v>
      </c>
      <c r="N581">
        <v>8</v>
      </c>
      <c r="O581">
        <v>0</v>
      </c>
      <c r="P581" t="s">
        <v>32</v>
      </c>
      <c r="R581">
        <v>5</v>
      </c>
      <c r="S581" t="s">
        <v>67</v>
      </c>
      <c r="T581" t="s">
        <v>84</v>
      </c>
      <c r="U581" t="s">
        <v>55</v>
      </c>
      <c r="V581" t="s">
        <v>69</v>
      </c>
      <c r="W581">
        <f>_xlfn.XLOOKUP(F581,tblEmployee[Employee_ID],tblEmployee[Age],"Not Found")</f>
        <v>22</v>
      </c>
      <c r="X581" t="str">
        <f>_xlfn.XLOOKUP(F581,tblEmployee[Employee_ID],tblEmployee[Gender],"Not Found")</f>
        <v>Male</v>
      </c>
      <c r="Y581">
        <f>_xlfn.XLOOKUP(F581,tblEmployee[Employee_ID],tblEmployee[Joining_Date],"")</f>
        <v>44757</v>
      </c>
      <c r="Z581">
        <f>_xlfn.XLOOKUP(H581,tblDepartment[Department],tblDepartment[Annual_Budget_INR],"")</f>
        <v>26000000</v>
      </c>
      <c r="AA581" t="str">
        <f>_xlfn.XLOOKUP(H581,tblDepartment[Department],tblDepartment[Monthly_Target],"")</f>
        <v>100% Payroll Accuracy</v>
      </c>
      <c r="AB581">
        <f>_xlfn.XLOOKUP(H581,tblDepartment[Department],tblDepartment[Average_Salary_INR],"")</f>
        <v>640000</v>
      </c>
      <c r="AC581" t="str">
        <f>_xlfn.XLOOKUP(H581,tblDepartment[Department],tblDepartment[Priority_Level],"")</f>
        <v>High</v>
      </c>
      <c r="AD581" t="str">
        <f>_xlfn.XLOOKUP(H581,tblDepartment[Department],tblDepartment[Key_KPI],"")</f>
        <v>Financial Compliance</v>
      </c>
      <c r="AE581">
        <f>_xlfn.XLOOKUP(tblMaster[[#This Row],[Shift]],tblShift[Shift_Name],tblShift[Login_Time],"")</f>
        <v>0.58333333333333337</v>
      </c>
      <c r="AF581">
        <f>_xlfn.XLOOKUP(tblMaster[[#This Row],[Shift]],tblShift[Shift_Name],tblShift[Logout_Time]," ")</f>
        <v>0.95833333333333337</v>
      </c>
      <c r="AG581">
        <f>_xlfn.XLOOKUP(tblMaster[[#This Row],[Shift]],tblShift[Shift_Name],tblShift[Standard_Working_Hours],"")</f>
        <v>8</v>
      </c>
      <c r="AH581" t="str">
        <f>_xlfn.XLOOKUP(tblMaster[[#This Row],[Attendance_Date]],tblHoliday[Holiday_Date],tblHoliday[Holiday_Name],"Working Day")</f>
        <v>Working Day</v>
      </c>
      <c r="AI581" t="str">
        <f>_xlfn.XLOOKUP(tblMaster[[#This Row],[Attendance_Date]],tblHoliday[Holiday_Date],tblHoliday[Holiday_Type],"Working Day ")</f>
        <v xml:space="preserve">Working Day </v>
      </c>
    </row>
    <row r="582" spans="1:35" hidden="1" x14ac:dyDescent="0.3">
      <c r="A582" t="s">
        <v>771</v>
      </c>
      <c r="B582" s="3">
        <v>45687</v>
      </c>
      <c r="C582" t="s">
        <v>49</v>
      </c>
      <c r="D582" t="s">
        <v>50</v>
      </c>
      <c r="E582" t="s">
        <v>25</v>
      </c>
      <c r="F582" t="s">
        <v>159</v>
      </c>
      <c r="G582" t="s">
        <v>160</v>
      </c>
      <c r="H582" t="s">
        <v>64</v>
      </c>
      <c r="I582" t="s">
        <v>65</v>
      </c>
      <c r="J582" t="s">
        <v>100</v>
      </c>
      <c r="K582" t="s">
        <v>54</v>
      </c>
      <c r="L582" s="2">
        <v>0.375</v>
      </c>
      <c r="M582" s="2">
        <v>0.75</v>
      </c>
      <c r="N582">
        <v>8.5</v>
      </c>
      <c r="O582">
        <v>0.5</v>
      </c>
      <c r="P582" t="s">
        <v>32</v>
      </c>
      <c r="R582">
        <v>4</v>
      </c>
      <c r="S582" t="s">
        <v>45</v>
      </c>
      <c r="T582" t="s">
        <v>68</v>
      </c>
      <c r="U582" t="s">
        <v>55</v>
      </c>
      <c r="W582">
        <f>_xlfn.XLOOKUP(F582,tblEmployee[Employee_ID],tblEmployee[Age],"Not Found")</f>
        <v>30</v>
      </c>
      <c r="X582" t="str">
        <f>_xlfn.XLOOKUP(F582,tblEmployee[Employee_ID],tblEmployee[Gender],"Not Found")</f>
        <v>Female</v>
      </c>
      <c r="Y582">
        <f>_xlfn.XLOOKUP(F582,tblEmployee[Employee_ID],tblEmployee[Joining_Date],"")</f>
        <v>43723</v>
      </c>
      <c r="Z582">
        <f>_xlfn.XLOOKUP(H582,tblDepartment[Department],tblDepartment[Annual_Budget_INR],"")</f>
        <v>85000000</v>
      </c>
      <c r="AA582" t="str">
        <f>_xlfn.XLOOKUP(H582,tblDepartment[Department],tblDepartment[Monthly_Target],"")</f>
        <v>99.5% System Uptime</v>
      </c>
      <c r="AB582">
        <f>_xlfn.XLOOKUP(H582,tblDepartment[Department],tblDepartment[Average_Salary_INR],"")</f>
        <v>720000</v>
      </c>
      <c r="AC582" t="str">
        <f>_xlfn.XLOOKUP(H582,tblDepartment[Department],tblDepartment[Priority_Level],"")</f>
        <v>High</v>
      </c>
      <c r="AD582" t="str">
        <f>_xlfn.XLOOKUP(H582,tblDepartment[Department],tblDepartment[Key_KPI],"")</f>
        <v>Project Delivery</v>
      </c>
      <c r="AE582">
        <f>_xlfn.XLOOKUP(tblMaster[[#This Row],[Shift]],tblShift[Shift_Name],tblShift[Login_Time],"")</f>
        <v>0.58333333333333337</v>
      </c>
      <c r="AF582">
        <f>_xlfn.XLOOKUP(tblMaster[[#This Row],[Shift]],tblShift[Shift_Name],tblShift[Logout_Time]," ")</f>
        <v>0.95833333333333337</v>
      </c>
      <c r="AG582">
        <f>_xlfn.XLOOKUP(tblMaster[[#This Row],[Shift]],tblShift[Shift_Name],tblShift[Standard_Working_Hours],"")</f>
        <v>8</v>
      </c>
      <c r="AH582" t="str">
        <f>_xlfn.XLOOKUP(tblMaster[[#This Row],[Attendance_Date]],tblHoliday[Holiday_Date],tblHoliday[Holiday_Name],"Working Day")</f>
        <v>Working Day</v>
      </c>
      <c r="AI582" t="str">
        <f>_xlfn.XLOOKUP(tblMaster[[#This Row],[Attendance_Date]],tblHoliday[Holiday_Date],tblHoliday[Holiday_Type],"Working Day ")</f>
        <v xml:space="preserve">Working Day </v>
      </c>
    </row>
    <row r="583" spans="1:35" x14ac:dyDescent="0.3">
      <c r="A583" t="s">
        <v>772</v>
      </c>
      <c r="B583" s="1">
        <v>45667</v>
      </c>
      <c r="C583" t="s">
        <v>49</v>
      </c>
      <c r="D583" t="s">
        <v>50</v>
      </c>
      <c r="E583" t="s">
        <v>119</v>
      </c>
      <c r="F583" t="s">
        <v>116</v>
      </c>
      <c r="G583" t="s">
        <v>117</v>
      </c>
      <c r="H583" t="s">
        <v>112</v>
      </c>
      <c r="I583" t="s">
        <v>113</v>
      </c>
      <c r="J583" t="s">
        <v>100</v>
      </c>
      <c r="K583" t="s">
        <v>54</v>
      </c>
      <c r="L583" s="2">
        <v>0.375</v>
      </c>
      <c r="M583" s="2">
        <v>0.75</v>
      </c>
      <c r="N583">
        <v>8</v>
      </c>
      <c r="O583">
        <v>0</v>
      </c>
      <c r="P583" t="s">
        <v>32</v>
      </c>
      <c r="R583">
        <v>4</v>
      </c>
      <c r="S583" t="s">
        <v>33</v>
      </c>
      <c r="T583" t="s">
        <v>114</v>
      </c>
      <c r="U583" t="str">
        <f>_xlfn.XLOOKUP(tblMaster[[#This Row],[Employee_ID]],tblEmployee[Employee_ID],tblEmployee[Work_Mode]," ")</f>
        <v>Remote</v>
      </c>
      <c r="V583" t="s">
        <v>69</v>
      </c>
      <c r="W583">
        <f>_xlfn.XLOOKUP(F583,tblEmployee[Employee_ID],tblEmployee[Age],"Not Found")</f>
        <v>24</v>
      </c>
      <c r="X583" t="str">
        <f>_xlfn.XLOOKUP(F583,tblEmployee[Employee_ID],tblEmployee[Gender],"Not Found")</f>
        <v>Male</v>
      </c>
      <c r="Y583">
        <f>_xlfn.XLOOKUP(F583,tblEmployee[Employee_ID],tblEmployee[Joining_Date],"")</f>
        <v>44270</v>
      </c>
      <c r="Z583">
        <f>_xlfn.XLOOKUP(H583,tblDepartment[Department],tblDepartment[Annual_Budget_INR],"")</f>
        <v>42000000</v>
      </c>
      <c r="AA583" t="str">
        <f>_xlfn.XLOOKUP(H583,tblDepartment[Department],tblDepartment[Monthly_Target],"")</f>
        <v>₹2.5 Cr Monthly Sales</v>
      </c>
      <c r="AB583">
        <f>_xlfn.XLOOKUP(H583,tblDepartment[Department],tblDepartment[Average_Salary_INR],"")</f>
        <v>680000</v>
      </c>
      <c r="AC583" t="str">
        <f>_xlfn.XLOOKUP(H583,tblDepartment[Department],tblDepartment[Priority_Level],"")</f>
        <v>High</v>
      </c>
      <c r="AD583" t="str">
        <f>_xlfn.XLOOKUP(H583,tblDepartment[Department],tblDepartment[Key_KPI],"")</f>
        <v>Revenue Achievement</v>
      </c>
      <c r="AE583">
        <f>_xlfn.XLOOKUP(tblMaster[[#This Row],[Shift]],tblShift[Shift_Name],tblShift[Login_Time],"")</f>
        <v>0.58333333333333337</v>
      </c>
      <c r="AF583">
        <f>_xlfn.XLOOKUP(tblMaster[[#This Row],[Shift]],tblShift[Shift_Name],tblShift[Logout_Time]," ")</f>
        <v>0.95833333333333337</v>
      </c>
      <c r="AG583">
        <f>_xlfn.XLOOKUP(tblMaster[[#This Row],[Shift]],tblShift[Shift_Name],tblShift[Standard_Working_Hours],"")</f>
        <v>8</v>
      </c>
      <c r="AH583" t="str">
        <f>_xlfn.XLOOKUP(tblMaster[[#This Row],[Attendance_Date]],tblHoliday[Holiday_Date],tblHoliday[Holiday_Name],"Working Day")</f>
        <v>Working Day</v>
      </c>
      <c r="AI583" t="str">
        <f>_xlfn.XLOOKUP(tblMaster[[#This Row],[Attendance_Date]],tblHoliday[Holiday_Date],tblHoliday[Holiday_Type],"Working Day ")</f>
        <v xml:space="preserve">Working Day </v>
      </c>
    </row>
    <row r="584" spans="1:35" x14ac:dyDescent="0.3">
      <c r="A584" t="s">
        <v>773</v>
      </c>
      <c r="B584" s="1">
        <v>45796</v>
      </c>
      <c r="C584" t="s">
        <v>57</v>
      </c>
      <c r="D584" t="s">
        <v>24</v>
      </c>
      <c r="E584" t="s">
        <v>109</v>
      </c>
      <c r="F584" t="s">
        <v>207</v>
      </c>
      <c r="G584" t="s">
        <v>208</v>
      </c>
      <c r="H584" t="s">
        <v>64</v>
      </c>
      <c r="I584" t="s">
        <v>65</v>
      </c>
      <c r="J584" t="s">
        <v>30</v>
      </c>
      <c r="K584" t="s">
        <v>81</v>
      </c>
      <c r="M584" s="2">
        <v>0.29166666666666669</v>
      </c>
      <c r="N584">
        <v>9.5</v>
      </c>
      <c r="O584">
        <v>1.5</v>
      </c>
      <c r="P584" t="s">
        <v>32</v>
      </c>
      <c r="R584">
        <v>4</v>
      </c>
      <c r="S584" t="s">
        <v>33</v>
      </c>
      <c r="T584" t="s">
        <v>68</v>
      </c>
      <c r="U584" t="str">
        <f>_xlfn.XLOOKUP(tblMaster[[#This Row],[Employee_ID]],tblEmployee[Employee_ID],tblEmployee[Work_Mode]," ")</f>
        <v>Remote</v>
      </c>
      <c r="V584" t="s">
        <v>69</v>
      </c>
      <c r="W584">
        <f>_xlfn.XLOOKUP(F584,tblEmployee[Employee_ID],tblEmployee[Age],"Not Found")</f>
        <v>33</v>
      </c>
      <c r="X584" t="str">
        <f>_xlfn.XLOOKUP(F584,tblEmployee[Employee_ID],tblEmployee[Gender],"Not Found")</f>
        <v>Male</v>
      </c>
      <c r="Y584">
        <f>_xlfn.XLOOKUP(F584,tblEmployee[Employee_ID],tblEmployee[Joining_Date],"")</f>
        <v>43631</v>
      </c>
      <c r="Z584">
        <f>_xlfn.XLOOKUP(H584,tblDepartment[Department],tblDepartment[Annual_Budget_INR],"")</f>
        <v>85000000</v>
      </c>
      <c r="AA584" t="str">
        <f>_xlfn.XLOOKUP(H584,tblDepartment[Department],tblDepartment[Monthly_Target],"")</f>
        <v>99.5% System Uptime</v>
      </c>
      <c r="AB584">
        <f>_xlfn.XLOOKUP(H584,tblDepartment[Department],tblDepartment[Average_Salary_INR],"")</f>
        <v>720000</v>
      </c>
      <c r="AC584" t="str">
        <f>_xlfn.XLOOKUP(H584,tblDepartment[Department],tblDepartment[Priority_Level],"")</f>
        <v>High</v>
      </c>
      <c r="AD584" t="str">
        <f>_xlfn.XLOOKUP(H584,tblDepartment[Department],tblDepartment[Key_KPI],"")</f>
        <v>Project Delivery</v>
      </c>
      <c r="AE584">
        <f>_xlfn.XLOOKUP(tblMaster[[#This Row],[Shift]],tblShift[Shift_Name],tblShift[Login_Time],"")</f>
        <v>0.91666666666666663</v>
      </c>
      <c r="AF584">
        <f>_xlfn.XLOOKUP(tblMaster[[#This Row],[Shift]],tblShift[Shift_Name],tblShift[Logout_Time]," ")</f>
        <v>0.29166666666666669</v>
      </c>
      <c r="AG584">
        <f>_xlfn.XLOOKUP(tblMaster[[#This Row],[Shift]],tblShift[Shift_Name],tblShift[Standard_Working_Hours],"")</f>
        <v>8</v>
      </c>
      <c r="AH584" t="str">
        <f>_xlfn.XLOOKUP(tblMaster[[#This Row],[Attendance_Date]],tblHoliday[Holiday_Date],tblHoliday[Holiday_Name],"Working Day")</f>
        <v>Working Day</v>
      </c>
      <c r="AI584" t="str">
        <f>_xlfn.XLOOKUP(tblMaster[[#This Row],[Attendance_Date]],tblHoliday[Holiday_Date],tblHoliday[Holiday_Type],"Working Day ")</f>
        <v xml:space="preserve">Working Day </v>
      </c>
    </row>
    <row r="585" spans="1:35" x14ac:dyDescent="0.3">
      <c r="A585" t="s">
        <v>774</v>
      </c>
      <c r="B585" s="1">
        <v>45820</v>
      </c>
      <c r="C585" t="s">
        <v>23</v>
      </c>
      <c r="D585" t="s">
        <v>24</v>
      </c>
      <c r="E585" t="s">
        <v>25</v>
      </c>
      <c r="F585" t="s">
        <v>182</v>
      </c>
      <c r="G585" t="s">
        <v>183</v>
      </c>
      <c r="H585" t="s">
        <v>112</v>
      </c>
      <c r="I585" t="s">
        <v>113</v>
      </c>
      <c r="J585" t="s">
        <v>30</v>
      </c>
      <c r="K585" t="s">
        <v>81</v>
      </c>
      <c r="L585" s="2">
        <v>0.39930555555555558</v>
      </c>
      <c r="M585" s="2">
        <v>0.29166666666666669</v>
      </c>
      <c r="N585">
        <v>9</v>
      </c>
      <c r="O585">
        <v>1</v>
      </c>
      <c r="P585" t="s">
        <v>32</v>
      </c>
      <c r="R585">
        <v>3</v>
      </c>
      <c r="S585" t="s">
        <v>45</v>
      </c>
      <c r="T585" t="s">
        <v>114</v>
      </c>
      <c r="U585" t="str">
        <f>_xlfn.XLOOKUP(tblMaster[[#This Row],[Employee_ID]],tblEmployee[Employee_ID],tblEmployee[Work_Mode]," ")</f>
        <v>Office</v>
      </c>
      <c r="V585" t="s">
        <v>60</v>
      </c>
      <c r="W585">
        <f>_xlfn.XLOOKUP(F585,tblEmployee[Employee_ID],tblEmployee[Age],"Not Found")</f>
        <v>28</v>
      </c>
      <c r="X585" t="str">
        <f>_xlfn.XLOOKUP(F585,tblEmployee[Employee_ID],tblEmployee[Gender],"Not Found")</f>
        <v>Male</v>
      </c>
      <c r="Y585">
        <f>_xlfn.XLOOKUP(F585,tblEmployee[Employee_ID],tblEmployee[Joining_Date],"")</f>
        <v>44211</v>
      </c>
      <c r="Z585">
        <f>_xlfn.XLOOKUP(H585,tblDepartment[Department],tblDepartment[Annual_Budget_INR],"")</f>
        <v>42000000</v>
      </c>
      <c r="AA585" t="str">
        <f>_xlfn.XLOOKUP(H585,tblDepartment[Department],tblDepartment[Monthly_Target],"")</f>
        <v>₹2.5 Cr Monthly Sales</v>
      </c>
      <c r="AB585">
        <f>_xlfn.XLOOKUP(H585,tblDepartment[Department],tblDepartment[Average_Salary_INR],"")</f>
        <v>680000</v>
      </c>
      <c r="AC585" t="str">
        <f>_xlfn.XLOOKUP(H585,tblDepartment[Department],tblDepartment[Priority_Level],"")</f>
        <v>High</v>
      </c>
      <c r="AD585" t="str">
        <f>_xlfn.XLOOKUP(H585,tblDepartment[Department],tblDepartment[Key_KPI],"")</f>
        <v>Revenue Achievement</v>
      </c>
      <c r="AE585">
        <f>_xlfn.XLOOKUP(tblMaster[[#This Row],[Shift]],tblShift[Shift_Name],tblShift[Login_Time],"")</f>
        <v>0.91666666666666663</v>
      </c>
      <c r="AF585">
        <f>_xlfn.XLOOKUP(tblMaster[[#This Row],[Shift]],tblShift[Shift_Name],tblShift[Logout_Time]," ")</f>
        <v>0.29166666666666669</v>
      </c>
      <c r="AG585">
        <f>_xlfn.XLOOKUP(tblMaster[[#This Row],[Shift]],tblShift[Shift_Name],tblShift[Standard_Working_Hours],"")</f>
        <v>8</v>
      </c>
      <c r="AH585" t="str">
        <f>_xlfn.XLOOKUP(tblMaster[[#This Row],[Attendance_Date]],tblHoliday[Holiday_Date],tblHoliday[Holiday_Name],"Working Day")</f>
        <v>Working Day</v>
      </c>
      <c r="AI585" t="str">
        <f>_xlfn.XLOOKUP(tblMaster[[#This Row],[Attendance_Date]],tblHoliday[Holiday_Date],tblHoliday[Holiday_Type],"Working Day ")</f>
        <v xml:space="preserve">Working Day </v>
      </c>
    </row>
    <row r="586" spans="1:35" hidden="1" x14ac:dyDescent="0.3">
      <c r="A586" t="s">
        <v>775</v>
      </c>
      <c r="B586" s="3">
        <v>45792</v>
      </c>
      <c r="C586" t="s">
        <v>57</v>
      </c>
      <c r="D586" t="s">
        <v>24</v>
      </c>
      <c r="E586" t="s">
        <v>25</v>
      </c>
      <c r="F586" t="s">
        <v>288</v>
      </c>
      <c r="G586" t="s">
        <v>289</v>
      </c>
      <c r="H586" t="s">
        <v>28</v>
      </c>
      <c r="I586" t="s">
        <v>29</v>
      </c>
      <c r="J586" t="s">
        <v>74</v>
      </c>
      <c r="K586" t="s">
        <v>31</v>
      </c>
      <c r="L586" s="2">
        <v>0.375</v>
      </c>
      <c r="M586" s="2">
        <v>0.75</v>
      </c>
      <c r="N586">
        <v>8</v>
      </c>
      <c r="O586">
        <v>0</v>
      </c>
      <c r="P586" t="s">
        <v>32</v>
      </c>
      <c r="R586">
        <v>4</v>
      </c>
      <c r="S586" t="s">
        <v>45</v>
      </c>
      <c r="T586" t="s">
        <v>34</v>
      </c>
      <c r="U586" t="s">
        <v>85</v>
      </c>
      <c r="V586" t="s">
        <v>69</v>
      </c>
      <c r="W586">
        <f>_xlfn.XLOOKUP(F586,tblEmployee[Employee_ID],tblEmployee[Age],"Not Found")</f>
        <v>29</v>
      </c>
      <c r="X586" t="str">
        <f>_xlfn.XLOOKUP(F586,tblEmployee[Employee_ID],tblEmployee[Gender],"Not Found")</f>
        <v>Male</v>
      </c>
      <c r="Y586">
        <f>_xlfn.XLOOKUP(F586,tblEmployee[Employee_ID],tblEmployee[Joining_Date],"")</f>
        <v>43327</v>
      </c>
      <c r="Z586">
        <f>_xlfn.XLOOKUP(H586,tblDepartment[Department],tblDepartment[Annual_Budget_INR],"")</f>
        <v>24000000</v>
      </c>
      <c r="AA586" t="str">
        <f>_xlfn.XLOOKUP(H586,tblDepartment[Department],tblDepartment[Monthly_Target],"")</f>
        <v>90% Customer Satisfaction</v>
      </c>
      <c r="AB586">
        <f>_xlfn.XLOOKUP(H586,tblDepartment[Department],tblDepartment[Average_Salary_INR],"")</f>
        <v>520000</v>
      </c>
      <c r="AC586" t="str">
        <f>_xlfn.XLOOKUP(H586,tblDepartment[Department],tblDepartment[Priority_Level],"")</f>
        <v>High</v>
      </c>
      <c r="AD586" t="str">
        <f>_xlfn.XLOOKUP(H586,tblDepartment[Department],tblDepartment[Key_KPI],"")</f>
        <v>Customer Satisfaction</v>
      </c>
      <c r="AE586">
        <f>_xlfn.XLOOKUP(tblMaster[[#This Row],[Shift]],tblShift[Shift_Name],tblShift[Login_Time],"")</f>
        <v>0.25</v>
      </c>
      <c r="AF586">
        <f>_xlfn.XLOOKUP(tblMaster[[#This Row],[Shift]],tblShift[Shift_Name],tblShift[Logout_Time]," ")</f>
        <v>0.625</v>
      </c>
      <c r="AG586">
        <f>_xlfn.XLOOKUP(tblMaster[[#This Row],[Shift]],tblShift[Shift_Name],tblShift[Standard_Working_Hours],"")</f>
        <v>8</v>
      </c>
      <c r="AH586" t="str">
        <f>_xlfn.XLOOKUP(tblMaster[[#This Row],[Attendance_Date]],tblHoliday[Holiday_Date],tblHoliday[Holiday_Name],"Working Day")</f>
        <v>Working Day</v>
      </c>
      <c r="AI586" t="str">
        <f>_xlfn.XLOOKUP(tblMaster[[#This Row],[Attendance_Date]],tblHoliday[Holiday_Date],tblHoliday[Holiday_Type],"Working Day ")</f>
        <v xml:space="preserve">Working Day </v>
      </c>
    </row>
    <row r="587" spans="1:35" hidden="1" x14ac:dyDescent="0.3">
      <c r="A587" t="s">
        <v>776</v>
      </c>
      <c r="B587" s="1">
        <v>45727</v>
      </c>
      <c r="C587" t="s">
        <v>71</v>
      </c>
      <c r="D587" t="s">
        <v>50</v>
      </c>
      <c r="E587" t="s">
        <v>87</v>
      </c>
      <c r="F587" t="s">
        <v>110</v>
      </c>
      <c r="G587" t="s">
        <v>111</v>
      </c>
      <c r="H587" t="s">
        <v>112</v>
      </c>
      <c r="I587" t="s">
        <v>113</v>
      </c>
      <c r="J587" t="s">
        <v>43</v>
      </c>
      <c r="K587" t="s">
        <v>75</v>
      </c>
      <c r="L587" s="2">
        <v>0.38194444444444442</v>
      </c>
      <c r="M587" s="2">
        <v>0.75</v>
      </c>
      <c r="N587">
        <v>8</v>
      </c>
      <c r="O587">
        <v>0</v>
      </c>
      <c r="P587" t="s">
        <v>32</v>
      </c>
      <c r="R587">
        <v>3</v>
      </c>
      <c r="S587" t="s">
        <v>92</v>
      </c>
      <c r="T587" t="s">
        <v>114</v>
      </c>
      <c r="U587" t="s">
        <v>55</v>
      </c>
      <c r="V587" t="s">
        <v>60</v>
      </c>
      <c r="W587">
        <f>_xlfn.XLOOKUP(F587,tblEmployee[Employee_ID],tblEmployee[Age],"Not Found")</f>
        <v>32</v>
      </c>
      <c r="X587" t="str">
        <f>_xlfn.XLOOKUP(F587,tblEmployee[Employee_ID],tblEmployee[Gender],"Not Found")</f>
        <v>Female</v>
      </c>
      <c r="Y587">
        <f>_xlfn.XLOOKUP(F587,tblEmployee[Employee_ID],tblEmployee[Joining_Date],"")</f>
        <v>44515</v>
      </c>
      <c r="Z587">
        <f>_xlfn.XLOOKUP(H587,tblDepartment[Department],tblDepartment[Annual_Budget_INR],"")</f>
        <v>42000000</v>
      </c>
      <c r="AA587" t="str">
        <f>_xlfn.XLOOKUP(H587,tblDepartment[Department],tblDepartment[Monthly_Target],"")</f>
        <v>₹2.5 Cr Monthly Sales</v>
      </c>
      <c r="AB587">
        <f>_xlfn.XLOOKUP(H587,tblDepartment[Department],tblDepartment[Average_Salary_INR],"")</f>
        <v>680000</v>
      </c>
      <c r="AC587" t="str">
        <f>_xlfn.XLOOKUP(H587,tblDepartment[Department],tblDepartment[Priority_Level],"")</f>
        <v>High</v>
      </c>
      <c r="AD587" t="str">
        <f>_xlfn.XLOOKUP(H587,tblDepartment[Department],tblDepartment[Key_KPI],"")</f>
        <v>Revenue Achievement</v>
      </c>
      <c r="AE587">
        <f>_xlfn.XLOOKUP(tblMaster[[#This Row],[Shift]],tblShift[Shift_Name],tblShift[Login_Time],"")</f>
        <v>0.375</v>
      </c>
      <c r="AF587">
        <f>_xlfn.XLOOKUP(tblMaster[[#This Row],[Shift]],tblShift[Shift_Name],tblShift[Logout_Time]," ")</f>
        <v>0.75</v>
      </c>
      <c r="AG587">
        <f>_xlfn.XLOOKUP(tblMaster[[#This Row],[Shift]],tblShift[Shift_Name],tblShift[Standard_Working_Hours],"")</f>
        <v>8</v>
      </c>
      <c r="AH587" t="str">
        <f>_xlfn.XLOOKUP(tblMaster[[#This Row],[Attendance_Date]],tblHoliday[Holiday_Date],tblHoliday[Holiday_Name],"Working Day")</f>
        <v>Working Day</v>
      </c>
      <c r="AI587" t="str">
        <f>_xlfn.XLOOKUP(tblMaster[[#This Row],[Attendance_Date]],tblHoliday[Holiday_Date],tblHoliday[Holiday_Type],"Working Day ")</f>
        <v xml:space="preserve">Working Day </v>
      </c>
    </row>
    <row r="588" spans="1:35" hidden="1" x14ac:dyDescent="0.3">
      <c r="A588" t="s">
        <v>777</v>
      </c>
      <c r="B588" s="3">
        <v>45686</v>
      </c>
      <c r="C588" t="s">
        <v>49</v>
      </c>
      <c r="D588" t="s">
        <v>50</v>
      </c>
      <c r="E588" t="s">
        <v>51</v>
      </c>
      <c r="F588" t="s">
        <v>104</v>
      </c>
      <c r="G588" t="s">
        <v>105</v>
      </c>
      <c r="H588" t="s">
        <v>28</v>
      </c>
      <c r="I588" t="s">
        <v>29</v>
      </c>
      <c r="J588" t="s">
        <v>30</v>
      </c>
      <c r="K588" t="s">
        <v>31</v>
      </c>
      <c r="L588" s="2">
        <v>0.375</v>
      </c>
      <c r="M588" s="2">
        <v>0.75</v>
      </c>
      <c r="N588">
        <v>8</v>
      </c>
      <c r="O588">
        <v>0</v>
      </c>
      <c r="P588" t="s">
        <v>32</v>
      </c>
      <c r="R588">
        <v>4</v>
      </c>
      <c r="S588" t="s">
        <v>92</v>
      </c>
      <c r="T588" t="s">
        <v>34</v>
      </c>
      <c r="U588" t="s">
        <v>47</v>
      </c>
      <c r="V588" t="s">
        <v>60</v>
      </c>
      <c r="W588">
        <f>_xlfn.XLOOKUP(F588,tblEmployee[Employee_ID],tblEmployee[Age],"Not Found")</f>
        <v>35</v>
      </c>
      <c r="X588" t="str">
        <f>_xlfn.XLOOKUP(F588,tblEmployee[Employee_ID],tblEmployee[Gender],"Not Found")</f>
        <v>Male</v>
      </c>
      <c r="Y588">
        <f>_xlfn.XLOOKUP(F588,tblEmployee[Employee_ID],tblEmployee[Joining_Date],"")</f>
        <v>43146</v>
      </c>
      <c r="Z588">
        <f>_xlfn.XLOOKUP(H588,tblDepartment[Department],tblDepartment[Annual_Budget_INR],"")</f>
        <v>24000000</v>
      </c>
      <c r="AA588" t="str">
        <f>_xlfn.XLOOKUP(H588,tblDepartment[Department],tblDepartment[Monthly_Target],"")</f>
        <v>90% Customer Satisfaction</v>
      </c>
      <c r="AB588">
        <f>_xlfn.XLOOKUP(H588,tblDepartment[Department],tblDepartment[Average_Salary_INR],"")</f>
        <v>520000</v>
      </c>
      <c r="AC588" t="str">
        <f>_xlfn.XLOOKUP(H588,tblDepartment[Department],tblDepartment[Priority_Level],"")</f>
        <v>High</v>
      </c>
      <c r="AD588" t="str">
        <f>_xlfn.XLOOKUP(H588,tblDepartment[Department],tblDepartment[Key_KPI],"")</f>
        <v>Customer Satisfaction</v>
      </c>
      <c r="AE588">
        <f>_xlfn.XLOOKUP(tblMaster[[#This Row],[Shift]],tblShift[Shift_Name],tblShift[Login_Time],"")</f>
        <v>0.25</v>
      </c>
      <c r="AF588">
        <f>_xlfn.XLOOKUP(tblMaster[[#This Row],[Shift]],tblShift[Shift_Name],tblShift[Logout_Time]," ")</f>
        <v>0.625</v>
      </c>
      <c r="AG588">
        <f>_xlfn.XLOOKUP(tblMaster[[#This Row],[Shift]],tblShift[Shift_Name],tblShift[Standard_Working_Hours],"")</f>
        <v>8</v>
      </c>
      <c r="AH588" t="str">
        <f>_xlfn.XLOOKUP(tblMaster[[#This Row],[Attendance_Date]],tblHoliday[Holiday_Date],tblHoliday[Holiday_Name],"Working Day")</f>
        <v>Working Day</v>
      </c>
      <c r="AI588" t="str">
        <f>_xlfn.XLOOKUP(tblMaster[[#This Row],[Attendance_Date]],tblHoliday[Holiday_Date],tblHoliday[Holiday_Type],"Working Day ")</f>
        <v xml:space="preserve">Working Day </v>
      </c>
    </row>
    <row r="589" spans="1:35" hidden="1" x14ac:dyDescent="0.3">
      <c r="A589" t="s">
        <v>778</v>
      </c>
      <c r="B589" s="3">
        <v>45739</v>
      </c>
      <c r="C589" t="s">
        <v>71</v>
      </c>
      <c r="D589" t="s">
        <v>50</v>
      </c>
      <c r="E589" t="s">
        <v>103</v>
      </c>
      <c r="F589" t="s">
        <v>305</v>
      </c>
      <c r="G589" t="s">
        <v>306</v>
      </c>
      <c r="H589" t="s">
        <v>79</v>
      </c>
      <c r="I589" t="s">
        <v>80</v>
      </c>
      <c r="J589" t="s">
        <v>74</v>
      </c>
      <c r="K589" t="s">
        <v>31</v>
      </c>
      <c r="P589" t="s">
        <v>82</v>
      </c>
      <c r="Q589" t="s">
        <v>225</v>
      </c>
      <c r="S589" t="s">
        <v>33</v>
      </c>
      <c r="T589" t="s">
        <v>84</v>
      </c>
      <c r="U589" t="s">
        <v>55</v>
      </c>
      <c r="V589" t="s">
        <v>35</v>
      </c>
      <c r="W589">
        <f>_xlfn.XLOOKUP(F589,tblEmployee[Employee_ID],tblEmployee[Age],"Not Found")</f>
        <v>36</v>
      </c>
      <c r="X589" t="str">
        <f>_xlfn.XLOOKUP(F589,tblEmployee[Employee_ID],tblEmployee[Gender],"Not Found")</f>
        <v>Female</v>
      </c>
      <c r="Y589">
        <f>_xlfn.XLOOKUP(F589,tblEmployee[Employee_ID],tblEmployee[Joining_Date],"")</f>
        <v>44819</v>
      </c>
      <c r="Z589">
        <f>_xlfn.XLOOKUP(H589,tblDepartment[Department],tblDepartment[Annual_Budget_INR],"")</f>
        <v>26000000</v>
      </c>
      <c r="AA589" t="str">
        <f>_xlfn.XLOOKUP(H589,tblDepartment[Department],tblDepartment[Monthly_Target],"")</f>
        <v>100% Payroll Accuracy</v>
      </c>
      <c r="AB589">
        <f>_xlfn.XLOOKUP(H589,tblDepartment[Department],tblDepartment[Average_Salary_INR],"")</f>
        <v>640000</v>
      </c>
      <c r="AC589" t="str">
        <f>_xlfn.XLOOKUP(H589,tblDepartment[Department],tblDepartment[Priority_Level],"")</f>
        <v>High</v>
      </c>
      <c r="AD589" t="str">
        <f>_xlfn.XLOOKUP(H589,tblDepartment[Department],tblDepartment[Key_KPI],"")</f>
        <v>Financial Compliance</v>
      </c>
      <c r="AE589">
        <f>_xlfn.XLOOKUP(tblMaster[[#This Row],[Shift]],tblShift[Shift_Name],tblShift[Login_Time],"")</f>
        <v>0.25</v>
      </c>
      <c r="AF589">
        <f>_xlfn.XLOOKUP(tblMaster[[#This Row],[Shift]],tblShift[Shift_Name],tblShift[Logout_Time]," ")</f>
        <v>0.625</v>
      </c>
      <c r="AG589">
        <f>_xlfn.XLOOKUP(tblMaster[[#This Row],[Shift]],tblShift[Shift_Name],tblShift[Standard_Working_Hours],"")</f>
        <v>8</v>
      </c>
      <c r="AH589" t="str">
        <f>_xlfn.XLOOKUP(tblMaster[[#This Row],[Attendance_Date]],tblHoliday[Holiday_Date],tblHoliday[Holiday_Name],"Working Day")</f>
        <v>Working Day</v>
      </c>
      <c r="AI589" t="str">
        <f>_xlfn.XLOOKUP(tblMaster[[#This Row],[Attendance_Date]],tblHoliday[Holiday_Date],tblHoliday[Holiday_Type],"Working Day ")</f>
        <v xml:space="preserve">Working Day </v>
      </c>
    </row>
    <row r="590" spans="1:35" hidden="1" x14ac:dyDescent="0.3">
      <c r="A590" t="s">
        <v>779</v>
      </c>
      <c r="B590" s="3">
        <v>45682</v>
      </c>
      <c r="C590" t="s">
        <v>49</v>
      </c>
      <c r="D590" t="s">
        <v>50</v>
      </c>
      <c r="E590" t="s">
        <v>38</v>
      </c>
      <c r="F590" t="s">
        <v>88</v>
      </c>
      <c r="G590" t="s">
        <v>89</v>
      </c>
      <c r="H590" t="s">
        <v>90</v>
      </c>
      <c r="I590" t="s">
        <v>91</v>
      </c>
      <c r="J590" t="s">
        <v>43</v>
      </c>
      <c r="K590" t="s">
        <v>81</v>
      </c>
      <c r="L590" s="2">
        <v>0.91666666666666663</v>
      </c>
      <c r="N590">
        <v>9.5</v>
      </c>
      <c r="O590">
        <v>1.5</v>
      </c>
      <c r="P590" t="s">
        <v>32</v>
      </c>
      <c r="R590">
        <v>4</v>
      </c>
      <c r="S590" t="s">
        <v>45</v>
      </c>
      <c r="T590" t="s">
        <v>93</v>
      </c>
      <c r="U590" t="s">
        <v>55</v>
      </c>
      <c r="V590" t="s">
        <v>69</v>
      </c>
      <c r="W590">
        <f>_xlfn.XLOOKUP(F590,tblEmployee[Employee_ID],tblEmployee[Age],"Not Found")</f>
        <v>34</v>
      </c>
      <c r="X590" t="str">
        <f>_xlfn.XLOOKUP(F590,tblEmployee[Employee_ID],tblEmployee[Gender],"Not Found")</f>
        <v>Female</v>
      </c>
      <c r="Y590">
        <f>_xlfn.XLOOKUP(F590,tblEmployee[Employee_ID],tblEmployee[Joining_Date],"")</f>
        <v>44027</v>
      </c>
      <c r="Z590">
        <f>_xlfn.XLOOKUP(H590,tblDepartment[Department],tblDepartment[Annual_Budget_INR],"")</f>
        <v>18000000</v>
      </c>
      <c r="AA590" t="str">
        <f>_xlfn.XLOOKUP(H590,tblDepartment[Department],tblDepartment[Monthly_Target],"")</f>
        <v>&lt;30 Days Hiring Cycle</v>
      </c>
      <c r="AB590">
        <f>_xlfn.XLOOKUP(H590,tblDepartment[Department],tblDepartment[Average_Salary_INR],"")</f>
        <v>560000</v>
      </c>
      <c r="AC590" t="str">
        <f>_xlfn.XLOOKUP(H590,tblDepartment[Department],tblDepartment[Priority_Level],"")</f>
        <v>Medium</v>
      </c>
      <c r="AD590" t="str">
        <f>_xlfn.XLOOKUP(H590,tblDepartment[Department],tblDepartment[Key_KPI],"")</f>
        <v>Hiring &amp; Retention</v>
      </c>
      <c r="AE590">
        <f>_xlfn.XLOOKUP(tblMaster[[#This Row],[Shift]],tblShift[Shift_Name],tblShift[Login_Time],"")</f>
        <v>0.91666666666666663</v>
      </c>
      <c r="AF590">
        <f>_xlfn.XLOOKUP(tblMaster[[#This Row],[Shift]],tblShift[Shift_Name],tblShift[Logout_Time]," ")</f>
        <v>0.29166666666666669</v>
      </c>
      <c r="AG590">
        <f>_xlfn.XLOOKUP(tblMaster[[#This Row],[Shift]],tblShift[Shift_Name],tblShift[Standard_Working_Hours],"")</f>
        <v>8</v>
      </c>
      <c r="AH590" t="str">
        <f>_xlfn.XLOOKUP(tblMaster[[#This Row],[Attendance_Date]],tblHoliday[Holiday_Date],tblHoliday[Holiday_Name],"Working Day")</f>
        <v>Working Day</v>
      </c>
      <c r="AI590" t="str">
        <f>_xlfn.XLOOKUP(tblMaster[[#This Row],[Attendance_Date]],tblHoliday[Holiday_Date],tblHoliday[Holiday_Type],"Working Day ")</f>
        <v xml:space="preserve">Working Day </v>
      </c>
    </row>
    <row r="591" spans="1:35" hidden="1" x14ac:dyDescent="0.3">
      <c r="A591" t="s">
        <v>780</v>
      </c>
      <c r="B591" s="3">
        <v>45815</v>
      </c>
      <c r="C591" t="s">
        <v>23</v>
      </c>
      <c r="D591" t="s">
        <v>24</v>
      </c>
      <c r="E591" t="s">
        <v>38</v>
      </c>
      <c r="F591" t="s">
        <v>504</v>
      </c>
      <c r="G591" t="s">
        <v>505</v>
      </c>
      <c r="H591" t="s">
        <v>98</v>
      </c>
      <c r="I591" t="s">
        <v>99</v>
      </c>
      <c r="J591" t="s">
        <v>100</v>
      </c>
      <c r="K591" t="s">
        <v>31</v>
      </c>
      <c r="L591" s="2">
        <v>0.375</v>
      </c>
      <c r="M591" s="2">
        <v>0.75</v>
      </c>
      <c r="N591">
        <v>8</v>
      </c>
      <c r="O591">
        <v>0</v>
      </c>
      <c r="P591" t="s">
        <v>32</v>
      </c>
      <c r="R591">
        <v>4</v>
      </c>
      <c r="S591" t="s">
        <v>45</v>
      </c>
      <c r="T591" t="s">
        <v>101</v>
      </c>
      <c r="U591" t="s">
        <v>55</v>
      </c>
      <c r="V591" t="s">
        <v>69</v>
      </c>
      <c r="W591">
        <f>_xlfn.XLOOKUP(F591,tblEmployee[Employee_ID],tblEmployee[Age],"Not Found")</f>
        <v>35</v>
      </c>
      <c r="X591" t="str">
        <f>_xlfn.XLOOKUP(F591,tblEmployee[Employee_ID],tblEmployee[Gender],"Not Found")</f>
        <v>Male</v>
      </c>
      <c r="Y591">
        <f>_xlfn.XLOOKUP(F591,tblEmployee[Employee_ID],tblEmployee[Joining_Date],"")</f>
        <v>45337</v>
      </c>
      <c r="Z591">
        <f>_xlfn.XLOOKUP(H591,tblDepartment[Department],tblDepartment[Annual_Budget_INR],"")</f>
        <v>22000000</v>
      </c>
      <c r="AA591" t="str">
        <f>_xlfn.XLOOKUP(H591,tblDepartment[Department],tblDepartment[Monthly_Target],"")</f>
        <v>2500 Qualified Leads</v>
      </c>
      <c r="AB591">
        <f>_xlfn.XLOOKUP(H591,tblDepartment[Department],tblDepartment[Average_Salary_INR],"")</f>
        <v>590000</v>
      </c>
      <c r="AC591" t="str">
        <f>_xlfn.XLOOKUP(H591,tblDepartment[Department],tblDepartment[Priority_Level],"")</f>
        <v>Medium</v>
      </c>
      <c r="AD591" t="str">
        <f>_xlfn.XLOOKUP(H591,tblDepartment[Department],tblDepartment[Key_KPI],"")</f>
        <v>Lead Generation</v>
      </c>
      <c r="AE591">
        <f>_xlfn.XLOOKUP(tblMaster[[#This Row],[Shift]],tblShift[Shift_Name],tblShift[Login_Time],"")</f>
        <v>0.25</v>
      </c>
      <c r="AF591">
        <f>_xlfn.XLOOKUP(tblMaster[[#This Row],[Shift]],tblShift[Shift_Name],tblShift[Logout_Time]," ")</f>
        <v>0.625</v>
      </c>
      <c r="AG591">
        <f>_xlfn.XLOOKUP(tblMaster[[#This Row],[Shift]],tblShift[Shift_Name],tblShift[Standard_Working_Hours],"")</f>
        <v>8</v>
      </c>
      <c r="AH591" t="str">
        <f>_xlfn.XLOOKUP(tblMaster[[#This Row],[Attendance_Date]],tblHoliday[Holiday_Date],tblHoliday[Holiday_Name],"Working Day")</f>
        <v>Bakrid</v>
      </c>
      <c r="AI591" t="str">
        <f>_xlfn.XLOOKUP(tblMaster[[#This Row],[Attendance_Date]],tblHoliday[Holiday_Date],tblHoliday[Holiday_Type],"Working Day ")</f>
        <v>Restricted</v>
      </c>
    </row>
    <row r="592" spans="1:35" x14ac:dyDescent="0.3">
      <c r="A592" t="s">
        <v>781</v>
      </c>
      <c r="B592" s="1">
        <v>45771</v>
      </c>
      <c r="C592" t="s">
        <v>37</v>
      </c>
      <c r="D592" t="s">
        <v>24</v>
      </c>
      <c r="E592" t="s">
        <v>25</v>
      </c>
      <c r="F592" t="s">
        <v>309</v>
      </c>
      <c r="G592" t="s">
        <v>310</v>
      </c>
      <c r="H592" t="s">
        <v>28</v>
      </c>
      <c r="I592" t="s">
        <v>29</v>
      </c>
      <c r="J592" t="s">
        <v>43</v>
      </c>
      <c r="K592" t="s">
        <v>31</v>
      </c>
      <c r="L592" s="2">
        <v>0.375</v>
      </c>
      <c r="M592" s="2">
        <v>0.75</v>
      </c>
      <c r="N592">
        <v>8</v>
      </c>
      <c r="O592">
        <v>0</v>
      </c>
      <c r="P592" t="s">
        <v>32</v>
      </c>
      <c r="R592">
        <v>4</v>
      </c>
      <c r="S592" t="s">
        <v>67</v>
      </c>
      <c r="T592" t="s">
        <v>34</v>
      </c>
      <c r="U592" t="str">
        <f>_xlfn.XLOOKUP(tblMaster[[#This Row],[Employee_ID]],tblEmployee[Employee_ID],tblEmployee[Work_Mode]," ")</f>
        <v>Remote</v>
      </c>
      <c r="W592">
        <f>_xlfn.XLOOKUP(F592,tblEmployee[Employee_ID],tblEmployee[Age],"Not Found")</f>
        <v>39</v>
      </c>
      <c r="X592" t="str">
        <f>_xlfn.XLOOKUP(F592,tblEmployee[Employee_ID],tblEmployee[Gender],"Not Found")</f>
        <v>Male</v>
      </c>
      <c r="Y592">
        <f>_xlfn.XLOOKUP(F592,tblEmployee[Employee_ID],tblEmployee[Joining_Date],"")</f>
        <v>43449</v>
      </c>
      <c r="Z592">
        <f>_xlfn.XLOOKUP(H592,tblDepartment[Department],tblDepartment[Annual_Budget_INR],"")</f>
        <v>24000000</v>
      </c>
      <c r="AA592" t="str">
        <f>_xlfn.XLOOKUP(H592,tblDepartment[Department],tblDepartment[Monthly_Target],"")</f>
        <v>90% Customer Satisfaction</v>
      </c>
      <c r="AB592">
        <f>_xlfn.XLOOKUP(H592,tblDepartment[Department],tblDepartment[Average_Salary_INR],"")</f>
        <v>520000</v>
      </c>
      <c r="AC592" t="str">
        <f>_xlfn.XLOOKUP(H592,tblDepartment[Department],tblDepartment[Priority_Level],"")</f>
        <v>High</v>
      </c>
      <c r="AD592" t="str">
        <f>_xlfn.XLOOKUP(H592,tblDepartment[Department],tblDepartment[Key_KPI],"")</f>
        <v>Customer Satisfaction</v>
      </c>
      <c r="AE592">
        <f>_xlfn.XLOOKUP(tblMaster[[#This Row],[Shift]],tblShift[Shift_Name],tblShift[Login_Time],"")</f>
        <v>0.25</v>
      </c>
      <c r="AF592">
        <f>_xlfn.XLOOKUP(tblMaster[[#This Row],[Shift]],tblShift[Shift_Name],tblShift[Logout_Time]," ")</f>
        <v>0.625</v>
      </c>
      <c r="AG592">
        <f>_xlfn.XLOOKUP(tblMaster[[#This Row],[Shift]],tblShift[Shift_Name],tblShift[Standard_Working_Hours],"")</f>
        <v>8</v>
      </c>
      <c r="AH592" t="str">
        <f>_xlfn.XLOOKUP(tblMaster[[#This Row],[Attendance_Date]],tblHoliday[Holiday_Date],tblHoliday[Holiday_Name],"Working Day")</f>
        <v>Working Day</v>
      </c>
      <c r="AI592" t="str">
        <f>_xlfn.XLOOKUP(tblMaster[[#This Row],[Attendance_Date]],tblHoliday[Holiday_Date],tblHoliday[Holiday_Type],"Working Day ")</f>
        <v xml:space="preserve">Working Day </v>
      </c>
    </row>
    <row r="593" spans="1:35" x14ac:dyDescent="0.3">
      <c r="A593" t="s">
        <v>782</v>
      </c>
      <c r="B593" s="3">
        <v>45684</v>
      </c>
      <c r="C593" t="s">
        <v>49</v>
      </c>
      <c r="D593" t="s">
        <v>50</v>
      </c>
      <c r="E593" t="s">
        <v>109</v>
      </c>
      <c r="F593" t="s">
        <v>124</v>
      </c>
      <c r="G593" t="s">
        <v>125</v>
      </c>
      <c r="H593" t="s">
        <v>28</v>
      </c>
      <c r="I593" t="s">
        <v>29</v>
      </c>
      <c r="J593" t="s">
        <v>66</v>
      </c>
      <c r="K593" t="s">
        <v>44</v>
      </c>
      <c r="P593" t="s">
        <v>82</v>
      </c>
      <c r="Q593" t="s">
        <v>225</v>
      </c>
      <c r="S593" t="s">
        <v>33</v>
      </c>
      <c r="T593" t="s">
        <v>34</v>
      </c>
      <c r="U593" t="str">
        <f>_xlfn.XLOOKUP(tblMaster[[#This Row],[Employee_ID]],tblEmployee[Employee_ID],tblEmployee[Work_Mode]," ")</f>
        <v>Office</v>
      </c>
      <c r="V593" t="s">
        <v>35</v>
      </c>
      <c r="W593">
        <f>_xlfn.XLOOKUP(F593,tblEmployee[Employee_ID],tblEmployee[Age],"Not Found")</f>
        <v>25</v>
      </c>
      <c r="X593" t="str">
        <f>_xlfn.XLOOKUP(F593,tblEmployee[Employee_ID],tblEmployee[Gender],"Not Found")</f>
        <v>Male</v>
      </c>
      <c r="Y593">
        <f>_xlfn.XLOOKUP(F593,tblEmployee[Employee_ID],tblEmployee[Joining_Date],"")</f>
        <v>43388</v>
      </c>
      <c r="Z593">
        <f>_xlfn.XLOOKUP(H593,tblDepartment[Department],tblDepartment[Annual_Budget_INR],"")</f>
        <v>24000000</v>
      </c>
      <c r="AA593" t="str">
        <f>_xlfn.XLOOKUP(H593,tblDepartment[Department],tblDepartment[Monthly_Target],"")</f>
        <v>90% Customer Satisfaction</v>
      </c>
      <c r="AB593">
        <f>_xlfn.XLOOKUP(H593,tblDepartment[Department],tblDepartment[Average_Salary_INR],"")</f>
        <v>520000</v>
      </c>
      <c r="AC593" t="str">
        <f>_xlfn.XLOOKUP(H593,tblDepartment[Department],tblDepartment[Priority_Level],"")</f>
        <v>High</v>
      </c>
      <c r="AD593" t="str">
        <f>_xlfn.XLOOKUP(H593,tblDepartment[Department],tblDepartment[Key_KPI],"")</f>
        <v>Customer Satisfaction</v>
      </c>
      <c r="AE593">
        <f>_xlfn.XLOOKUP(tblMaster[[#This Row],[Shift]],tblShift[Shift_Name],tblShift[Login_Time],"")</f>
        <v>0.41666666666666669</v>
      </c>
      <c r="AF593">
        <f>_xlfn.XLOOKUP(tblMaster[[#This Row],[Shift]],tblShift[Shift_Name],tblShift[Logout_Time]," ")</f>
        <v>0.79166666666666663</v>
      </c>
      <c r="AG593">
        <f>_xlfn.XLOOKUP(tblMaster[[#This Row],[Shift]],tblShift[Shift_Name],tblShift[Standard_Working_Hours],"")</f>
        <v>8</v>
      </c>
      <c r="AH593" t="str">
        <f>_xlfn.XLOOKUP(tblMaster[[#This Row],[Attendance_Date]],tblHoliday[Holiday_Date],tblHoliday[Holiday_Name],"Working Day")</f>
        <v>Working Day</v>
      </c>
      <c r="AI593" t="str">
        <f>_xlfn.XLOOKUP(tblMaster[[#This Row],[Attendance_Date]],tblHoliday[Holiday_Date],tblHoliday[Holiday_Type],"Working Day ")</f>
        <v xml:space="preserve">Working Day </v>
      </c>
    </row>
    <row r="594" spans="1:35" hidden="1" x14ac:dyDescent="0.3">
      <c r="A594" t="s">
        <v>783</v>
      </c>
      <c r="B594" s="3">
        <v>45826</v>
      </c>
      <c r="C594" t="s">
        <v>23</v>
      </c>
      <c r="D594" t="s">
        <v>24</v>
      </c>
      <c r="E594" t="s">
        <v>51</v>
      </c>
      <c r="F594" t="s">
        <v>275</v>
      </c>
      <c r="G594" t="s">
        <v>276</v>
      </c>
      <c r="H594" t="s">
        <v>64</v>
      </c>
      <c r="I594" t="s">
        <v>65</v>
      </c>
      <c r="J594" t="s">
        <v>100</v>
      </c>
      <c r="K594" t="s">
        <v>44</v>
      </c>
      <c r="L594" s="2">
        <v>0.375</v>
      </c>
      <c r="M594" s="2">
        <v>0.75</v>
      </c>
      <c r="N594">
        <v>9</v>
      </c>
      <c r="O594">
        <v>1</v>
      </c>
      <c r="P594" t="s">
        <v>32</v>
      </c>
      <c r="R594">
        <v>5</v>
      </c>
      <c r="S594" t="s">
        <v>92</v>
      </c>
      <c r="T594" t="s">
        <v>68</v>
      </c>
      <c r="U594" t="s">
        <v>55</v>
      </c>
      <c r="W594">
        <f>_xlfn.XLOOKUP(F594,tblEmployee[Employee_ID],tblEmployee[Age],"Not Found")</f>
        <v>29</v>
      </c>
      <c r="X594" t="str">
        <f>_xlfn.XLOOKUP(F594,tblEmployee[Employee_ID],tblEmployee[Gender],"Not Found")</f>
        <v>Male</v>
      </c>
      <c r="Y594">
        <f>_xlfn.XLOOKUP(F594,tblEmployee[Employee_ID],tblEmployee[Joining_Date],"")</f>
        <v>43692</v>
      </c>
      <c r="Z594">
        <f>_xlfn.XLOOKUP(H594,tblDepartment[Department],tblDepartment[Annual_Budget_INR],"")</f>
        <v>85000000</v>
      </c>
      <c r="AA594" t="str">
        <f>_xlfn.XLOOKUP(H594,tblDepartment[Department],tblDepartment[Monthly_Target],"")</f>
        <v>99.5% System Uptime</v>
      </c>
      <c r="AB594">
        <f>_xlfn.XLOOKUP(H594,tblDepartment[Department],tblDepartment[Average_Salary_INR],"")</f>
        <v>720000</v>
      </c>
      <c r="AC594" t="str">
        <f>_xlfn.XLOOKUP(H594,tblDepartment[Department],tblDepartment[Priority_Level],"")</f>
        <v>High</v>
      </c>
      <c r="AD594" t="str">
        <f>_xlfn.XLOOKUP(H594,tblDepartment[Department],tblDepartment[Key_KPI],"")</f>
        <v>Project Delivery</v>
      </c>
      <c r="AE594">
        <f>_xlfn.XLOOKUP(tblMaster[[#This Row],[Shift]],tblShift[Shift_Name],tblShift[Login_Time],"")</f>
        <v>0.41666666666666669</v>
      </c>
      <c r="AF594">
        <f>_xlfn.XLOOKUP(tblMaster[[#This Row],[Shift]],tblShift[Shift_Name],tblShift[Logout_Time]," ")</f>
        <v>0.79166666666666663</v>
      </c>
      <c r="AG594">
        <f>_xlfn.XLOOKUP(tblMaster[[#This Row],[Shift]],tblShift[Shift_Name],tblShift[Standard_Working_Hours],"")</f>
        <v>8</v>
      </c>
      <c r="AH594" t="str">
        <f>_xlfn.XLOOKUP(tblMaster[[#This Row],[Attendance_Date]],tblHoliday[Holiday_Date],tblHoliday[Holiday_Name],"Working Day")</f>
        <v>Working Day</v>
      </c>
      <c r="AI594" t="str">
        <f>_xlfn.XLOOKUP(tblMaster[[#This Row],[Attendance_Date]],tblHoliday[Holiday_Date],tblHoliday[Holiday_Type],"Working Day ")</f>
        <v xml:space="preserve">Working Day </v>
      </c>
    </row>
    <row r="595" spans="1:35" x14ac:dyDescent="0.3">
      <c r="A595" t="s">
        <v>784</v>
      </c>
      <c r="B595" s="3">
        <v>45686</v>
      </c>
      <c r="C595" t="s">
        <v>49</v>
      </c>
      <c r="D595" t="s">
        <v>50</v>
      </c>
      <c r="E595" t="s">
        <v>51</v>
      </c>
      <c r="F595" t="s">
        <v>215</v>
      </c>
      <c r="G595" t="s">
        <v>216</v>
      </c>
      <c r="H595" t="s">
        <v>79</v>
      </c>
      <c r="I595" t="s">
        <v>80</v>
      </c>
      <c r="J595" t="s">
        <v>30</v>
      </c>
      <c r="K595" t="s">
        <v>75</v>
      </c>
      <c r="P595" t="s">
        <v>135</v>
      </c>
      <c r="S595" t="s">
        <v>92</v>
      </c>
      <c r="T595" t="s">
        <v>84</v>
      </c>
      <c r="U595" t="str">
        <f>_xlfn.XLOOKUP(tblMaster[[#This Row],[Employee_ID]],tblEmployee[Employee_ID],tblEmployee[Work_Mode]," ")</f>
        <v>Office</v>
      </c>
      <c r="V595" t="s">
        <v>60</v>
      </c>
      <c r="W595">
        <f>_xlfn.XLOOKUP(F595,tblEmployee[Employee_ID],tblEmployee[Age],"Not Found")</f>
        <v>25</v>
      </c>
      <c r="X595" t="str">
        <f>_xlfn.XLOOKUP(F595,tblEmployee[Employee_ID],tblEmployee[Gender],"Not Found")</f>
        <v>Female</v>
      </c>
      <c r="Y595">
        <f>_xlfn.XLOOKUP(F595,tblEmployee[Employee_ID],tblEmployee[Joining_Date],"")</f>
        <v>44666</v>
      </c>
      <c r="Z595">
        <f>_xlfn.XLOOKUP(H595,tblDepartment[Department],tblDepartment[Annual_Budget_INR],"")</f>
        <v>26000000</v>
      </c>
      <c r="AA595" t="str">
        <f>_xlfn.XLOOKUP(H595,tblDepartment[Department],tblDepartment[Monthly_Target],"")</f>
        <v>100% Payroll Accuracy</v>
      </c>
      <c r="AB595">
        <f>_xlfn.XLOOKUP(H595,tblDepartment[Department],tblDepartment[Average_Salary_INR],"")</f>
        <v>640000</v>
      </c>
      <c r="AC595" t="str">
        <f>_xlfn.XLOOKUP(H595,tblDepartment[Department],tblDepartment[Priority_Level],"")</f>
        <v>High</v>
      </c>
      <c r="AD595" t="str">
        <f>_xlfn.XLOOKUP(H595,tblDepartment[Department],tblDepartment[Key_KPI],"")</f>
        <v>Financial Compliance</v>
      </c>
      <c r="AE595">
        <f>_xlfn.XLOOKUP(tblMaster[[#This Row],[Shift]],tblShift[Shift_Name],tblShift[Login_Time],"")</f>
        <v>0.375</v>
      </c>
      <c r="AF595">
        <f>_xlfn.XLOOKUP(tblMaster[[#This Row],[Shift]],tblShift[Shift_Name],tblShift[Logout_Time]," ")</f>
        <v>0.75</v>
      </c>
      <c r="AG595">
        <f>_xlfn.XLOOKUP(tblMaster[[#This Row],[Shift]],tblShift[Shift_Name],tblShift[Standard_Working_Hours],"")</f>
        <v>8</v>
      </c>
      <c r="AH595" t="str">
        <f>_xlfn.XLOOKUP(tblMaster[[#This Row],[Attendance_Date]],tblHoliday[Holiday_Date],tblHoliday[Holiday_Name],"Working Day")</f>
        <v>Working Day</v>
      </c>
      <c r="AI595" t="str">
        <f>_xlfn.XLOOKUP(tblMaster[[#This Row],[Attendance_Date]],tblHoliday[Holiday_Date],tblHoliday[Holiday_Type],"Working Day ")</f>
        <v xml:space="preserve">Working Day </v>
      </c>
    </row>
    <row r="596" spans="1:35" hidden="1" x14ac:dyDescent="0.3">
      <c r="A596" t="s">
        <v>785</v>
      </c>
      <c r="B596" s="3">
        <v>45734</v>
      </c>
      <c r="C596" t="s">
        <v>71</v>
      </c>
      <c r="D596" t="s">
        <v>50</v>
      </c>
      <c r="E596" t="s">
        <v>87</v>
      </c>
      <c r="F596" t="s">
        <v>240</v>
      </c>
      <c r="G596" t="s">
        <v>241</v>
      </c>
      <c r="H596" t="s">
        <v>41</v>
      </c>
      <c r="I596" t="s">
        <v>42</v>
      </c>
      <c r="J596" t="s">
        <v>66</v>
      </c>
      <c r="K596" t="s">
        <v>75</v>
      </c>
      <c r="L596" s="2">
        <v>0.375</v>
      </c>
      <c r="M596" s="2">
        <v>0.75</v>
      </c>
      <c r="N596">
        <v>8</v>
      </c>
      <c r="O596">
        <v>0</v>
      </c>
      <c r="P596" t="s">
        <v>32</v>
      </c>
      <c r="R596">
        <v>5</v>
      </c>
      <c r="S596" t="s">
        <v>67</v>
      </c>
      <c r="T596" t="s">
        <v>46</v>
      </c>
      <c r="U596" t="s">
        <v>55</v>
      </c>
      <c r="W596">
        <f>_xlfn.XLOOKUP(F596,tblEmployee[Employee_ID],tblEmployee[Age],"Not Found")</f>
        <v>30</v>
      </c>
      <c r="X596" t="str">
        <f>_xlfn.XLOOKUP(F596,tblEmployee[Employee_ID],tblEmployee[Gender],"Not Found")</f>
        <v>Female</v>
      </c>
      <c r="Y596">
        <f>_xlfn.XLOOKUP(F596,tblEmployee[Employee_ID],tblEmployee[Joining_Date],"")</f>
        <v>45000</v>
      </c>
      <c r="Z596">
        <f>_xlfn.XLOOKUP(H596,tblDepartment[Department],tblDepartment[Annual_Budget_INR],"")</f>
        <v>34000000</v>
      </c>
      <c r="AA596" t="str">
        <f>_xlfn.XLOOKUP(H596,tblDepartment[Department],tblDepartment[Monthly_Target],"")</f>
        <v>95% Process Efficiency</v>
      </c>
      <c r="AB596">
        <f>_xlfn.XLOOKUP(H596,tblDepartment[Department],tblDepartment[Average_Salary_INR],"")</f>
        <v>610000</v>
      </c>
      <c r="AC596" t="str">
        <f>_xlfn.XLOOKUP(H596,tblDepartment[Department],tblDepartment[Priority_Level],"")</f>
        <v>High</v>
      </c>
      <c r="AD596" t="str">
        <f>_xlfn.XLOOKUP(H596,tblDepartment[Department],tblDepartment[Key_KPI],"")</f>
        <v>Operational Efficiency</v>
      </c>
      <c r="AE596">
        <f>_xlfn.XLOOKUP(tblMaster[[#This Row],[Shift]],tblShift[Shift_Name],tblShift[Login_Time],"")</f>
        <v>0.375</v>
      </c>
      <c r="AF596">
        <f>_xlfn.XLOOKUP(tblMaster[[#This Row],[Shift]],tblShift[Shift_Name],tblShift[Logout_Time]," ")</f>
        <v>0.75</v>
      </c>
      <c r="AG596">
        <f>_xlfn.XLOOKUP(tblMaster[[#This Row],[Shift]],tblShift[Shift_Name],tblShift[Standard_Working_Hours],"")</f>
        <v>8</v>
      </c>
      <c r="AH596" t="str">
        <f>_xlfn.XLOOKUP(tblMaster[[#This Row],[Attendance_Date]],tblHoliday[Holiday_Date],tblHoliday[Holiday_Name],"Working Day")</f>
        <v>Working Day</v>
      </c>
      <c r="AI596" t="str">
        <f>_xlfn.XLOOKUP(tblMaster[[#This Row],[Attendance_Date]],tblHoliday[Holiday_Date],tblHoliday[Holiday_Type],"Working Day ")</f>
        <v xml:space="preserve">Working Day </v>
      </c>
    </row>
    <row r="597" spans="1:35" hidden="1" x14ac:dyDescent="0.3">
      <c r="A597" t="s">
        <v>786</v>
      </c>
      <c r="B597" s="1">
        <v>45826</v>
      </c>
      <c r="C597" t="s">
        <v>23</v>
      </c>
      <c r="D597" t="s">
        <v>24</v>
      </c>
      <c r="E597" t="s">
        <v>51</v>
      </c>
      <c r="F597" t="s">
        <v>72</v>
      </c>
      <c r="G597" t="s">
        <v>73</v>
      </c>
      <c r="H597" t="s">
        <v>28</v>
      </c>
      <c r="I597" t="s">
        <v>29</v>
      </c>
      <c r="J597" t="s">
        <v>74</v>
      </c>
      <c r="K597" t="s">
        <v>31</v>
      </c>
      <c r="L597" s="2">
        <v>0.375</v>
      </c>
      <c r="M597" s="2">
        <v>0.75</v>
      </c>
      <c r="N597">
        <v>8</v>
      </c>
      <c r="O597">
        <v>0</v>
      </c>
      <c r="P597" t="s">
        <v>32</v>
      </c>
      <c r="S597" t="s">
        <v>33</v>
      </c>
      <c r="T597" t="s">
        <v>34</v>
      </c>
      <c r="U597" t="s">
        <v>47</v>
      </c>
      <c r="V597" t="s">
        <v>35</v>
      </c>
      <c r="W597">
        <f>_xlfn.XLOOKUP(F597,tblEmployee[Employee_ID],tblEmployee[Age],"Not Found")</f>
        <v>28</v>
      </c>
      <c r="X597" t="str">
        <f>_xlfn.XLOOKUP(F597,tblEmployee[Employee_ID],tblEmployee[Gender],"Not Found")</f>
        <v>Female</v>
      </c>
      <c r="Y597">
        <f>_xlfn.XLOOKUP(F597,tblEmployee[Employee_ID],tblEmployee[Joining_Date],"")</f>
        <v>43296</v>
      </c>
      <c r="Z597">
        <f>_xlfn.XLOOKUP(H597,tblDepartment[Department],tblDepartment[Annual_Budget_INR],"")</f>
        <v>24000000</v>
      </c>
      <c r="AA597" t="str">
        <f>_xlfn.XLOOKUP(H597,tblDepartment[Department],tblDepartment[Monthly_Target],"")</f>
        <v>90% Customer Satisfaction</v>
      </c>
      <c r="AB597">
        <f>_xlfn.XLOOKUP(H597,tblDepartment[Department],tblDepartment[Average_Salary_INR],"")</f>
        <v>520000</v>
      </c>
      <c r="AC597" t="str">
        <f>_xlfn.XLOOKUP(H597,tblDepartment[Department],tblDepartment[Priority_Level],"")</f>
        <v>High</v>
      </c>
      <c r="AD597" t="str">
        <f>_xlfn.XLOOKUP(H597,tblDepartment[Department],tblDepartment[Key_KPI],"")</f>
        <v>Customer Satisfaction</v>
      </c>
      <c r="AE597">
        <f>_xlfn.XLOOKUP(tblMaster[[#This Row],[Shift]],tblShift[Shift_Name],tblShift[Login_Time],"")</f>
        <v>0.25</v>
      </c>
      <c r="AF597">
        <f>_xlfn.XLOOKUP(tblMaster[[#This Row],[Shift]],tblShift[Shift_Name],tblShift[Logout_Time]," ")</f>
        <v>0.625</v>
      </c>
      <c r="AG597">
        <f>_xlfn.XLOOKUP(tblMaster[[#This Row],[Shift]],tblShift[Shift_Name],tblShift[Standard_Working_Hours],"")</f>
        <v>8</v>
      </c>
      <c r="AH597" t="str">
        <f>_xlfn.XLOOKUP(tblMaster[[#This Row],[Attendance_Date]],tblHoliday[Holiday_Date],tblHoliday[Holiday_Name],"Working Day")</f>
        <v>Working Day</v>
      </c>
      <c r="AI597" t="str">
        <f>_xlfn.XLOOKUP(tblMaster[[#This Row],[Attendance_Date]],tblHoliday[Holiday_Date],tblHoliday[Holiday_Type],"Working Day ")</f>
        <v xml:space="preserve">Working Day </v>
      </c>
    </row>
    <row r="598" spans="1:35" hidden="1" x14ac:dyDescent="0.3">
      <c r="A598" t="s">
        <v>787</v>
      </c>
      <c r="B598" s="1">
        <v>45838</v>
      </c>
      <c r="C598" t="s">
        <v>23</v>
      </c>
      <c r="D598" t="s">
        <v>24</v>
      </c>
      <c r="E598" t="s">
        <v>109</v>
      </c>
      <c r="F598" t="s">
        <v>258</v>
      </c>
      <c r="G598" t="s">
        <v>259</v>
      </c>
      <c r="H598" t="s">
        <v>112</v>
      </c>
      <c r="I598" t="s">
        <v>113</v>
      </c>
      <c r="J598" t="s">
        <v>74</v>
      </c>
      <c r="K598" t="s">
        <v>31</v>
      </c>
      <c r="L598" s="2">
        <v>0.38194444444444442</v>
      </c>
      <c r="M598" s="2">
        <v>0.75</v>
      </c>
      <c r="N598">
        <v>8</v>
      </c>
      <c r="O598">
        <v>0</v>
      </c>
      <c r="P598" t="s">
        <v>32</v>
      </c>
      <c r="S598" t="s">
        <v>92</v>
      </c>
      <c r="T598" t="s">
        <v>114</v>
      </c>
      <c r="U598" t="s">
        <v>55</v>
      </c>
      <c r="V598" t="s">
        <v>60</v>
      </c>
      <c r="W598">
        <f>_xlfn.XLOOKUP(F598,tblEmployee[Employee_ID],tblEmployee[Age],"Not Found")</f>
        <v>39</v>
      </c>
      <c r="X598" t="str">
        <f>_xlfn.XLOOKUP(F598,tblEmployee[Employee_ID],tblEmployee[Gender],"Not Found")</f>
        <v>Male</v>
      </c>
      <c r="Y598">
        <f>_xlfn.XLOOKUP(F598,tblEmployee[Employee_ID],tblEmployee[Joining_Date],"")</f>
        <v>44362</v>
      </c>
      <c r="Z598">
        <f>_xlfn.XLOOKUP(H598,tblDepartment[Department],tblDepartment[Annual_Budget_INR],"")</f>
        <v>42000000</v>
      </c>
      <c r="AA598" t="str">
        <f>_xlfn.XLOOKUP(H598,tblDepartment[Department],tblDepartment[Monthly_Target],"")</f>
        <v>₹2.5 Cr Monthly Sales</v>
      </c>
      <c r="AB598">
        <f>_xlfn.XLOOKUP(H598,tblDepartment[Department],tblDepartment[Average_Salary_INR],"")</f>
        <v>680000</v>
      </c>
      <c r="AC598" t="str">
        <f>_xlfn.XLOOKUP(H598,tblDepartment[Department],tblDepartment[Priority_Level],"")</f>
        <v>High</v>
      </c>
      <c r="AD598" t="str">
        <f>_xlfn.XLOOKUP(H598,tblDepartment[Department],tblDepartment[Key_KPI],"")</f>
        <v>Revenue Achievement</v>
      </c>
      <c r="AE598">
        <f>_xlfn.XLOOKUP(tblMaster[[#This Row],[Shift]],tblShift[Shift_Name],tblShift[Login_Time],"")</f>
        <v>0.25</v>
      </c>
      <c r="AF598">
        <f>_xlfn.XLOOKUP(tblMaster[[#This Row],[Shift]],tblShift[Shift_Name],tblShift[Logout_Time]," ")</f>
        <v>0.625</v>
      </c>
      <c r="AG598">
        <f>_xlfn.XLOOKUP(tblMaster[[#This Row],[Shift]],tblShift[Shift_Name],tblShift[Standard_Working_Hours],"")</f>
        <v>8</v>
      </c>
      <c r="AH598" t="str">
        <f>_xlfn.XLOOKUP(tblMaster[[#This Row],[Attendance_Date]],tblHoliday[Holiday_Date],tblHoliday[Holiday_Name],"Working Day")</f>
        <v>Working Day</v>
      </c>
      <c r="AI598" t="str">
        <f>_xlfn.XLOOKUP(tblMaster[[#This Row],[Attendance_Date]],tblHoliday[Holiday_Date],tblHoliday[Holiday_Type],"Working Day ")</f>
        <v xml:space="preserve">Working Day </v>
      </c>
    </row>
    <row r="599" spans="1:35" x14ac:dyDescent="0.3">
      <c r="A599" t="s">
        <v>788</v>
      </c>
      <c r="B599" s="3">
        <v>45739</v>
      </c>
      <c r="C599" t="s">
        <v>71</v>
      </c>
      <c r="D599" t="s">
        <v>50</v>
      </c>
      <c r="E599" t="s">
        <v>103</v>
      </c>
      <c r="F599" t="s">
        <v>240</v>
      </c>
      <c r="G599" t="s">
        <v>241</v>
      </c>
      <c r="H599" t="s">
        <v>41</v>
      </c>
      <c r="I599" t="s">
        <v>42</v>
      </c>
      <c r="J599" t="s">
        <v>66</v>
      </c>
      <c r="K599" t="s">
        <v>31</v>
      </c>
      <c r="L599" s="2">
        <v>0.375</v>
      </c>
      <c r="M599" s="2">
        <v>0.75</v>
      </c>
      <c r="N599">
        <v>8</v>
      </c>
      <c r="O599">
        <v>0</v>
      </c>
      <c r="P599" t="s">
        <v>32</v>
      </c>
      <c r="R599">
        <v>3</v>
      </c>
      <c r="S599" t="s">
        <v>92</v>
      </c>
      <c r="T599" t="s">
        <v>46</v>
      </c>
      <c r="U599" t="str">
        <f>_xlfn.XLOOKUP(tblMaster[[#This Row],[Employee_ID]],tblEmployee[Employee_ID],tblEmployee[Work_Mode]," ")</f>
        <v>Remote</v>
      </c>
      <c r="V599" t="s">
        <v>69</v>
      </c>
      <c r="W599">
        <f>_xlfn.XLOOKUP(F599,tblEmployee[Employee_ID],tblEmployee[Age],"Not Found")</f>
        <v>30</v>
      </c>
      <c r="X599" t="str">
        <f>_xlfn.XLOOKUP(F599,tblEmployee[Employee_ID],tblEmployee[Gender],"Not Found")</f>
        <v>Female</v>
      </c>
      <c r="Y599">
        <f>_xlfn.XLOOKUP(F599,tblEmployee[Employee_ID],tblEmployee[Joining_Date],"")</f>
        <v>45000</v>
      </c>
      <c r="Z599">
        <f>_xlfn.XLOOKUP(H599,tblDepartment[Department],tblDepartment[Annual_Budget_INR],"")</f>
        <v>34000000</v>
      </c>
      <c r="AA599" t="str">
        <f>_xlfn.XLOOKUP(H599,tblDepartment[Department],tblDepartment[Monthly_Target],"")</f>
        <v>95% Process Efficiency</v>
      </c>
      <c r="AB599">
        <f>_xlfn.XLOOKUP(H599,tblDepartment[Department],tblDepartment[Average_Salary_INR],"")</f>
        <v>610000</v>
      </c>
      <c r="AC599" t="str">
        <f>_xlfn.XLOOKUP(H599,tblDepartment[Department],tblDepartment[Priority_Level],"")</f>
        <v>High</v>
      </c>
      <c r="AD599" t="str">
        <f>_xlfn.XLOOKUP(H599,tblDepartment[Department],tblDepartment[Key_KPI],"")</f>
        <v>Operational Efficiency</v>
      </c>
      <c r="AE599">
        <f>_xlfn.XLOOKUP(tblMaster[[#This Row],[Shift]],tblShift[Shift_Name],tblShift[Login_Time],"")</f>
        <v>0.25</v>
      </c>
      <c r="AF599">
        <f>_xlfn.XLOOKUP(tblMaster[[#This Row],[Shift]],tblShift[Shift_Name],tblShift[Logout_Time]," ")</f>
        <v>0.625</v>
      </c>
      <c r="AG599">
        <f>_xlfn.XLOOKUP(tblMaster[[#This Row],[Shift]],tblShift[Shift_Name],tblShift[Standard_Working_Hours],"")</f>
        <v>8</v>
      </c>
      <c r="AH599" t="str">
        <f>_xlfn.XLOOKUP(tblMaster[[#This Row],[Attendance_Date]],tblHoliday[Holiday_Date],tblHoliday[Holiday_Name],"Working Day")</f>
        <v>Working Day</v>
      </c>
      <c r="AI599" t="str">
        <f>_xlfn.XLOOKUP(tblMaster[[#This Row],[Attendance_Date]],tblHoliday[Holiday_Date],tblHoliday[Holiday_Type],"Working Day ")</f>
        <v xml:space="preserve">Working Day </v>
      </c>
    </row>
    <row r="600" spans="1:35" x14ac:dyDescent="0.3">
      <c r="A600" t="s">
        <v>789</v>
      </c>
      <c r="B600" s="3">
        <v>45769</v>
      </c>
      <c r="C600" t="s">
        <v>37</v>
      </c>
      <c r="D600" t="s">
        <v>24</v>
      </c>
      <c r="E600" t="s">
        <v>87</v>
      </c>
      <c r="F600" t="s">
        <v>145</v>
      </c>
      <c r="G600" t="s">
        <v>146</v>
      </c>
      <c r="H600" t="s">
        <v>90</v>
      </c>
      <c r="I600" t="s">
        <v>91</v>
      </c>
      <c r="J600" t="s">
        <v>100</v>
      </c>
      <c r="K600" t="s">
        <v>44</v>
      </c>
      <c r="L600" s="2">
        <v>0.375</v>
      </c>
      <c r="M600" s="2">
        <v>0.75</v>
      </c>
      <c r="N600">
        <v>8</v>
      </c>
      <c r="O600">
        <v>0</v>
      </c>
      <c r="P600" t="s">
        <v>32</v>
      </c>
      <c r="R600">
        <v>3</v>
      </c>
      <c r="S600" t="s">
        <v>45</v>
      </c>
      <c r="T600" t="s">
        <v>93</v>
      </c>
      <c r="U600" t="str">
        <f>_xlfn.XLOOKUP(tblMaster[[#This Row],[Employee_ID]],tblEmployee[Employee_ID],tblEmployee[Work_Mode]," ")</f>
        <v>Remote</v>
      </c>
      <c r="V600" t="s">
        <v>60</v>
      </c>
      <c r="W600">
        <f>_xlfn.XLOOKUP(F600,tblEmployee[Employee_ID],tblEmployee[Age],"Not Found")</f>
        <v>27</v>
      </c>
      <c r="X600" t="str">
        <f>_xlfn.XLOOKUP(F600,tblEmployee[Employee_ID],tblEmployee[Gender],"Not Found")</f>
        <v>Male</v>
      </c>
      <c r="Y600">
        <f>_xlfn.XLOOKUP(F600,tblEmployee[Employee_ID],tblEmployee[Joining_Date],"")</f>
        <v>44180</v>
      </c>
      <c r="Z600">
        <f>_xlfn.XLOOKUP(H600,tblDepartment[Department],tblDepartment[Annual_Budget_INR],"")</f>
        <v>18000000</v>
      </c>
      <c r="AA600" t="str">
        <f>_xlfn.XLOOKUP(H600,tblDepartment[Department],tblDepartment[Monthly_Target],"")</f>
        <v>&lt;30 Days Hiring Cycle</v>
      </c>
      <c r="AB600">
        <f>_xlfn.XLOOKUP(H600,tblDepartment[Department],tblDepartment[Average_Salary_INR],"")</f>
        <v>560000</v>
      </c>
      <c r="AC600" t="str">
        <f>_xlfn.XLOOKUP(H600,tblDepartment[Department],tblDepartment[Priority_Level],"")</f>
        <v>Medium</v>
      </c>
      <c r="AD600" t="str">
        <f>_xlfn.XLOOKUP(H600,tblDepartment[Department],tblDepartment[Key_KPI],"")</f>
        <v>Hiring &amp; Retention</v>
      </c>
      <c r="AE600">
        <f>_xlfn.XLOOKUP(tblMaster[[#This Row],[Shift]],tblShift[Shift_Name],tblShift[Login_Time],"")</f>
        <v>0.41666666666666669</v>
      </c>
      <c r="AF600">
        <f>_xlfn.XLOOKUP(tblMaster[[#This Row],[Shift]],tblShift[Shift_Name],tblShift[Logout_Time]," ")</f>
        <v>0.79166666666666663</v>
      </c>
      <c r="AG600">
        <f>_xlfn.XLOOKUP(tblMaster[[#This Row],[Shift]],tblShift[Shift_Name],tblShift[Standard_Working_Hours],"")</f>
        <v>8</v>
      </c>
      <c r="AH600" t="str">
        <f>_xlfn.XLOOKUP(tblMaster[[#This Row],[Attendance_Date]],tblHoliday[Holiday_Date],tblHoliday[Holiday_Name],"Working Day")</f>
        <v>Working Day</v>
      </c>
      <c r="AI600" t="str">
        <f>_xlfn.XLOOKUP(tblMaster[[#This Row],[Attendance_Date]],tblHoliday[Holiday_Date],tblHoliday[Holiday_Type],"Working Day ")</f>
        <v xml:space="preserve">Working Day </v>
      </c>
    </row>
    <row r="601" spans="1:35" hidden="1" x14ac:dyDescent="0.3">
      <c r="A601" t="s">
        <v>790</v>
      </c>
      <c r="B601" s="3">
        <v>45828</v>
      </c>
      <c r="C601" t="s">
        <v>23</v>
      </c>
      <c r="D601" t="s">
        <v>24</v>
      </c>
      <c r="E601" t="s">
        <v>119</v>
      </c>
      <c r="F601" t="s">
        <v>207</v>
      </c>
      <c r="G601" t="s">
        <v>208</v>
      </c>
      <c r="H601" t="s">
        <v>64</v>
      </c>
      <c r="I601" t="s">
        <v>65</v>
      </c>
      <c r="J601" t="s">
        <v>30</v>
      </c>
      <c r="K601" t="s">
        <v>31</v>
      </c>
      <c r="L601" s="2">
        <v>0.375</v>
      </c>
      <c r="M601" s="2">
        <v>0.75</v>
      </c>
      <c r="N601">
        <v>8.5</v>
      </c>
      <c r="O601">
        <v>0.5</v>
      </c>
      <c r="P601" t="s">
        <v>32</v>
      </c>
      <c r="R601">
        <v>4</v>
      </c>
      <c r="S601" t="s">
        <v>67</v>
      </c>
      <c r="T601" t="s">
        <v>68</v>
      </c>
      <c r="U601" t="s">
        <v>47</v>
      </c>
      <c r="W601">
        <f>_xlfn.XLOOKUP(F601,tblEmployee[Employee_ID],tblEmployee[Age],"Not Found")</f>
        <v>33</v>
      </c>
      <c r="X601" t="str">
        <f>_xlfn.XLOOKUP(F601,tblEmployee[Employee_ID],tblEmployee[Gender],"Not Found")</f>
        <v>Male</v>
      </c>
      <c r="Y601">
        <f>_xlfn.XLOOKUP(F601,tblEmployee[Employee_ID],tblEmployee[Joining_Date],"")</f>
        <v>43631</v>
      </c>
      <c r="Z601">
        <f>_xlfn.XLOOKUP(H601,tblDepartment[Department],tblDepartment[Annual_Budget_INR],"")</f>
        <v>85000000</v>
      </c>
      <c r="AA601" t="str">
        <f>_xlfn.XLOOKUP(H601,tblDepartment[Department],tblDepartment[Monthly_Target],"")</f>
        <v>99.5% System Uptime</v>
      </c>
      <c r="AB601">
        <f>_xlfn.XLOOKUP(H601,tblDepartment[Department],tblDepartment[Average_Salary_INR],"")</f>
        <v>720000</v>
      </c>
      <c r="AC601" t="str">
        <f>_xlfn.XLOOKUP(H601,tblDepartment[Department],tblDepartment[Priority_Level],"")</f>
        <v>High</v>
      </c>
      <c r="AD601" t="str">
        <f>_xlfn.XLOOKUP(H601,tblDepartment[Department],tblDepartment[Key_KPI],"")</f>
        <v>Project Delivery</v>
      </c>
      <c r="AE601">
        <f>_xlfn.XLOOKUP(tblMaster[[#This Row],[Shift]],tblShift[Shift_Name],tblShift[Login_Time],"")</f>
        <v>0.25</v>
      </c>
      <c r="AF601">
        <f>_xlfn.XLOOKUP(tblMaster[[#This Row],[Shift]],tblShift[Shift_Name],tblShift[Logout_Time]," ")</f>
        <v>0.625</v>
      </c>
      <c r="AG601">
        <f>_xlfn.XLOOKUP(tblMaster[[#This Row],[Shift]],tblShift[Shift_Name],tblShift[Standard_Working_Hours],"")</f>
        <v>8</v>
      </c>
      <c r="AH601" t="str">
        <f>_xlfn.XLOOKUP(tblMaster[[#This Row],[Attendance_Date]],tblHoliday[Holiday_Date],tblHoliday[Holiday_Name],"Working Day")</f>
        <v>Working Day</v>
      </c>
      <c r="AI601" t="str">
        <f>_xlfn.XLOOKUP(tblMaster[[#This Row],[Attendance_Date]],tblHoliday[Holiday_Date],tblHoliday[Holiday_Type],"Working Day ")</f>
        <v xml:space="preserve">Working Day </v>
      </c>
    </row>
    <row r="602" spans="1:35" hidden="1" x14ac:dyDescent="0.3">
      <c r="A602" t="s">
        <v>791</v>
      </c>
      <c r="B602" s="3">
        <v>45770</v>
      </c>
      <c r="C602" t="s">
        <v>37</v>
      </c>
      <c r="D602" t="s">
        <v>24</v>
      </c>
      <c r="E602" t="s">
        <v>51</v>
      </c>
      <c r="F602" t="s">
        <v>228</v>
      </c>
      <c r="G602" t="s">
        <v>229</v>
      </c>
      <c r="H602" t="s">
        <v>79</v>
      </c>
      <c r="I602" t="s">
        <v>80</v>
      </c>
      <c r="J602" t="s">
        <v>43</v>
      </c>
      <c r="K602" t="s">
        <v>81</v>
      </c>
      <c r="L602" s="2">
        <v>0.91666666666666663</v>
      </c>
      <c r="M602" s="2">
        <v>0.29166666666666669</v>
      </c>
      <c r="N602">
        <v>9.5</v>
      </c>
      <c r="O602">
        <v>1.5</v>
      </c>
      <c r="P602" t="s">
        <v>32</v>
      </c>
      <c r="R602">
        <v>4</v>
      </c>
      <c r="S602" t="s">
        <v>67</v>
      </c>
      <c r="T602" t="s">
        <v>84</v>
      </c>
      <c r="U602" t="s">
        <v>47</v>
      </c>
      <c r="V602" t="s">
        <v>35</v>
      </c>
      <c r="W602">
        <f>_xlfn.XLOOKUP(F602,tblEmployee[Employee_ID],tblEmployee[Age],"Not Found")</f>
        <v>29</v>
      </c>
      <c r="X602" t="str">
        <f>_xlfn.XLOOKUP(F602,tblEmployee[Employee_ID],tblEmployee[Gender],"Not Found")</f>
        <v>Female</v>
      </c>
      <c r="Y602">
        <f>_xlfn.XLOOKUP(F602,tblEmployee[Employee_ID],tblEmployee[Joining_Date],"")</f>
        <v>44607</v>
      </c>
      <c r="Z602">
        <f>_xlfn.XLOOKUP(H602,tblDepartment[Department],tblDepartment[Annual_Budget_INR],"")</f>
        <v>26000000</v>
      </c>
      <c r="AA602" t="str">
        <f>_xlfn.XLOOKUP(H602,tblDepartment[Department],tblDepartment[Monthly_Target],"")</f>
        <v>100% Payroll Accuracy</v>
      </c>
      <c r="AB602">
        <f>_xlfn.XLOOKUP(H602,tblDepartment[Department],tblDepartment[Average_Salary_INR],"")</f>
        <v>640000</v>
      </c>
      <c r="AC602" t="str">
        <f>_xlfn.XLOOKUP(H602,tblDepartment[Department],tblDepartment[Priority_Level],"")</f>
        <v>High</v>
      </c>
      <c r="AD602" t="str">
        <f>_xlfn.XLOOKUP(H602,tblDepartment[Department],tblDepartment[Key_KPI],"")</f>
        <v>Financial Compliance</v>
      </c>
      <c r="AE602">
        <f>_xlfn.XLOOKUP(tblMaster[[#This Row],[Shift]],tblShift[Shift_Name],tblShift[Login_Time],"")</f>
        <v>0.91666666666666663</v>
      </c>
      <c r="AF602">
        <f>_xlfn.XLOOKUP(tblMaster[[#This Row],[Shift]],tblShift[Shift_Name],tblShift[Logout_Time]," ")</f>
        <v>0.29166666666666669</v>
      </c>
      <c r="AG602">
        <f>_xlfn.XLOOKUP(tblMaster[[#This Row],[Shift]],tblShift[Shift_Name],tblShift[Standard_Working_Hours],"")</f>
        <v>8</v>
      </c>
      <c r="AH602" t="str">
        <f>_xlfn.XLOOKUP(tblMaster[[#This Row],[Attendance_Date]],tblHoliday[Holiday_Date],tblHoliday[Holiday_Name],"Working Day")</f>
        <v>Working Day</v>
      </c>
      <c r="AI602" t="str">
        <f>_xlfn.XLOOKUP(tblMaster[[#This Row],[Attendance_Date]],tblHoliday[Holiday_Date],tblHoliday[Holiday_Type],"Working Day ")</f>
        <v xml:space="preserve">Working Day </v>
      </c>
    </row>
    <row r="603" spans="1:35" x14ac:dyDescent="0.3">
      <c r="A603" t="s">
        <v>792</v>
      </c>
      <c r="B603" s="1">
        <v>45733</v>
      </c>
      <c r="C603" t="s">
        <v>71</v>
      </c>
      <c r="D603" t="s">
        <v>50</v>
      </c>
      <c r="E603" t="s">
        <v>109</v>
      </c>
      <c r="F603" t="s">
        <v>281</v>
      </c>
      <c r="G603" t="s">
        <v>282</v>
      </c>
      <c r="H603" t="s">
        <v>90</v>
      </c>
      <c r="I603" t="s">
        <v>91</v>
      </c>
      <c r="J603" t="s">
        <v>30</v>
      </c>
      <c r="K603" t="s">
        <v>44</v>
      </c>
      <c r="L603" s="2">
        <v>0.375</v>
      </c>
      <c r="M603" s="2">
        <v>0.75</v>
      </c>
      <c r="N603">
        <v>8</v>
      </c>
      <c r="O603">
        <v>0</v>
      </c>
      <c r="P603" t="s">
        <v>32</v>
      </c>
      <c r="R603">
        <v>4</v>
      </c>
      <c r="S603" t="s">
        <v>33</v>
      </c>
      <c r="T603" t="s">
        <v>93</v>
      </c>
      <c r="U603" t="str">
        <f>_xlfn.XLOOKUP(tblMaster[[#This Row],[Employee_ID]],tblEmployee[Employee_ID],tblEmployee[Work_Mode]," ")</f>
        <v>Office</v>
      </c>
      <c r="V603" t="s">
        <v>35</v>
      </c>
      <c r="W603">
        <f>_xlfn.XLOOKUP(F603,tblEmployee[Employee_ID],tblEmployee[Age],"Not Found")</f>
        <v>31</v>
      </c>
      <c r="X603" t="str">
        <f>_xlfn.XLOOKUP(F603,tblEmployee[Employee_ID],tblEmployee[Gender],"Not Found")</f>
        <v>Male</v>
      </c>
      <c r="Y603">
        <f>_xlfn.XLOOKUP(F603,tblEmployee[Employee_ID],tblEmployee[Joining_Date],"")</f>
        <v>44119</v>
      </c>
      <c r="Z603">
        <f>_xlfn.XLOOKUP(H603,tblDepartment[Department],tblDepartment[Annual_Budget_INR],"")</f>
        <v>18000000</v>
      </c>
      <c r="AA603" t="str">
        <f>_xlfn.XLOOKUP(H603,tblDepartment[Department],tblDepartment[Monthly_Target],"")</f>
        <v>&lt;30 Days Hiring Cycle</v>
      </c>
      <c r="AB603">
        <f>_xlfn.XLOOKUP(H603,tblDepartment[Department],tblDepartment[Average_Salary_INR],"")</f>
        <v>560000</v>
      </c>
      <c r="AC603" t="str">
        <f>_xlfn.XLOOKUP(H603,tblDepartment[Department],tblDepartment[Priority_Level],"")</f>
        <v>Medium</v>
      </c>
      <c r="AD603" t="str">
        <f>_xlfn.XLOOKUP(H603,tblDepartment[Department],tblDepartment[Key_KPI],"")</f>
        <v>Hiring &amp; Retention</v>
      </c>
      <c r="AE603">
        <f>_xlfn.XLOOKUP(tblMaster[[#This Row],[Shift]],tblShift[Shift_Name],tblShift[Login_Time],"")</f>
        <v>0.41666666666666669</v>
      </c>
      <c r="AF603">
        <f>_xlfn.XLOOKUP(tblMaster[[#This Row],[Shift]],tblShift[Shift_Name],tblShift[Logout_Time]," ")</f>
        <v>0.79166666666666663</v>
      </c>
      <c r="AG603">
        <f>_xlfn.XLOOKUP(tblMaster[[#This Row],[Shift]],tblShift[Shift_Name],tblShift[Standard_Working_Hours],"")</f>
        <v>8</v>
      </c>
      <c r="AH603" t="str">
        <f>_xlfn.XLOOKUP(tblMaster[[#This Row],[Attendance_Date]],tblHoliday[Holiday_Date],tblHoliday[Holiday_Name],"Working Day")</f>
        <v>Working Day</v>
      </c>
      <c r="AI603" t="str">
        <f>_xlfn.XLOOKUP(tblMaster[[#This Row],[Attendance_Date]],tblHoliday[Holiday_Date],tblHoliday[Holiday_Type],"Working Day ")</f>
        <v xml:space="preserve">Working Day </v>
      </c>
    </row>
    <row r="604" spans="1:35" x14ac:dyDescent="0.3">
      <c r="A604" t="s">
        <v>793</v>
      </c>
      <c r="B604" s="1">
        <v>45776</v>
      </c>
      <c r="C604" t="s">
        <v>37</v>
      </c>
      <c r="D604" t="s">
        <v>24</v>
      </c>
      <c r="E604" t="s">
        <v>87</v>
      </c>
      <c r="F604" t="s">
        <v>192</v>
      </c>
      <c r="G604" t="s">
        <v>193</v>
      </c>
      <c r="H604" t="s">
        <v>79</v>
      </c>
      <c r="I604" t="s">
        <v>80</v>
      </c>
      <c r="J604" t="s">
        <v>66</v>
      </c>
      <c r="K604" t="s">
        <v>75</v>
      </c>
      <c r="L604" s="2">
        <v>0.375</v>
      </c>
      <c r="M604" s="2">
        <v>0.75</v>
      </c>
      <c r="N604">
        <v>8</v>
      </c>
      <c r="O604">
        <v>0</v>
      </c>
      <c r="P604" t="s">
        <v>32</v>
      </c>
      <c r="S604" t="s">
        <v>92</v>
      </c>
      <c r="T604" t="s">
        <v>84</v>
      </c>
      <c r="U604" t="str">
        <f>_xlfn.XLOOKUP(tblMaster[[#This Row],[Employee_ID]],tblEmployee[Employee_ID],tblEmployee[Work_Mode]," ")</f>
        <v>Hybrid</v>
      </c>
      <c r="V604" t="s">
        <v>35</v>
      </c>
      <c r="W604">
        <f>_xlfn.XLOOKUP(F604,tblEmployee[Employee_ID],tblEmployee[Age],"Not Found")</f>
        <v>32</v>
      </c>
      <c r="X604" t="str">
        <f>_xlfn.XLOOKUP(F604,tblEmployee[Employee_ID],tblEmployee[Gender],"Not Found")</f>
        <v>Female</v>
      </c>
      <c r="Y604">
        <f>_xlfn.XLOOKUP(F604,tblEmployee[Employee_ID],tblEmployee[Joining_Date],"")</f>
        <v>44880</v>
      </c>
      <c r="Z604">
        <f>_xlfn.XLOOKUP(H604,tblDepartment[Department],tblDepartment[Annual_Budget_INR],"")</f>
        <v>26000000</v>
      </c>
      <c r="AA604" t="str">
        <f>_xlfn.XLOOKUP(H604,tblDepartment[Department],tblDepartment[Monthly_Target],"")</f>
        <v>100% Payroll Accuracy</v>
      </c>
      <c r="AB604">
        <f>_xlfn.XLOOKUP(H604,tblDepartment[Department],tblDepartment[Average_Salary_INR],"")</f>
        <v>640000</v>
      </c>
      <c r="AC604" t="str">
        <f>_xlfn.XLOOKUP(H604,tblDepartment[Department],tblDepartment[Priority_Level],"")</f>
        <v>High</v>
      </c>
      <c r="AD604" t="str">
        <f>_xlfn.XLOOKUP(H604,tblDepartment[Department],tblDepartment[Key_KPI],"")</f>
        <v>Financial Compliance</v>
      </c>
      <c r="AE604">
        <f>_xlfn.XLOOKUP(tblMaster[[#This Row],[Shift]],tblShift[Shift_Name],tblShift[Login_Time],"")</f>
        <v>0.375</v>
      </c>
      <c r="AF604">
        <f>_xlfn.XLOOKUP(tblMaster[[#This Row],[Shift]],tblShift[Shift_Name],tblShift[Logout_Time]," ")</f>
        <v>0.75</v>
      </c>
      <c r="AG604">
        <f>_xlfn.XLOOKUP(tblMaster[[#This Row],[Shift]],tblShift[Shift_Name],tblShift[Standard_Working_Hours],"")</f>
        <v>8</v>
      </c>
      <c r="AH604" t="str">
        <f>_xlfn.XLOOKUP(tblMaster[[#This Row],[Attendance_Date]],tblHoliday[Holiday_Date],tblHoliday[Holiday_Name],"Working Day")</f>
        <v>Working Day</v>
      </c>
      <c r="AI604" t="str">
        <f>_xlfn.XLOOKUP(tblMaster[[#This Row],[Attendance_Date]],tblHoliday[Holiday_Date],tblHoliday[Holiday_Type],"Working Day ")</f>
        <v xml:space="preserve">Working Day </v>
      </c>
    </row>
    <row r="605" spans="1:35" hidden="1" x14ac:dyDescent="0.3">
      <c r="A605" t="s">
        <v>794</v>
      </c>
      <c r="B605" s="1">
        <v>45726</v>
      </c>
      <c r="C605" t="s">
        <v>71</v>
      </c>
      <c r="D605" t="s">
        <v>50</v>
      </c>
      <c r="E605" t="s">
        <v>109</v>
      </c>
      <c r="F605" t="s">
        <v>127</v>
      </c>
      <c r="G605" t="s">
        <v>128</v>
      </c>
      <c r="H605" t="s">
        <v>90</v>
      </c>
      <c r="I605" t="s">
        <v>91</v>
      </c>
      <c r="J605" t="s">
        <v>66</v>
      </c>
      <c r="K605" t="s">
        <v>75</v>
      </c>
      <c r="L605" s="2">
        <v>0.375</v>
      </c>
      <c r="M605" s="2">
        <v>0.75</v>
      </c>
      <c r="N605">
        <v>8</v>
      </c>
      <c r="O605">
        <v>0</v>
      </c>
      <c r="P605" t="s">
        <v>32</v>
      </c>
      <c r="S605" t="s">
        <v>92</v>
      </c>
      <c r="T605" t="s">
        <v>93</v>
      </c>
      <c r="U605" t="s">
        <v>55</v>
      </c>
      <c r="V605" t="s">
        <v>60</v>
      </c>
      <c r="W605">
        <f>_xlfn.XLOOKUP(F605,tblEmployee[Employee_ID],tblEmployee[Age],"Not Found")</f>
        <v>38</v>
      </c>
      <c r="X605" t="str">
        <f>_xlfn.XLOOKUP(F605,tblEmployee[Employee_ID],tblEmployee[Gender],"Not Found")</f>
        <v>Female</v>
      </c>
      <c r="Y605">
        <f>_xlfn.XLOOKUP(F605,tblEmployee[Employee_ID],tblEmployee[Joining_Date],"")</f>
        <v>43966</v>
      </c>
      <c r="Z605">
        <f>_xlfn.XLOOKUP(H605,tblDepartment[Department],tblDepartment[Annual_Budget_INR],"")</f>
        <v>18000000</v>
      </c>
      <c r="AA605" t="str">
        <f>_xlfn.XLOOKUP(H605,tblDepartment[Department],tblDepartment[Monthly_Target],"")</f>
        <v>&lt;30 Days Hiring Cycle</v>
      </c>
      <c r="AB605">
        <f>_xlfn.XLOOKUP(H605,tblDepartment[Department],tblDepartment[Average_Salary_INR],"")</f>
        <v>560000</v>
      </c>
      <c r="AC605" t="str">
        <f>_xlfn.XLOOKUP(H605,tblDepartment[Department],tblDepartment[Priority_Level],"")</f>
        <v>Medium</v>
      </c>
      <c r="AD605" t="str">
        <f>_xlfn.XLOOKUP(H605,tblDepartment[Department],tblDepartment[Key_KPI],"")</f>
        <v>Hiring &amp; Retention</v>
      </c>
      <c r="AE605">
        <f>_xlfn.XLOOKUP(tblMaster[[#This Row],[Shift]],tblShift[Shift_Name],tblShift[Login_Time],"")</f>
        <v>0.375</v>
      </c>
      <c r="AF605">
        <f>_xlfn.XLOOKUP(tblMaster[[#This Row],[Shift]],tblShift[Shift_Name],tblShift[Logout_Time]," ")</f>
        <v>0.75</v>
      </c>
      <c r="AG605">
        <f>_xlfn.XLOOKUP(tblMaster[[#This Row],[Shift]],tblShift[Shift_Name],tblShift[Standard_Working_Hours],"")</f>
        <v>8</v>
      </c>
      <c r="AH605" t="str">
        <f>_xlfn.XLOOKUP(tblMaster[[#This Row],[Attendance_Date]],tblHoliday[Holiday_Date],tblHoliday[Holiday_Name],"Working Day")</f>
        <v>Working Day</v>
      </c>
      <c r="AI605" t="str">
        <f>_xlfn.XLOOKUP(tblMaster[[#This Row],[Attendance_Date]],tblHoliday[Holiday_Date],tblHoliday[Holiday_Type],"Working Day ")</f>
        <v xml:space="preserve">Working Day </v>
      </c>
    </row>
    <row r="606" spans="1:35" hidden="1" x14ac:dyDescent="0.3">
      <c r="A606" t="s">
        <v>795</v>
      </c>
      <c r="B606" s="1">
        <v>45775</v>
      </c>
      <c r="C606" t="s">
        <v>37</v>
      </c>
      <c r="D606" t="s">
        <v>24</v>
      </c>
      <c r="E606" t="s">
        <v>109</v>
      </c>
      <c r="F606" t="s">
        <v>72</v>
      </c>
      <c r="G606" t="s">
        <v>73</v>
      </c>
      <c r="H606" t="s">
        <v>28</v>
      </c>
      <c r="I606" t="s">
        <v>29</v>
      </c>
      <c r="J606" t="s">
        <v>74</v>
      </c>
      <c r="K606" t="s">
        <v>44</v>
      </c>
      <c r="L606" s="2">
        <v>0.375</v>
      </c>
      <c r="M606" s="2">
        <v>0.75</v>
      </c>
      <c r="N606">
        <v>8</v>
      </c>
      <c r="O606">
        <v>0</v>
      </c>
      <c r="P606" t="s">
        <v>32</v>
      </c>
      <c r="R606">
        <v>4</v>
      </c>
      <c r="S606" t="s">
        <v>67</v>
      </c>
      <c r="T606" t="s">
        <v>34</v>
      </c>
      <c r="U606" t="s">
        <v>55</v>
      </c>
      <c r="V606" t="s">
        <v>60</v>
      </c>
      <c r="W606">
        <f>_xlfn.XLOOKUP(F606,tblEmployee[Employee_ID],tblEmployee[Age],"Not Found")</f>
        <v>28</v>
      </c>
      <c r="X606" t="str">
        <f>_xlfn.XLOOKUP(F606,tblEmployee[Employee_ID],tblEmployee[Gender],"Not Found")</f>
        <v>Female</v>
      </c>
      <c r="Y606">
        <f>_xlfn.XLOOKUP(F606,tblEmployee[Employee_ID],tblEmployee[Joining_Date],"")</f>
        <v>43296</v>
      </c>
      <c r="Z606">
        <f>_xlfn.XLOOKUP(H606,tblDepartment[Department],tblDepartment[Annual_Budget_INR],"")</f>
        <v>24000000</v>
      </c>
      <c r="AA606" t="str">
        <f>_xlfn.XLOOKUP(H606,tblDepartment[Department],tblDepartment[Monthly_Target],"")</f>
        <v>90% Customer Satisfaction</v>
      </c>
      <c r="AB606">
        <f>_xlfn.XLOOKUP(H606,tblDepartment[Department],tblDepartment[Average_Salary_INR],"")</f>
        <v>520000</v>
      </c>
      <c r="AC606" t="str">
        <f>_xlfn.XLOOKUP(H606,tblDepartment[Department],tblDepartment[Priority_Level],"")</f>
        <v>High</v>
      </c>
      <c r="AD606" t="str">
        <f>_xlfn.XLOOKUP(H606,tblDepartment[Department],tblDepartment[Key_KPI],"")</f>
        <v>Customer Satisfaction</v>
      </c>
      <c r="AE606">
        <f>_xlfn.XLOOKUP(tblMaster[[#This Row],[Shift]],tblShift[Shift_Name],tblShift[Login_Time],"")</f>
        <v>0.41666666666666669</v>
      </c>
      <c r="AF606">
        <f>_xlfn.XLOOKUP(tblMaster[[#This Row],[Shift]],tblShift[Shift_Name],tblShift[Logout_Time]," ")</f>
        <v>0.79166666666666663</v>
      </c>
      <c r="AG606">
        <f>_xlfn.XLOOKUP(tblMaster[[#This Row],[Shift]],tblShift[Shift_Name],tblShift[Standard_Working_Hours],"")</f>
        <v>8</v>
      </c>
      <c r="AH606" t="str">
        <f>_xlfn.XLOOKUP(tblMaster[[#This Row],[Attendance_Date]],tblHoliday[Holiday_Date],tblHoliday[Holiday_Name],"Working Day")</f>
        <v>Working Day</v>
      </c>
      <c r="AI606" t="str">
        <f>_xlfn.XLOOKUP(tblMaster[[#This Row],[Attendance_Date]],tblHoliday[Holiday_Date],tblHoliday[Holiday_Type],"Working Day ")</f>
        <v xml:space="preserve">Working Day </v>
      </c>
    </row>
    <row r="607" spans="1:35" hidden="1" x14ac:dyDescent="0.3">
      <c r="A607" t="s">
        <v>796</v>
      </c>
      <c r="B607" s="3">
        <v>45805</v>
      </c>
      <c r="C607" t="s">
        <v>57</v>
      </c>
      <c r="D607" t="s">
        <v>24</v>
      </c>
      <c r="E607" t="s">
        <v>51</v>
      </c>
      <c r="F607" t="s">
        <v>228</v>
      </c>
      <c r="G607" t="s">
        <v>229</v>
      </c>
      <c r="H607" t="s">
        <v>79</v>
      </c>
      <c r="I607" t="s">
        <v>80</v>
      </c>
      <c r="J607" t="s">
        <v>43</v>
      </c>
      <c r="K607" t="s">
        <v>81</v>
      </c>
      <c r="L607" s="2">
        <v>0.91666666666666663</v>
      </c>
      <c r="M607" s="2">
        <v>0.29166666666666669</v>
      </c>
      <c r="N607">
        <v>10</v>
      </c>
      <c r="O607">
        <v>2</v>
      </c>
      <c r="P607" t="s">
        <v>32</v>
      </c>
      <c r="R607">
        <v>4</v>
      </c>
      <c r="S607" t="s">
        <v>92</v>
      </c>
      <c r="T607" t="s">
        <v>84</v>
      </c>
      <c r="U607" t="s">
        <v>85</v>
      </c>
      <c r="V607" t="s">
        <v>35</v>
      </c>
      <c r="W607">
        <f>_xlfn.XLOOKUP(F607,tblEmployee[Employee_ID],tblEmployee[Age],"Not Found")</f>
        <v>29</v>
      </c>
      <c r="X607" t="str">
        <f>_xlfn.XLOOKUP(F607,tblEmployee[Employee_ID],tblEmployee[Gender],"Not Found")</f>
        <v>Female</v>
      </c>
      <c r="Y607">
        <f>_xlfn.XLOOKUP(F607,tblEmployee[Employee_ID],tblEmployee[Joining_Date],"")</f>
        <v>44607</v>
      </c>
      <c r="Z607">
        <f>_xlfn.XLOOKUP(H607,tblDepartment[Department],tblDepartment[Annual_Budget_INR],"")</f>
        <v>26000000</v>
      </c>
      <c r="AA607" t="str">
        <f>_xlfn.XLOOKUP(H607,tblDepartment[Department],tblDepartment[Monthly_Target],"")</f>
        <v>100% Payroll Accuracy</v>
      </c>
      <c r="AB607">
        <f>_xlfn.XLOOKUP(H607,tblDepartment[Department],tblDepartment[Average_Salary_INR],"")</f>
        <v>640000</v>
      </c>
      <c r="AC607" t="str">
        <f>_xlfn.XLOOKUP(H607,tblDepartment[Department],tblDepartment[Priority_Level],"")</f>
        <v>High</v>
      </c>
      <c r="AD607" t="str">
        <f>_xlfn.XLOOKUP(H607,tblDepartment[Department],tblDepartment[Key_KPI],"")</f>
        <v>Financial Compliance</v>
      </c>
      <c r="AE607">
        <f>_xlfn.XLOOKUP(tblMaster[[#This Row],[Shift]],tblShift[Shift_Name],tblShift[Login_Time],"")</f>
        <v>0.91666666666666663</v>
      </c>
      <c r="AF607">
        <f>_xlfn.XLOOKUP(tblMaster[[#This Row],[Shift]],tblShift[Shift_Name],tblShift[Logout_Time]," ")</f>
        <v>0.29166666666666669</v>
      </c>
      <c r="AG607">
        <f>_xlfn.XLOOKUP(tblMaster[[#This Row],[Shift]],tblShift[Shift_Name],tblShift[Standard_Working_Hours],"")</f>
        <v>8</v>
      </c>
      <c r="AH607" t="str">
        <f>_xlfn.XLOOKUP(tblMaster[[#This Row],[Attendance_Date]],tblHoliday[Holiday_Date],tblHoliday[Holiday_Name],"Working Day")</f>
        <v>Working Day</v>
      </c>
      <c r="AI607" t="str">
        <f>_xlfn.XLOOKUP(tblMaster[[#This Row],[Attendance_Date]],tblHoliday[Holiday_Date],tblHoliday[Holiday_Type],"Working Day ")</f>
        <v xml:space="preserve">Working Day </v>
      </c>
    </row>
    <row r="608" spans="1:35" hidden="1" x14ac:dyDescent="0.3">
      <c r="A608" t="s">
        <v>797</v>
      </c>
      <c r="B608" s="3">
        <v>45707</v>
      </c>
      <c r="C608" t="s">
        <v>95</v>
      </c>
      <c r="D608" t="s">
        <v>50</v>
      </c>
      <c r="E608" t="s">
        <v>51</v>
      </c>
      <c r="F608" t="s">
        <v>58</v>
      </c>
      <c r="G608" t="s">
        <v>59</v>
      </c>
      <c r="H608" t="s">
        <v>41</v>
      </c>
      <c r="I608" t="s">
        <v>42</v>
      </c>
      <c r="J608" t="s">
        <v>30</v>
      </c>
      <c r="K608" t="s">
        <v>81</v>
      </c>
      <c r="L608" s="2">
        <v>0.91666666666666663</v>
      </c>
      <c r="M608" s="2">
        <v>0.29166666666666669</v>
      </c>
      <c r="N608">
        <v>9</v>
      </c>
      <c r="O608">
        <v>1</v>
      </c>
      <c r="P608" t="s">
        <v>32</v>
      </c>
      <c r="R608">
        <v>4</v>
      </c>
      <c r="S608" t="s">
        <v>45</v>
      </c>
      <c r="T608" t="s">
        <v>46</v>
      </c>
      <c r="U608" t="s">
        <v>85</v>
      </c>
      <c r="V608" t="s">
        <v>69</v>
      </c>
      <c r="W608">
        <f>_xlfn.XLOOKUP(F608,tblEmployee[Employee_ID],tblEmployee[Age],"Not Found")</f>
        <v>23</v>
      </c>
      <c r="X608" t="str">
        <f>_xlfn.XLOOKUP(F608,tblEmployee[Employee_ID],tblEmployee[Gender],"Not Found")</f>
        <v>Female</v>
      </c>
      <c r="Y608">
        <f>_xlfn.XLOOKUP(F608,tblEmployee[Employee_ID],tblEmployee[Joining_Date],"")</f>
        <v>45153</v>
      </c>
      <c r="Z608">
        <f>_xlfn.XLOOKUP(H608,tblDepartment[Department],tblDepartment[Annual_Budget_INR],"")</f>
        <v>34000000</v>
      </c>
      <c r="AA608" t="str">
        <f>_xlfn.XLOOKUP(H608,tblDepartment[Department],tblDepartment[Monthly_Target],"")</f>
        <v>95% Process Efficiency</v>
      </c>
      <c r="AB608">
        <f>_xlfn.XLOOKUP(H608,tblDepartment[Department],tblDepartment[Average_Salary_INR],"")</f>
        <v>610000</v>
      </c>
      <c r="AC608" t="str">
        <f>_xlfn.XLOOKUP(H608,tblDepartment[Department],tblDepartment[Priority_Level],"")</f>
        <v>High</v>
      </c>
      <c r="AD608" t="str">
        <f>_xlfn.XLOOKUP(H608,tblDepartment[Department],tblDepartment[Key_KPI],"")</f>
        <v>Operational Efficiency</v>
      </c>
      <c r="AE608">
        <f>_xlfn.XLOOKUP(tblMaster[[#This Row],[Shift]],tblShift[Shift_Name],tblShift[Login_Time],"")</f>
        <v>0.91666666666666663</v>
      </c>
      <c r="AF608">
        <f>_xlfn.XLOOKUP(tblMaster[[#This Row],[Shift]],tblShift[Shift_Name],tblShift[Logout_Time]," ")</f>
        <v>0.29166666666666669</v>
      </c>
      <c r="AG608">
        <f>_xlfn.XLOOKUP(tblMaster[[#This Row],[Shift]],tblShift[Shift_Name],tblShift[Standard_Working_Hours],"")</f>
        <v>8</v>
      </c>
      <c r="AH608" t="str">
        <f>_xlfn.XLOOKUP(tblMaster[[#This Row],[Attendance_Date]],tblHoliday[Holiday_Date],tblHoliday[Holiday_Name],"Working Day")</f>
        <v>Working Day</v>
      </c>
      <c r="AI608" t="str">
        <f>_xlfn.XLOOKUP(tblMaster[[#This Row],[Attendance_Date]],tblHoliday[Holiday_Date],tblHoliday[Holiday_Type],"Working Day ")</f>
        <v xml:space="preserve">Working Day </v>
      </c>
    </row>
    <row r="609" spans="1:35" x14ac:dyDescent="0.3">
      <c r="A609" t="s">
        <v>798</v>
      </c>
      <c r="B609" s="1">
        <v>45770</v>
      </c>
      <c r="C609" t="s">
        <v>37</v>
      </c>
      <c r="D609" t="s">
        <v>24</v>
      </c>
      <c r="E609" t="s">
        <v>51</v>
      </c>
      <c r="F609" t="s">
        <v>39</v>
      </c>
      <c r="G609" t="s">
        <v>40</v>
      </c>
      <c r="H609" t="s">
        <v>41</v>
      </c>
      <c r="I609" t="s">
        <v>42</v>
      </c>
      <c r="J609" t="s">
        <v>43</v>
      </c>
      <c r="K609" t="s">
        <v>44</v>
      </c>
      <c r="L609" s="2">
        <v>0.375</v>
      </c>
      <c r="M609" s="2">
        <v>0.75</v>
      </c>
      <c r="N609">
        <v>8</v>
      </c>
      <c r="O609">
        <v>0</v>
      </c>
      <c r="P609" t="s">
        <v>32</v>
      </c>
      <c r="R609">
        <v>3</v>
      </c>
      <c r="S609" t="s">
        <v>92</v>
      </c>
      <c r="T609" t="s">
        <v>46</v>
      </c>
      <c r="U609" t="str">
        <f>_xlfn.XLOOKUP(tblMaster[[#This Row],[Employee_ID]],tblEmployee[Employee_ID],tblEmployee[Work_Mode]," ")</f>
        <v>Hybrid</v>
      </c>
      <c r="V609" t="s">
        <v>60</v>
      </c>
      <c r="W609">
        <f>_xlfn.XLOOKUP(F609,tblEmployee[Employee_ID],tblEmployee[Age],"Not Found")</f>
        <v>26</v>
      </c>
      <c r="X609" t="str">
        <f>_xlfn.XLOOKUP(F609,tblEmployee[Employee_ID],tblEmployee[Gender],"Not Found")</f>
        <v>Male</v>
      </c>
      <c r="Y609">
        <f>_xlfn.XLOOKUP(F609,tblEmployee[Employee_ID],tblEmployee[Joining_Date],"")</f>
        <v>45061</v>
      </c>
      <c r="Z609">
        <f>_xlfn.XLOOKUP(H609,tblDepartment[Department],tblDepartment[Annual_Budget_INR],"")</f>
        <v>34000000</v>
      </c>
      <c r="AA609" t="str">
        <f>_xlfn.XLOOKUP(H609,tblDepartment[Department],tblDepartment[Monthly_Target],"")</f>
        <v>95% Process Efficiency</v>
      </c>
      <c r="AB609">
        <f>_xlfn.XLOOKUP(H609,tblDepartment[Department],tblDepartment[Average_Salary_INR],"")</f>
        <v>610000</v>
      </c>
      <c r="AC609" t="str">
        <f>_xlfn.XLOOKUP(H609,tblDepartment[Department],tblDepartment[Priority_Level],"")</f>
        <v>High</v>
      </c>
      <c r="AD609" t="str">
        <f>_xlfn.XLOOKUP(H609,tblDepartment[Department],tblDepartment[Key_KPI],"")</f>
        <v>Operational Efficiency</v>
      </c>
      <c r="AE609">
        <f>_xlfn.XLOOKUP(tblMaster[[#This Row],[Shift]],tblShift[Shift_Name],tblShift[Login_Time],"")</f>
        <v>0.41666666666666669</v>
      </c>
      <c r="AF609">
        <f>_xlfn.XLOOKUP(tblMaster[[#This Row],[Shift]],tblShift[Shift_Name],tblShift[Logout_Time]," ")</f>
        <v>0.79166666666666663</v>
      </c>
      <c r="AG609">
        <f>_xlfn.XLOOKUP(tblMaster[[#This Row],[Shift]],tblShift[Shift_Name],tblShift[Standard_Working_Hours],"")</f>
        <v>8</v>
      </c>
      <c r="AH609" t="str">
        <f>_xlfn.XLOOKUP(tblMaster[[#This Row],[Attendance_Date]],tblHoliday[Holiday_Date],tblHoliday[Holiday_Name],"Working Day")</f>
        <v>Working Day</v>
      </c>
      <c r="AI609" t="str">
        <f>_xlfn.XLOOKUP(tblMaster[[#This Row],[Attendance_Date]],tblHoliday[Holiday_Date],tblHoliday[Holiday_Type],"Working Day ")</f>
        <v xml:space="preserve">Working Day </v>
      </c>
    </row>
    <row r="610" spans="1:35" x14ac:dyDescent="0.3">
      <c r="A610" t="s">
        <v>799</v>
      </c>
      <c r="B610" s="3">
        <v>45788</v>
      </c>
      <c r="C610" t="s">
        <v>57</v>
      </c>
      <c r="D610" t="s">
        <v>24</v>
      </c>
      <c r="E610" t="s">
        <v>103</v>
      </c>
      <c r="F610" t="s">
        <v>62</v>
      </c>
      <c r="G610" t="s">
        <v>63</v>
      </c>
      <c r="H610" t="s">
        <v>64</v>
      </c>
      <c r="I610" t="s">
        <v>65</v>
      </c>
      <c r="J610" t="s">
        <v>66</v>
      </c>
      <c r="K610" t="s">
        <v>54</v>
      </c>
      <c r="P610" t="s">
        <v>135</v>
      </c>
      <c r="S610" t="s">
        <v>33</v>
      </c>
      <c r="T610" t="s">
        <v>68</v>
      </c>
      <c r="U610" t="str">
        <f>_xlfn.XLOOKUP(tblMaster[[#This Row],[Employee_ID]],tblEmployee[Employee_ID],tblEmployee[Work_Mode]," ")</f>
        <v>Hybrid</v>
      </c>
      <c r="V610" t="s">
        <v>35</v>
      </c>
      <c r="W610">
        <f>_xlfn.XLOOKUP(F610,tblEmployee[Employee_ID],tblEmployee[Age],"Not Found")</f>
        <v>23</v>
      </c>
      <c r="X610" t="str">
        <f>_xlfn.XLOOKUP(F610,tblEmployee[Employee_ID],tblEmployee[Gender],"Not Found")</f>
        <v>Male</v>
      </c>
      <c r="Y610">
        <f>_xlfn.XLOOKUP(F610,tblEmployee[Employee_ID],tblEmployee[Joining_Date],"")</f>
        <v>43511</v>
      </c>
      <c r="Z610">
        <f>_xlfn.XLOOKUP(H610,tblDepartment[Department],tblDepartment[Annual_Budget_INR],"")</f>
        <v>85000000</v>
      </c>
      <c r="AA610" t="str">
        <f>_xlfn.XLOOKUP(H610,tblDepartment[Department],tblDepartment[Monthly_Target],"")</f>
        <v>99.5% System Uptime</v>
      </c>
      <c r="AB610">
        <f>_xlfn.XLOOKUP(H610,tblDepartment[Department],tblDepartment[Average_Salary_INR],"")</f>
        <v>720000</v>
      </c>
      <c r="AC610" t="str">
        <f>_xlfn.XLOOKUP(H610,tblDepartment[Department],tblDepartment[Priority_Level],"")</f>
        <v>High</v>
      </c>
      <c r="AD610" t="str">
        <f>_xlfn.XLOOKUP(H610,tblDepartment[Department],tblDepartment[Key_KPI],"")</f>
        <v>Project Delivery</v>
      </c>
      <c r="AE610">
        <f>_xlfn.XLOOKUP(tblMaster[[#This Row],[Shift]],tblShift[Shift_Name],tblShift[Login_Time],"")</f>
        <v>0.58333333333333337</v>
      </c>
      <c r="AF610">
        <f>_xlfn.XLOOKUP(tblMaster[[#This Row],[Shift]],tblShift[Shift_Name],tblShift[Logout_Time]," ")</f>
        <v>0.95833333333333337</v>
      </c>
      <c r="AG610">
        <f>_xlfn.XLOOKUP(tblMaster[[#This Row],[Shift]],tblShift[Shift_Name],tblShift[Standard_Working_Hours],"")</f>
        <v>8</v>
      </c>
      <c r="AH610" t="str">
        <f>_xlfn.XLOOKUP(tblMaster[[#This Row],[Attendance_Date]],tblHoliday[Holiday_Date],tblHoliday[Holiday_Name],"Working Day")</f>
        <v>Working Day</v>
      </c>
      <c r="AI610" t="str">
        <f>_xlfn.XLOOKUP(tblMaster[[#This Row],[Attendance_Date]],tblHoliday[Holiday_Date],tblHoliday[Holiday_Type],"Working Day ")</f>
        <v xml:space="preserve">Working Day </v>
      </c>
    </row>
    <row r="611" spans="1:35" hidden="1" x14ac:dyDescent="0.3">
      <c r="A611" t="s">
        <v>800</v>
      </c>
      <c r="B611" s="3">
        <v>45755</v>
      </c>
      <c r="C611" t="s">
        <v>37</v>
      </c>
      <c r="D611" t="s">
        <v>24</v>
      </c>
      <c r="E611" t="s">
        <v>87</v>
      </c>
      <c r="F611" t="s">
        <v>258</v>
      </c>
      <c r="G611" t="s">
        <v>259</v>
      </c>
      <c r="H611" t="s">
        <v>112</v>
      </c>
      <c r="I611" t="s">
        <v>113</v>
      </c>
      <c r="J611" t="s">
        <v>74</v>
      </c>
      <c r="K611" t="s">
        <v>75</v>
      </c>
      <c r="L611" s="2">
        <v>0.38194444444444442</v>
      </c>
      <c r="M611" s="2">
        <v>0.75</v>
      </c>
      <c r="N611">
        <v>8</v>
      </c>
      <c r="O611">
        <v>0</v>
      </c>
      <c r="P611" t="s">
        <v>32</v>
      </c>
      <c r="R611">
        <v>4</v>
      </c>
      <c r="S611" t="s">
        <v>92</v>
      </c>
      <c r="T611" t="s">
        <v>114</v>
      </c>
      <c r="U611" t="s">
        <v>47</v>
      </c>
      <c r="V611" t="s">
        <v>35</v>
      </c>
      <c r="W611">
        <f>_xlfn.XLOOKUP(F611,tblEmployee[Employee_ID],tblEmployee[Age],"Not Found")</f>
        <v>39</v>
      </c>
      <c r="X611" t="str">
        <f>_xlfn.XLOOKUP(F611,tblEmployee[Employee_ID],tblEmployee[Gender],"Not Found")</f>
        <v>Male</v>
      </c>
      <c r="Y611">
        <f>_xlfn.XLOOKUP(F611,tblEmployee[Employee_ID],tblEmployee[Joining_Date],"")</f>
        <v>44362</v>
      </c>
      <c r="Z611">
        <f>_xlfn.XLOOKUP(H611,tblDepartment[Department],tblDepartment[Annual_Budget_INR],"")</f>
        <v>42000000</v>
      </c>
      <c r="AA611" t="str">
        <f>_xlfn.XLOOKUP(H611,tblDepartment[Department],tblDepartment[Monthly_Target],"")</f>
        <v>₹2.5 Cr Monthly Sales</v>
      </c>
      <c r="AB611">
        <f>_xlfn.XLOOKUP(H611,tblDepartment[Department],tblDepartment[Average_Salary_INR],"")</f>
        <v>680000</v>
      </c>
      <c r="AC611" t="str">
        <f>_xlfn.XLOOKUP(H611,tblDepartment[Department],tblDepartment[Priority_Level],"")</f>
        <v>High</v>
      </c>
      <c r="AD611" t="str">
        <f>_xlfn.XLOOKUP(H611,tblDepartment[Department],tblDepartment[Key_KPI],"")</f>
        <v>Revenue Achievement</v>
      </c>
      <c r="AE611">
        <f>_xlfn.XLOOKUP(tblMaster[[#This Row],[Shift]],tblShift[Shift_Name],tblShift[Login_Time],"")</f>
        <v>0.375</v>
      </c>
      <c r="AF611">
        <f>_xlfn.XLOOKUP(tblMaster[[#This Row],[Shift]],tblShift[Shift_Name],tblShift[Logout_Time]," ")</f>
        <v>0.75</v>
      </c>
      <c r="AG611">
        <f>_xlfn.XLOOKUP(tblMaster[[#This Row],[Shift]],tblShift[Shift_Name],tblShift[Standard_Working_Hours],"")</f>
        <v>8</v>
      </c>
      <c r="AH611" t="str">
        <f>_xlfn.XLOOKUP(tblMaster[[#This Row],[Attendance_Date]],tblHoliday[Holiday_Date],tblHoliday[Holiday_Name],"Working Day")</f>
        <v>Working Day</v>
      </c>
      <c r="AI611" t="str">
        <f>_xlfn.XLOOKUP(tblMaster[[#This Row],[Attendance_Date]],tblHoliday[Holiday_Date],tblHoliday[Holiday_Type],"Working Day ")</f>
        <v xml:space="preserve">Working Day </v>
      </c>
    </row>
    <row r="612" spans="1:35" hidden="1" x14ac:dyDescent="0.3">
      <c r="A612" t="s">
        <v>801</v>
      </c>
      <c r="B612" s="3">
        <v>45755</v>
      </c>
      <c r="C612" t="s">
        <v>37</v>
      </c>
      <c r="D612" t="s">
        <v>24</v>
      </c>
      <c r="E612" t="s">
        <v>87</v>
      </c>
      <c r="F612" t="s">
        <v>77</v>
      </c>
      <c r="G612" t="s">
        <v>78</v>
      </c>
      <c r="H612" t="s">
        <v>79</v>
      </c>
      <c r="I612" t="s">
        <v>80</v>
      </c>
      <c r="J612" t="s">
        <v>30</v>
      </c>
      <c r="K612" t="s">
        <v>44</v>
      </c>
      <c r="L612" s="2">
        <v>0.375</v>
      </c>
      <c r="M612" s="2">
        <v>0.75</v>
      </c>
      <c r="N612">
        <v>8</v>
      </c>
      <c r="O612">
        <v>0</v>
      </c>
      <c r="P612" t="s">
        <v>32</v>
      </c>
      <c r="R612">
        <v>4</v>
      </c>
      <c r="S612" t="s">
        <v>67</v>
      </c>
      <c r="T612" t="s">
        <v>84</v>
      </c>
      <c r="U612" t="s">
        <v>55</v>
      </c>
      <c r="V612" t="s">
        <v>60</v>
      </c>
      <c r="W612">
        <f>_xlfn.XLOOKUP(F612,tblEmployee[Employee_ID],tblEmployee[Age],"Not Found")</f>
        <v>26</v>
      </c>
      <c r="X612" t="str">
        <f>_xlfn.XLOOKUP(F612,tblEmployee[Employee_ID],tblEmployee[Gender],"Not Found")</f>
        <v>Female</v>
      </c>
      <c r="Y612">
        <f>_xlfn.XLOOKUP(F612,tblEmployee[Employee_ID],tblEmployee[Joining_Date],"")</f>
        <v>44696</v>
      </c>
      <c r="Z612">
        <f>_xlfn.XLOOKUP(H612,tblDepartment[Department],tblDepartment[Annual_Budget_INR],"")</f>
        <v>26000000</v>
      </c>
      <c r="AA612" t="str">
        <f>_xlfn.XLOOKUP(H612,tblDepartment[Department],tblDepartment[Monthly_Target],"")</f>
        <v>100% Payroll Accuracy</v>
      </c>
      <c r="AB612">
        <f>_xlfn.XLOOKUP(H612,tblDepartment[Department],tblDepartment[Average_Salary_INR],"")</f>
        <v>640000</v>
      </c>
      <c r="AC612" t="str">
        <f>_xlfn.XLOOKUP(H612,tblDepartment[Department],tblDepartment[Priority_Level],"")</f>
        <v>High</v>
      </c>
      <c r="AD612" t="str">
        <f>_xlfn.XLOOKUP(H612,tblDepartment[Department],tblDepartment[Key_KPI],"")</f>
        <v>Financial Compliance</v>
      </c>
      <c r="AE612">
        <f>_xlfn.XLOOKUP(tblMaster[[#This Row],[Shift]],tblShift[Shift_Name],tblShift[Login_Time],"")</f>
        <v>0.41666666666666669</v>
      </c>
      <c r="AF612">
        <f>_xlfn.XLOOKUP(tblMaster[[#This Row],[Shift]],tblShift[Shift_Name],tblShift[Logout_Time]," ")</f>
        <v>0.79166666666666663</v>
      </c>
      <c r="AG612">
        <f>_xlfn.XLOOKUP(tblMaster[[#This Row],[Shift]],tblShift[Shift_Name],tblShift[Standard_Working_Hours],"")</f>
        <v>8</v>
      </c>
      <c r="AH612" t="str">
        <f>_xlfn.XLOOKUP(tblMaster[[#This Row],[Attendance_Date]],tblHoliday[Holiday_Date],tblHoliday[Holiday_Name],"Working Day")</f>
        <v>Working Day</v>
      </c>
      <c r="AI612" t="str">
        <f>_xlfn.XLOOKUP(tblMaster[[#This Row],[Attendance_Date]],tblHoliday[Holiday_Date],tblHoliday[Holiday_Type],"Working Day ")</f>
        <v xml:space="preserve">Working Day </v>
      </c>
    </row>
    <row r="613" spans="1:35" hidden="1" x14ac:dyDescent="0.3">
      <c r="A613" t="s">
        <v>802</v>
      </c>
      <c r="B613" s="3">
        <v>45747</v>
      </c>
      <c r="C613" t="s">
        <v>71</v>
      </c>
      <c r="D613" t="s">
        <v>50</v>
      </c>
      <c r="E613" t="s">
        <v>109</v>
      </c>
      <c r="F613" t="s">
        <v>124</v>
      </c>
      <c r="G613" t="s">
        <v>125</v>
      </c>
      <c r="H613" t="s">
        <v>28</v>
      </c>
      <c r="I613" t="s">
        <v>29</v>
      </c>
      <c r="J613" t="s">
        <v>66</v>
      </c>
      <c r="K613" t="s">
        <v>81</v>
      </c>
      <c r="P613" t="s">
        <v>135</v>
      </c>
      <c r="S613" t="s">
        <v>92</v>
      </c>
      <c r="T613" t="s">
        <v>34</v>
      </c>
      <c r="U613" t="s">
        <v>85</v>
      </c>
      <c r="W613">
        <f>_xlfn.XLOOKUP(F613,tblEmployee[Employee_ID],tblEmployee[Age],"Not Found")</f>
        <v>25</v>
      </c>
      <c r="X613" t="str">
        <f>_xlfn.XLOOKUP(F613,tblEmployee[Employee_ID],tblEmployee[Gender],"Not Found")</f>
        <v>Male</v>
      </c>
      <c r="Y613">
        <f>_xlfn.XLOOKUP(F613,tblEmployee[Employee_ID],tblEmployee[Joining_Date],"")</f>
        <v>43388</v>
      </c>
      <c r="Z613">
        <f>_xlfn.XLOOKUP(H613,tblDepartment[Department],tblDepartment[Annual_Budget_INR],"")</f>
        <v>24000000</v>
      </c>
      <c r="AA613" t="str">
        <f>_xlfn.XLOOKUP(H613,tblDepartment[Department],tblDepartment[Monthly_Target],"")</f>
        <v>90% Customer Satisfaction</v>
      </c>
      <c r="AB613">
        <f>_xlfn.XLOOKUP(H613,tblDepartment[Department],tblDepartment[Average_Salary_INR],"")</f>
        <v>520000</v>
      </c>
      <c r="AC613" t="str">
        <f>_xlfn.XLOOKUP(H613,tblDepartment[Department],tblDepartment[Priority_Level],"")</f>
        <v>High</v>
      </c>
      <c r="AD613" t="str">
        <f>_xlfn.XLOOKUP(H613,tblDepartment[Department],tblDepartment[Key_KPI],"")</f>
        <v>Customer Satisfaction</v>
      </c>
      <c r="AE613">
        <f>_xlfn.XLOOKUP(tblMaster[[#This Row],[Shift]],tblShift[Shift_Name],tblShift[Login_Time],"")</f>
        <v>0.91666666666666663</v>
      </c>
      <c r="AF613">
        <f>_xlfn.XLOOKUP(tblMaster[[#This Row],[Shift]],tblShift[Shift_Name],tblShift[Logout_Time]," ")</f>
        <v>0.29166666666666669</v>
      </c>
      <c r="AG613">
        <f>_xlfn.XLOOKUP(tblMaster[[#This Row],[Shift]],tblShift[Shift_Name],tblShift[Standard_Working_Hours],"")</f>
        <v>8</v>
      </c>
      <c r="AH613" t="str">
        <f>_xlfn.XLOOKUP(tblMaster[[#This Row],[Attendance_Date]],tblHoliday[Holiday_Date],tblHoliday[Holiday_Name],"Working Day")</f>
        <v>Working Day</v>
      </c>
      <c r="AI613" t="str">
        <f>_xlfn.XLOOKUP(tblMaster[[#This Row],[Attendance_Date]],tblHoliday[Holiday_Date],tblHoliday[Holiday_Type],"Working Day ")</f>
        <v xml:space="preserve">Working Day </v>
      </c>
    </row>
    <row r="614" spans="1:35" x14ac:dyDescent="0.3">
      <c r="A614" t="s">
        <v>803</v>
      </c>
      <c r="B614" s="3">
        <v>45661</v>
      </c>
      <c r="C614" t="s">
        <v>49</v>
      </c>
      <c r="D614" t="s">
        <v>50</v>
      </c>
      <c r="E614" t="s">
        <v>38</v>
      </c>
      <c r="F614" t="s">
        <v>220</v>
      </c>
      <c r="G614" t="s">
        <v>221</v>
      </c>
      <c r="H614" t="s">
        <v>79</v>
      </c>
      <c r="I614" t="s">
        <v>80</v>
      </c>
      <c r="J614" t="s">
        <v>100</v>
      </c>
      <c r="K614" t="s">
        <v>54</v>
      </c>
      <c r="L614" s="2">
        <v>0.375</v>
      </c>
      <c r="M614" s="2">
        <v>0.75</v>
      </c>
      <c r="N614">
        <v>8</v>
      </c>
      <c r="O614">
        <v>0</v>
      </c>
      <c r="P614" t="s">
        <v>32</v>
      </c>
      <c r="S614" t="s">
        <v>33</v>
      </c>
      <c r="T614" t="s">
        <v>84</v>
      </c>
      <c r="U614" t="str">
        <f>_xlfn.XLOOKUP(tblMaster[[#This Row],[Employee_ID]],tblEmployee[Employee_ID],tblEmployee[Work_Mode]," ")</f>
        <v>Office</v>
      </c>
      <c r="V614" t="s">
        <v>35</v>
      </c>
      <c r="W614">
        <f>_xlfn.XLOOKUP(F614,tblEmployee[Employee_ID],tblEmployee[Age],"Not Found")</f>
        <v>22</v>
      </c>
      <c r="X614" t="str">
        <f>_xlfn.XLOOKUP(F614,tblEmployee[Employee_ID],tblEmployee[Gender],"Not Found")</f>
        <v>Male</v>
      </c>
      <c r="Y614">
        <f>_xlfn.XLOOKUP(F614,tblEmployee[Employee_ID],tblEmployee[Joining_Date],"")</f>
        <v>44757</v>
      </c>
      <c r="Z614">
        <f>_xlfn.XLOOKUP(H614,tblDepartment[Department],tblDepartment[Annual_Budget_INR],"")</f>
        <v>26000000</v>
      </c>
      <c r="AA614" t="str">
        <f>_xlfn.XLOOKUP(H614,tblDepartment[Department],tblDepartment[Monthly_Target],"")</f>
        <v>100% Payroll Accuracy</v>
      </c>
      <c r="AB614">
        <f>_xlfn.XLOOKUP(H614,tblDepartment[Department],tblDepartment[Average_Salary_INR],"")</f>
        <v>640000</v>
      </c>
      <c r="AC614" t="str">
        <f>_xlfn.XLOOKUP(H614,tblDepartment[Department],tblDepartment[Priority_Level],"")</f>
        <v>High</v>
      </c>
      <c r="AD614" t="str">
        <f>_xlfn.XLOOKUP(H614,tblDepartment[Department],tblDepartment[Key_KPI],"")</f>
        <v>Financial Compliance</v>
      </c>
      <c r="AE614">
        <f>_xlfn.XLOOKUP(tblMaster[[#This Row],[Shift]],tblShift[Shift_Name],tblShift[Login_Time],"")</f>
        <v>0.58333333333333337</v>
      </c>
      <c r="AF614">
        <f>_xlfn.XLOOKUP(tblMaster[[#This Row],[Shift]],tblShift[Shift_Name],tblShift[Logout_Time]," ")</f>
        <v>0.95833333333333337</v>
      </c>
      <c r="AG614">
        <f>_xlfn.XLOOKUP(tblMaster[[#This Row],[Shift]],tblShift[Shift_Name],tblShift[Standard_Working_Hours],"")</f>
        <v>8</v>
      </c>
      <c r="AH614" t="str">
        <f>_xlfn.XLOOKUP(tblMaster[[#This Row],[Attendance_Date]],tblHoliday[Holiday_Date],tblHoliday[Holiday_Name],"Working Day")</f>
        <v>Working Day</v>
      </c>
      <c r="AI614" t="str">
        <f>_xlfn.XLOOKUP(tblMaster[[#This Row],[Attendance_Date]],tblHoliday[Holiday_Date],tblHoliday[Holiday_Type],"Working Day ")</f>
        <v xml:space="preserve">Working Day </v>
      </c>
    </row>
    <row r="615" spans="1:35" hidden="1" x14ac:dyDescent="0.3">
      <c r="A615" t="s">
        <v>804</v>
      </c>
      <c r="B615" s="1">
        <v>45717</v>
      </c>
      <c r="C615" t="s">
        <v>71</v>
      </c>
      <c r="D615" t="s">
        <v>50</v>
      </c>
      <c r="E615" t="s">
        <v>38</v>
      </c>
      <c r="F615" t="s">
        <v>159</v>
      </c>
      <c r="G615" t="s">
        <v>160</v>
      </c>
      <c r="H615" t="s">
        <v>64</v>
      </c>
      <c r="I615" t="s">
        <v>65</v>
      </c>
      <c r="J615" t="s">
        <v>100</v>
      </c>
      <c r="K615" t="s">
        <v>81</v>
      </c>
      <c r="L615" s="2">
        <v>0.91666666666666663</v>
      </c>
      <c r="N615">
        <v>10</v>
      </c>
      <c r="O615">
        <v>2</v>
      </c>
      <c r="P615" t="s">
        <v>32</v>
      </c>
      <c r="R615">
        <v>5</v>
      </c>
      <c r="S615" t="s">
        <v>45</v>
      </c>
      <c r="T615" t="s">
        <v>68</v>
      </c>
      <c r="U615" t="s">
        <v>47</v>
      </c>
      <c r="W615">
        <f>_xlfn.XLOOKUP(F615,tblEmployee[Employee_ID],tblEmployee[Age],"Not Found")</f>
        <v>30</v>
      </c>
      <c r="X615" t="str">
        <f>_xlfn.XLOOKUP(F615,tblEmployee[Employee_ID],tblEmployee[Gender],"Not Found")</f>
        <v>Female</v>
      </c>
      <c r="Y615">
        <f>_xlfn.XLOOKUP(F615,tblEmployee[Employee_ID],tblEmployee[Joining_Date],"")</f>
        <v>43723</v>
      </c>
      <c r="Z615">
        <f>_xlfn.XLOOKUP(H615,tblDepartment[Department],tblDepartment[Annual_Budget_INR],"")</f>
        <v>85000000</v>
      </c>
      <c r="AA615" t="str">
        <f>_xlfn.XLOOKUP(H615,tblDepartment[Department],tblDepartment[Monthly_Target],"")</f>
        <v>99.5% System Uptime</v>
      </c>
      <c r="AB615">
        <f>_xlfn.XLOOKUP(H615,tblDepartment[Department],tblDepartment[Average_Salary_INR],"")</f>
        <v>720000</v>
      </c>
      <c r="AC615" t="str">
        <f>_xlfn.XLOOKUP(H615,tblDepartment[Department],tblDepartment[Priority_Level],"")</f>
        <v>High</v>
      </c>
      <c r="AD615" t="str">
        <f>_xlfn.XLOOKUP(H615,tblDepartment[Department],tblDepartment[Key_KPI],"")</f>
        <v>Project Delivery</v>
      </c>
      <c r="AE615">
        <f>_xlfn.XLOOKUP(tblMaster[[#This Row],[Shift]],tblShift[Shift_Name],tblShift[Login_Time],"")</f>
        <v>0.91666666666666663</v>
      </c>
      <c r="AF615">
        <f>_xlfn.XLOOKUP(tblMaster[[#This Row],[Shift]],tblShift[Shift_Name],tblShift[Logout_Time]," ")</f>
        <v>0.29166666666666669</v>
      </c>
      <c r="AG615">
        <f>_xlfn.XLOOKUP(tblMaster[[#This Row],[Shift]],tblShift[Shift_Name],tblShift[Standard_Working_Hours],"")</f>
        <v>8</v>
      </c>
      <c r="AH615" t="str">
        <f>_xlfn.XLOOKUP(tblMaster[[#This Row],[Attendance_Date]],tblHoliday[Holiday_Date],tblHoliday[Holiday_Name],"Working Day")</f>
        <v>Working Day</v>
      </c>
      <c r="AI615" t="str">
        <f>_xlfn.XLOOKUP(tblMaster[[#This Row],[Attendance_Date]],tblHoliday[Holiday_Date],tblHoliday[Holiday_Type],"Working Day ")</f>
        <v xml:space="preserve">Working Day </v>
      </c>
    </row>
    <row r="616" spans="1:35" hidden="1" x14ac:dyDescent="0.3">
      <c r="A616" t="s">
        <v>805</v>
      </c>
      <c r="B616" s="3">
        <v>45743</v>
      </c>
      <c r="C616" t="s">
        <v>71</v>
      </c>
      <c r="D616" t="s">
        <v>50</v>
      </c>
      <c r="E616" t="s">
        <v>25</v>
      </c>
      <c r="F616" t="s">
        <v>104</v>
      </c>
      <c r="G616" t="s">
        <v>105</v>
      </c>
      <c r="H616" t="s">
        <v>28</v>
      </c>
      <c r="I616" t="s">
        <v>29</v>
      </c>
      <c r="J616" t="s">
        <v>30</v>
      </c>
      <c r="K616" t="s">
        <v>75</v>
      </c>
      <c r="L616" s="2">
        <v>0.375</v>
      </c>
      <c r="M616" s="2">
        <v>0.75</v>
      </c>
      <c r="N616">
        <v>8</v>
      </c>
      <c r="O616">
        <v>0</v>
      </c>
      <c r="P616" t="s">
        <v>32</v>
      </c>
      <c r="R616">
        <v>4</v>
      </c>
      <c r="S616" t="s">
        <v>92</v>
      </c>
      <c r="T616" t="s">
        <v>34</v>
      </c>
      <c r="U616" t="s">
        <v>55</v>
      </c>
      <c r="W616">
        <f>_xlfn.XLOOKUP(F616,tblEmployee[Employee_ID],tblEmployee[Age],"Not Found")</f>
        <v>35</v>
      </c>
      <c r="X616" t="str">
        <f>_xlfn.XLOOKUP(F616,tblEmployee[Employee_ID],tblEmployee[Gender],"Not Found")</f>
        <v>Male</v>
      </c>
      <c r="Y616">
        <f>_xlfn.XLOOKUP(F616,tblEmployee[Employee_ID],tblEmployee[Joining_Date],"")</f>
        <v>43146</v>
      </c>
      <c r="Z616">
        <f>_xlfn.XLOOKUP(H616,tblDepartment[Department],tblDepartment[Annual_Budget_INR],"")</f>
        <v>24000000</v>
      </c>
      <c r="AA616" t="str">
        <f>_xlfn.XLOOKUP(H616,tblDepartment[Department],tblDepartment[Monthly_Target],"")</f>
        <v>90% Customer Satisfaction</v>
      </c>
      <c r="AB616">
        <f>_xlfn.XLOOKUP(H616,tblDepartment[Department],tblDepartment[Average_Salary_INR],"")</f>
        <v>520000</v>
      </c>
      <c r="AC616" t="str">
        <f>_xlfn.XLOOKUP(H616,tblDepartment[Department],tblDepartment[Priority_Level],"")</f>
        <v>High</v>
      </c>
      <c r="AD616" t="str">
        <f>_xlfn.XLOOKUP(H616,tblDepartment[Department],tblDepartment[Key_KPI],"")</f>
        <v>Customer Satisfaction</v>
      </c>
      <c r="AE616">
        <f>_xlfn.XLOOKUP(tblMaster[[#This Row],[Shift]],tblShift[Shift_Name],tblShift[Login_Time],"")</f>
        <v>0.375</v>
      </c>
      <c r="AF616">
        <f>_xlfn.XLOOKUP(tblMaster[[#This Row],[Shift]],tblShift[Shift_Name],tblShift[Logout_Time]," ")</f>
        <v>0.75</v>
      </c>
      <c r="AG616">
        <f>_xlfn.XLOOKUP(tblMaster[[#This Row],[Shift]],tblShift[Shift_Name],tblShift[Standard_Working_Hours],"")</f>
        <v>8</v>
      </c>
      <c r="AH616" t="str">
        <f>_xlfn.XLOOKUP(tblMaster[[#This Row],[Attendance_Date]],tblHoliday[Holiday_Date],tblHoliday[Holiday_Name],"Working Day")</f>
        <v>Working Day</v>
      </c>
      <c r="AI616" t="str">
        <f>_xlfn.XLOOKUP(tblMaster[[#This Row],[Attendance_Date]],tblHoliday[Holiday_Date],tblHoliday[Holiday_Type],"Working Day ")</f>
        <v xml:space="preserve">Working Day </v>
      </c>
    </row>
    <row r="617" spans="1:35" x14ac:dyDescent="0.3">
      <c r="A617" t="s">
        <v>806</v>
      </c>
      <c r="B617" s="1">
        <v>45716</v>
      </c>
      <c r="C617" t="s">
        <v>95</v>
      </c>
      <c r="D617" t="s">
        <v>50</v>
      </c>
      <c r="E617" t="s">
        <v>119</v>
      </c>
      <c r="F617" t="s">
        <v>77</v>
      </c>
      <c r="G617" t="s">
        <v>78</v>
      </c>
      <c r="H617" t="s">
        <v>79</v>
      </c>
      <c r="I617" t="s">
        <v>80</v>
      </c>
      <c r="J617" t="s">
        <v>30</v>
      </c>
      <c r="K617" t="s">
        <v>44</v>
      </c>
      <c r="L617" s="2">
        <v>0.375</v>
      </c>
      <c r="M617" s="2">
        <v>0.75</v>
      </c>
      <c r="N617">
        <v>8</v>
      </c>
      <c r="O617">
        <v>0</v>
      </c>
      <c r="P617" t="s">
        <v>32</v>
      </c>
      <c r="R617">
        <v>4</v>
      </c>
      <c r="S617" t="s">
        <v>45</v>
      </c>
      <c r="T617" t="s">
        <v>84</v>
      </c>
      <c r="U617" t="str">
        <f>_xlfn.XLOOKUP(tblMaster[[#This Row],[Employee_ID]],tblEmployee[Employee_ID],tblEmployee[Work_Mode]," ")</f>
        <v>Hybrid</v>
      </c>
      <c r="V617" t="s">
        <v>69</v>
      </c>
      <c r="W617">
        <f>_xlfn.XLOOKUP(F617,tblEmployee[Employee_ID],tblEmployee[Age],"Not Found")</f>
        <v>26</v>
      </c>
      <c r="X617" t="str">
        <f>_xlfn.XLOOKUP(F617,tblEmployee[Employee_ID],tblEmployee[Gender],"Not Found")</f>
        <v>Female</v>
      </c>
      <c r="Y617">
        <f>_xlfn.XLOOKUP(F617,tblEmployee[Employee_ID],tblEmployee[Joining_Date],"")</f>
        <v>44696</v>
      </c>
      <c r="Z617">
        <f>_xlfn.XLOOKUP(H617,tblDepartment[Department],tblDepartment[Annual_Budget_INR],"")</f>
        <v>26000000</v>
      </c>
      <c r="AA617" t="str">
        <f>_xlfn.XLOOKUP(H617,tblDepartment[Department],tblDepartment[Monthly_Target],"")</f>
        <v>100% Payroll Accuracy</v>
      </c>
      <c r="AB617">
        <f>_xlfn.XLOOKUP(H617,tblDepartment[Department],tblDepartment[Average_Salary_INR],"")</f>
        <v>640000</v>
      </c>
      <c r="AC617" t="str">
        <f>_xlfn.XLOOKUP(H617,tblDepartment[Department],tblDepartment[Priority_Level],"")</f>
        <v>High</v>
      </c>
      <c r="AD617" t="str">
        <f>_xlfn.XLOOKUP(H617,tblDepartment[Department],tblDepartment[Key_KPI],"")</f>
        <v>Financial Compliance</v>
      </c>
      <c r="AE617">
        <f>_xlfn.XLOOKUP(tblMaster[[#This Row],[Shift]],tblShift[Shift_Name],tblShift[Login_Time],"")</f>
        <v>0.41666666666666669</v>
      </c>
      <c r="AF617">
        <f>_xlfn.XLOOKUP(tblMaster[[#This Row],[Shift]],tblShift[Shift_Name],tblShift[Logout_Time]," ")</f>
        <v>0.79166666666666663</v>
      </c>
      <c r="AG617">
        <f>_xlfn.XLOOKUP(tblMaster[[#This Row],[Shift]],tblShift[Shift_Name],tblShift[Standard_Working_Hours],"")</f>
        <v>8</v>
      </c>
      <c r="AH617" t="str">
        <f>_xlfn.XLOOKUP(tblMaster[[#This Row],[Attendance_Date]],tblHoliday[Holiday_Date],tblHoliday[Holiday_Name],"Working Day")</f>
        <v>Working Day</v>
      </c>
      <c r="AI617" t="str">
        <f>_xlfn.XLOOKUP(tblMaster[[#This Row],[Attendance_Date]],tblHoliday[Holiday_Date],tblHoliday[Holiday_Type],"Working Day ")</f>
        <v xml:space="preserve">Working Day </v>
      </c>
    </row>
    <row r="618" spans="1:35" hidden="1" x14ac:dyDescent="0.3">
      <c r="A618" t="s">
        <v>807</v>
      </c>
      <c r="B618" s="1">
        <v>45660</v>
      </c>
      <c r="C618" t="s">
        <v>49</v>
      </c>
      <c r="D618" t="s">
        <v>50</v>
      </c>
      <c r="E618" t="s">
        <v>119</v>
      </c>
      <c r="F618" t="s">
        <v>148</v>
      </c>
      <c r="G618" t="s">
        <v>149</v>
      </c>
      <c r="H618" t="s">
        <v>112</v>
      </c>
      <c r="I618" t="s">
        <v>113</v>
      </c>
      <c r="J618" t="s">
        <v>43</v>
      </c>
      <c r="K618" t="s">
        <v>81</v>
      </c>
      <c r="L618" s="2">
        <v>0.38194444444444442</v>
      </c>
      <c r="M618" s="2">
        <v>0.29166666666666669</v>
      </c>
      <c r="N618">
        <v>9.5</v>
      </c>
      <c r="O618">
        <v>1.5</v>
      </c>
      <c r="P618" t="s">
        <v>32</v>
      </c>
      <c r="R618">
        <v>4</v>
      </c>
      <c r="S618" t="s">
        <v>45</v>
      </c>
      <c r="T618" t="s">
        <v>114</v>
      </c>
      <c r="U618" t="s">
        <v>47</v>
      </c>
      <c r="V618" t="s">
        <v>35</v>
      </c>
      <c r="W618">
        <f>_xlfn.XLOOKUP(F618,tblEmployee[Employee_ID],tblEmployee[Age],"Not Found")</f>
        <v>31</v>
      </c>
      <c r="X618" t="str">
        <f>_xlfn.XLOOKUP(F618,tblEmployee[Employee_ID],tblEmployee[Gender],"Not Found")</f>
        <v>Male</v>
      </c>
      <c r="Y618">
        <f>_xlfn.XLOOKUP(F618,tblEmployee[Employee_ID],tblEmployee[Joining_Date],"")</f>
        <v>44484</v>
      </c>
      <c r="Z618">
        <f>_xlfn.XLOOKUP(H618,tblDepartment[Department],tblDepartment[Annual_Budget_INR],"")</f>
        <v>42000000</v>
      </c>
      <c r="AA618" t="str">
        <f>_xlfn.XLOOKUP(H618,tblDepartment[Department],tblDepartment[Monthly_Target],"")</f>
        <v>₹2.5 Cr Monthly Sales</v>
      </c>
      <c r="AB618">
        <f>_xlfn.XLOOKUP(H618,tblDepartment[Department],tblDepartment[Average_Salary_INR],"")</f>
        <v>680000</v>
      </c>
      <c r="AC618" t="str">
        <f>_xlfn.XLOOKUP(H618,tblDepartment[Department],tblDepartment[Priority_Level],"")</f>
        <v>High</v>
      </c>
      <c r="AD618" t="str">
        <f>_xlfn.XLOOKUP(H618,tblDepartment[Department],tblDepartment[Key_KPI],"")</f>
        <v>Revenue Achievement</v>
      </c>
      <c r="AE618">
        <f>_xlfn.XLOOKUP(tblMaster[[#This Row],[Shift]],tblShift[Shift_Name],tblShift[Login_Time],"")</f>
        <v>0.91666666666666663</v>
      </c>
      <c r="AF618">
        <f>_xlfn.XLOOKUP(tblMaster[[#This Row],[Shift]],tblShift[Shift_Name],tblShift[Logout_Time]," ")</f>
        <v>0.29166666666666669</v>
      </c>
      <c r="AG618">
        <f>_xlfn.XLOOKUP(tblMaster[[#This Row],[Shift]],tblShift[Shift_Name],tblShift[Standard_Working_Hours],"")</f>
        <v>8</v>
      </c>
      <c r="AH618" t="str">
        <f>_xlfn.XLOOKUP(tblMaster[[#This Row],[Attendance_Date]],tblHoliday[Holiday_Date],tblHoliday[Holiday_Name],"Working Day")</f>
        <v>Working Day</v>
      </c>
      <c r="AI618" t="str">
        <f>_xlfn.XLOOKUP(tblMaster[[#This Row],[Attendance_Date]],tblHoliday[Holiday_Date],tblHoliday[Holiday_Type],"Working Day ")</f>
        <v xml:space="preserve">Working Day </v>
      </c>
    </row>
    <row r="619" spans="1:35" hidden="1" x14ac:dyDescent="0.3">
      <c r="A619" t="s">
        <v>808</v>
      </c>
      <c r="B619" s="3">
        <v>45801</v>
      </c>
      <c r="C619" t="s">
        <v>57</v>
      </c>
      <c r="D619" t="s">
        <v>24</v>
      </c>
      <c r="E619" t="s">
        <v>38</v>
      </c>
      <c r="F619" t="s">
        <v>231</v>
      </c>
      <c r="G619" t="s">
        <v>232</v>
      </c>
      <c r="H619" t="s">
        <v>98</v>
      </c>
      <c r="I619" t="s">
        <v>99</v>
      </c>
      <c r="J619" t="s">
        <v>74</v>
      </c>
      <c r="K619" t="s">
        <v>75</v>
      </c>
      <c r="L619" s="2">
        <v>0.375</v>
      </c>
      <c r="M619" s="2">
        <v>0.75</v>
      </c>
      <c r="N619">
        <v>8</v>
      </c>
      <c r="O619">
        <v>0</v>
      </c>
      <c r="P619" t="s">
        <v>32</v>
      </c>
      <c r="R619">
        <v>4</v>
      </c>
      <c r="S619" t="s">
        <v>67</v>
      </c>
      <c r="T619" t="s">
        <v>101</v>
      </c>
      <c r="U619" t="s">
        <v>85</v>
      </c>
      <c r="V619" t="s">
        <v>69</v>
      </c>
      <c r="W619">
        <f>_xlfn.XLOOKUP(F619,tblEmployee[Employee_ID],tblEmployee[Age],"Not Found")</f>
        <v>31</v>
      </c>
      <c r="X619" t="str">
        <f>_xlfn.XLOOKUP(F619,tblEmployee[Employee_ID],tblEmployee[Gender],"Not Found")</f>
        <v>Male</v>
      </c>
      <c r="Y619">
        <f>_xlfn.XLOOKUP(F619,tblEmployee[Employee_ID],tblEmployee[Joining_Date],"")</f>
        <v>45397</v>
      </c>
      <c r="Z619">
        <f>_xlfn.XLOOKUP(H619,tblDepartment[Department],tblDepartment[Annual_Budget_INR],"")</f>
        <v>22000000</v>
      </c>
      <c r="AA619" t="str">
        <f>_xlfn.XLOOKUP(H619,tblDepartment[Department],tblDepartment[Monthly_Target],"")</f>
        <v>2500 Qualified Leads</v>
      </c>
      <c r="AB619">
        <f>_xlfn.XLOOKUP(H619,tblDepartment[Department],tblDepartment[Average_Salary_INR],"")</f>
        <v>590000</v>
      </c>
      <c r="AC619" t="str">
        <f>_xlfn.XLOOKUP(H619,tblDepartment[Department],tblDepartment[Priority_Level],"")</f>
        <v>Medium</v>
      </c>
      <c r="AD619" t="str">
        <f>_xlfn.XLOOKUP(H619,tblDepartment[Department],tblDepartment[Key_KPI],"")</f>
        <v>Lead Generation</v>
      </c>
      <c r="AE619">
        <f>_xlfn.XLOOKUP(tblMaster[[#This Row],[Shift]],tblShift[Shift_Name],tblShift[Login_Time],"")</f>
        <v>0.375</v>
      </c>
      <c r="AF619">
        <f>_xlfn.XLOOKUP(tblMaster[[#This Row],[Shift]],tblShift[Shift_Name],tblShift[Logout_Time]," ")</f>
        <v>0.75</v>
      </c>
      <c r="AG619">
        <f>_xlfn.XLOOKUP(tblMaster[[#This Row],[Shift]],tblShift[Shift_Name],tblShift[Standard_Working_Hours],"")</f>
        <v>8</v>
      </c>
      <c r="AH619" t="str">
        <f>_xlfn.XLOOKUP(tblMaster[[#This Row],[Attendance_Date]],tblHoliday[Holiday_Date],tblHoliday[Holiday_Name],"Working Day")</f>
        <v>Working Day</v>
      </c>
      <c r="AI619" t="str">
        <f>_xlfn.XLOOKUP(tblMaster[[#This Row],[Attendance_Date]],tblHoliday[Holiday_Date],tblHoliday[Holiday_Type],"Working Day ")</f>
        <v xml:space="preserve">Working Day </v>
      </c>
    </row>
    <row r="620" spans="1:35" hidden="1" x14ac:dyDescent="0.3">
      <c r="A620" t="s">
        <v>809</v>
      </c>
      <c r="B620" s="3">
        <v>45768</v>
      </c>
      <c r="C620" t="s">
        <v>37</v>
      </c>
      <c r="D620" t="s">
        <v>24</v>
      </c>
      <c r="E620" t="s">
        <v>109</v>
      </c>
      <c r="F620" t="s">
        <v>96</v>
      </c>
      <c r="G620" t="s">
        <v>97</v>
      </c>
      <c r="H620" t="s">
        <v>98</v>
      </c>
      <c r="I620" t="s">
        <v>99</v>
      </c>
      <c r="J620" t="s">
        <v>100</v>
      </c>
      <c r="K620" t="s">
        <v>44</v>
      </c>
      <c r="L620" s="2">
        <v>0.375</v>
      </c>
      <c r="M620" s="2">
        <v>0.75</v>
      </c>
      <c r="N620">
        <v>8</v>
      </c>
      <c r="O620">
        <v>0</v>
      </c>
      <c r="P620" t="s">
        <v>32</v>
      </c>
      <c r="R620">
        <v>4</v>
      </c>
      <c r="S620" t="s">
        <v>67</v>
      </c>
      <c r="T620" t="s">
        <v>101</v>
      </c>
      <c r="U620" t="s">
        <v>47</v>
      </c>
      <c r="V620" t="s">
        <v>69</v>
      </c>
      <c r="W620">
        <f>_xlfn.XLOOKUP(F620,tblEmployee[Employee_ID],tblEmployee[Age],"Not Found")</f>
        <v>34</v>
      </c>
      <c r="X620" t="str">
        <f>_xlfn.XLOOKUP(F620,tblEmployee[Employee_ID],tblEmployee[Gender],"Not Found")</f>
        <v>Female</v>
      </c>
      <c r="Y620">
        <f>_xlfn.XLOOKUP(F620,tblEmployee[Employee_ID],tblEmployee[Joining_Date],"")</f>
        <v>45306</v>
      </c>
      <c r="Z620">
        <f>_xlfn.XLOOKUP(H620,tblDepartment[Department],tblDepartment[Annual_Budget_INR],"")</f>
        <v>22000000</v>
      </c>
      <c r="AA620" t="str">
        <f>_xlfn.XLOOKUP(H620,tblDepartment[Department],tblDepartment[Monthly_Target],"")</f>
        <v>2500 Qualified Leads</v>
      </c>
      <c r="AB620">
        <f>_xlfn.XLOOKUP(H620,tblDepartment[Department],tblDepartment[Average_Salary_INR],"")</f>
        <v>590000</v>
      </c>
      <c r="AC620" t="str">
        <f>_xlfn.XLOOKUP(H620,tblDepartment[Department],tblDepartment[Priority_Level],"")</f>
        <v>Medium</v>
      </c>
      <c r="AD620" t="str">
        <f>_xlfn.XLOOKUP(H620,tblDepartment[Department],tblDepartment[Key_KPI],"")</f>
        <v>Lead Generation</v>
      </c>
      <c r="AE620">
        <f>_xlfn.XLOOKUP(tblMaster[[#This Row],[Shift]],tblShift[Shift_Name],tblShift[Login_Time],"")</f>
        <v>0.41666666666666669</v>
      </c>
      <c r="AF620">
        <f>_xlfn.XLOOKUP(tblMaster[[#This Row],[Shift]],tblShift[Shift_Name],tblShift[Logout_Time]," ")</f>
        <v>0.79166666666666663</v>
      </c>
      <c r="AG620">
        <f>_xlfn.XLOOKUP(tblMaster[[#This Row],[Shift]],tblShift[Shift_Name],tblShift[Standard_Working_Hours],"")</f>
        <v>8</v>
      </c>
      <c r="AH620" t="str">
        <f>_xlfn.XLOOKUP(tblMaster[[#This Row],[Attendance_Date]],tblHoliday[Holiday_Date],tblHoliday[Holiday_Name],"Working Day")</f>
        <v>Working Day</v>
      </c>
      <c r="AI620" t="str">
        <f>_xlfn.XLOOKUP(tblMaster[[#This Row],[Attendance_Date]],tblHoliday[Holiday_Date],tblHoliday[Holiday_Type],"Working Day ")</f>
        <v xml:space="preserve">Working Day </v>
      </c>
    </row>
    <row r="621" spans="1:35" x14ac:dyDescent="0.3">
      <c r="A621" t="s">
        <v>810</v>
      </c>
      <c r="B621" s="1">
        <v>45751</v>
      </c>
      <c r="C621" t="s">
        <v>37</v>
      </c>
      <c r="D621" t="s">
        <v>24</v>
      </c>
      <c r="E621" t="s">
        <v>119</v>
      </c>
      <c r="F621" t="s">
        <v>243</v>
      </c>
      <c r="G621" t="s">
        <v>244</v>
      </c>
      <c r="H621" t="s">
        <v>90</v>
      </c>
      <c r="I621" t="s">
        <v>91</v>
      </c>
      <c r="J621" t="s">
        <v>30</v>
      </c>
      <c r="K621" t="s">
        <v>31</v>
      </c>
      <c r="L621" s="2">
        <v>0.375</v>
      </c>
      <c r="M621" s="2">
        <v>0.75</v>
      </c>
      <c r="N621">
        <v>8</v>
      </c>
      <c r="O621">
        <v>0</v>
      </c>
      <c r="P621" t="s">
        <v>32</v>
      </c>
      <c r="R621">
        <v>4</v>
      </c>
      <c r="S621" t="s">
        <v>92</v>
      </c>
      <c r="T621" t="s">
        <v>93</v>
      </c>
      <c r="U621" t="str">
        <f>_xlfn.XLOOKUP(tblMaster[[#This Row],[Employee_ID]],tblEmployee[Employee_ID],tblEmployee[Work_Mode]," ")</f>
        <v>Remote</v>
      </c>
      <c r="V621" t="s">
        <v>35</v>
      </c>
      <c r="W621">
        <f>_xlfn.XLOOKUP(F621,tblEmployee[Employee_ID],tblEmployee[Age],"Not Found")</f>
        <v>30</v>
      </c>
      <c r="X621" t="str">
        <f>_xlfn.XLOOKUP(F621,tblEmployee[Employee_ID],tblEmployee[Gender],"Not Found")</f>
        <v>Female</v>
      </c>
      <c r="Y621">
        <f>_xlfn.XLOOKUP(F621,tblEmployee[Employee_ID],tblEmployee[Joining_Date],"")</f>
        <v>44089</v>
      </c>
      <c r="Z621">
        <f>_xlfn.XLOOKUP(H621,tblDepartment[Department],tblDepartment[Annual_Budget_INR],"")</f>
        <v>18000000</v>
      </c>
      <c r="AA621" t="str">
        <f>_xlfn.XLOOKUP(H621,tblDepartment[Department],tblDepartment[Monthly_Target],"")</f>
        <v>&lt;30 Days Hiring Cycle</v>
      </c>
      <c r="AB621">
        <f>_xlfn.XLOOKUP(H621,tblDepartment[Department],tblDepartment[Average_Salary_INR],"")</f>
        <v>560000</v>
      </c>
      <c r="AC621" t="str">
        <f>_xlfn.XLOOKUP(H621,tblDepartment[Department],tblDepartment[Priority_Level],"")</f>
        <v>Medium</v>
      </c>
      <c r="AD621" t="str">
        <f>_xlfn.XLOOKUP(H621,tblDepartment[Department],tblDepartment[Key_KPI],"")</f>
        <v>Hiring &amp; Retention</v>
      </c>
      <c r="AE621">
        <f>_xlfn.XLOOKUP(tblMaster[[#This Row],[Shift]],tblShift[Shift_Name],tblShift[Login_Time],"")</f>
        <v>0.25</v>
      </c>
      <c r="AF621">
        <f>_xlfn.XLOOKUP(tblMaster[[#This Row],[Shift]],tblShift[Shift_Name],tblShift[Logout_Time]," ")</f>
        <v>0.625</v>
      </c>
      <c r="AG621">
        <f>_xlfn.XLOOKUP(tblMaster[[#This Row],[Shift]],tblShift[Shift_Name],tblShift[Standard_Working_Hours],"")</f>
        <v>8</v>
      </c>
      <c r="AH621" t="str">
        <f>_xlfn.XLOOKUP(tblMaster[[#This Row],[Attendance_Date]],tblHoliday[Holiday_Date],tblHoliday[Holiday_Name],"Working Day")</f>
        <v>Working Day</v>
      </c>
      <c r="AI621" t="str">
        <f>_xlfn.XLOOKUP(tblMaster[[#This Row],[Attendance_Date]],tblHoliday[Holiday_Date],tblHoliday[Holiday_Type],"Working Day ")</f>
        <v xml:space="preserve">Working Day </v>
      </c>
    </row>
    <row r="622" spans="1:35" hidden="1" x14ac:dyDescent="0.3">
      <c r="A622" t="s">
        <v>811</v>
      </c>
      <c r="B622" s="3">
        <v>45722</v>
      </c>
      <c r="C622" t="s">
        <v>71</v>
      </c>
      <c r="D622" t="s">
        <v>50</v>
      </c>
      <c r="E622" t="s">
        <v>25</v>
      </c>
      <c r="F622" t="s">
        <v>154</v>
      </c>
      <c r="G622" t="s">
        <v>155</v>
      </c>
      <c r="H622" t="s">
        <v>41</v>
      </c>
      <c r="I622" t="s">
        <v>42</v>
      </c>
      <c r="J622" t="s">
        <v>74</v>
      </c>
      <c r="K622" t="s">
        <v>81</v>
      </c>
      <c r="L622" s="2">
        <v>0.91666666666666663</v>
      </c>
      <c r="M622" s="2">
        <v>0.29166666666666669</v>
      </c>
      <c r="N622">
        <v>10</v>
      </c>
      <c r="O622">
        <v>2</v>
      </c>
      <c r="P622" t="s">
        <v>32</v>
      </c>
      <c r="R622">
        <v>3</v>
      </c>
      <c r="S622" t="s">
        <v>92</v>
      </c>
      <c r="T622" t="s">
        <v>46</v>
      </c>
      <c r="U622" t="s">
        <v>55</v>
      </c>
      <c r="V622" t="s">
        <v>60</v>
      </c>
      <c r="W622">
        <f>_xlfn.XLOOKUP(F622,tblEmployee[Employee_ID],tblEmployee[Age],"Not Found")</f>
        <v>33</v>
      </c>
      <c r="X622" t="str">
        <f>_xlfn.XLOOKUP(F622,tblEmployee[Employee_ID],tblEmployee[Gender],"Not Found")</f>
        <v>Male</v>
      </c>
      <c r="Y622">
        <f>_xlfn.XLOOKUP(F622,tblEmployee[Employee_ID],tblEmployee[Joining_Date],"")</f>
        <v>45275</v>
      </c>
      <c r="Z622">
        <f>_xlfn.XLOOKUP(H622,tblDepartment[Department],tblDepartment[Annual_Budget_INR],"")</f>
        <v>34000000</v>
      </c>
      <c r="AA622" t="str">
        <f>_xlfn.XLOOKUP(H622,tblDepartment[Department],tblDepartment[Monthly_Target],"")</f>
        <v>95% Process Efficiency</v>
      </c>
      <c r="AB622">
        <f>_xlfn.XLOOKUP(H622,tblDepartment[Department],tblDepartment[Average_Salary_INR],"")</f>
        <v>610000</v>
      </c>
      <c r="AC622" t="str">
        <f>_xlfn.XLOOKUP(H622,tblDepartment[Department],tblDepartment[Priority_Level],"")</f>
        <v>High</v>
      </c>
      <c r="AD622" t="str">
        <f>_xlfn.XLOOKUP(H622,tblDepartment[Department],tblDepartment[Key_KPI],"")</f>
        <v>Operational Efficiency</v>
      </c>
      <c r="AE622">
        <f>_xlfn.XLOOKUP(tblMaster[[#This Row],[Shift]],tblShift[Shift_Name],tblShift[Login_Time],"")</f>
        <v>0.91666666666666663</v>
      </c>
      <c r="AF622">
        <f>_xlfn.XLOOKUP(tblMaster[[#This Row],[Shift]],tblShift[Shift_Name],tblShift[Logout_Time]," ")</f>
        <v>0.29166666666666669</v>
      </c>
      <c r="AG622">
        <f>_xlfn.XLOOKUP(tblMaster[[#This Row],[Shift]],tblShift[Shift_Name],tblShift[Standard_Working_Hours],"")</f>
        <v>8</v>
      </c>
      <c r="AH622" t="str">
        <f>_xlfn.XLOOKUP(tblMaster[[#This Row],[Attendance_Date]],tblHoliday[Holiday_Date],tblHoliday[Holiday_Name],"Working Day")</f>
        <v>Working Day</v>
      </c>
      <c r="AI622" t="str">
        <f>_xlfn.XLOOKUP(tblMaster[[#This Row],[Attendance_Date]],tblHoliday[Holiday_Date],tblHoliday[Holiday_Type],"Working Day ")</f>
        <v xml:space="preserve">Working Day </v>
      </c>
    </row>
    <row r="623" spans="1:35" hidden="1" x14ac:dyDescent="0.3">
      <c r="A623" t="s">
        <v>812</v>
      </c>
      <c r="B623" s="3">
        <v>45769</v>
      </c>
      <c r="C623" t="s">
        <v>37</v>
      </c>
      <c r="D623" t="s">
        <v>24</v>
      </c>
      <c r="E623" t="s">
        <v>87</v>
      </c>
      <c r="F623" t="s">
        <v>154</v>
      </c>
      <c r="G623" t="s">
        <v>155</v>
      </c>
      <c r="H623" t="s">
        <v>41</v>
      </c>
      <c r="I623" t="s">
        <v>42</v>
      </c>
      <c r="J623" t="s">
        <v>74</v>
      </c>
      <c r="K623" t="s">
        <v>54</v>
      </c>
      <c r="L623" s="2">
        <v>0.375</v>
      </c>
      <c r="M623" s="2">
        <v>0.75</v>
      </c>
      <c r="N623">
        <v>8</v>
      </c>
      <c r="O623">
        <v>0</v>
      </c>
      <c r="P623" t="s">
        <v>32</v>
      </c>
      <c r="R623">
        <v>3</v>
      </c>
      <c r="S623" t="s">
        <v>67</v>
      </c>
      <c r="T623" t="s">
        <v>46</v>
      </c>
      <c r="U623" t="s">
        <v>85</v>
      </c>
      <c r="V623" t="s">
        <v>69</v>
      </c>
      <c r="W623">
        <f>_xlfn.XLOOKUP(F623,tblEmployee[Employee_ID],tblEmployee[Age],"Not Found")</f>
        <v>33</v>
      </c>
      <c r="X623" t="str">
        <f>_xlfn.XLOOKUP(F623,tblEmployee[Employee_ID],tblEmployee[Gender],"Not Found")</f>
        <v>Male</v>
      </c>
      <c r="Y623">
        <f>_xlfn.XLOOKUP(F623,tblEmployee[Employee_ID],tblEmployee[Joining_Date],"")</f>
        <v>45275</v>
      </c>
      <c r="Z623">
        <f>_xlfn.XLOOKUP(H623,tblDepartment[Department],tblDepartment[Annual_Budget_INR],"")</f>
        <v>34000000</v>
      </c>
      <c r="AA623" t="str">
        <f>_xlfn.XLOOKUP(H623,tblDepartment[Department],tblDepartment[Monthly_Target],"")</f>
        <v>95% Process Efficiency</v>
      </c>
      <c r="AB623">
        <f>_xlfn.XLOOKUP(H623,tblDepartment[Department],tblDepartment[Average_Salary_INR],"")</f>
        <v>610000</v>
      </c>
      <c r="AC623" t="str">
        <f>_xlfn.XLOOKUP(H623,tblDepartment[Department],tblDepartment[Priority_Level],"")</f>
        <v>High</v>
      </c>
      <c r="AD623" t="str">
        <f>_xlfn.XLOOKUP(H623,tblDepartment[Department],tblDepartment[Key_KPI],"")</f>
        <v>Operational Efficiency</v>
      </c>
      <c r="AE623">
        <f>_xlfn.XLOOKUP(tblMaster[[#This Row],[Shift]],tblShift[Shift_Name],tblShift[Login_Time],"")</f>
        <v>0.58333333333333337</v>
      </c>
      <c r="AF623">
        <f>_xlfn.XLOOKUP(tblMaster[[#This Row],[Shift]],tblShift[Shift_Name],tblShift[Logout_Time]," ")</f>
        <v>0.95833333333333337</v>
      </c>
      <c r="AG623">
        <f>_xlfn.XLOOKUP(tblMaster[[#This Row],[Shift]],tblShift[Shift_Name],tblShift[Standard_Working_Hours],"")</f>
        <v>8</v>
      </c>
      <c r="AH623" t="str">
        <f>_xlfn.XLOOKUP(tblMaster[[#This Row],[Attendance_Date]],tblHoliday[Holiday_Date],tblHoliday[Holiday_Name],"Working Day")</f>
        <v>Working Day</v>
      </c>
      <c r="AI623" t="str">
        <f>_xlfn.XLOOKUP(tblMaster[[#This Row],[Attendance_Date]],tblHoliday[Holiday_Date],tblHoliday[Holiday_Type],"Working Day ")</f>
        <v xml:space="preserve">Working Day </v>
      </c>
    </row>
    <row r="624" spans="1:35" hidden="1" x14ac:dyDescent="0.3">
      <c r="A624" t="s">
        <v>813</v>
      </c>
      <c r="B624" s="1">
        <v>45752</v>
      </c>
      <c r="C624" t="s">
        <v>37</v>
      </c>
      <c r="D624" t="s">
        <v>24</v>
      </c>
      <c r="E624" t="s">
        <v>38</v>
      </c>
      <c r="F624" t="s">
        <v>116</v>
      </c>
      <c r="G624" t="s">
        <v>117</v>
      </c>
      <c r="H624" t="s">
        <v>112</v>
      </c>
      <c r="I624" t="s">
        <v>113</v>
      </c>
      <c r="J624" t="s">
        <v>100</v>
      </c>
      <c r="K624" t="s">
        <v>81</v>
      </c>
      <c r="M624" s="2">
        <v>0.29166666666666669</v>
      </c>
      <c r="N624">
        <v>9</v>
      </c>
      <c r="O624">
        <v>1</v>
      </c>
      <c r="P624" t="s">
        <v>32</v>
      </c>
      <c r="R624">
        <v>3</v>
      </c>
      <c r="S624" t="s">
        <v>45</v>
      </c>
      <c r="T624" t="s">
        <v>114</v>
      </c>
      <c r="U624" t="s">
        <v>55</v>
      </c>
      <c r="V624" t="s">
        <v>69</v>
      </c>
      <c r="W624">
        <f>_xlfn.XLOOKUP(F624,tblEmployee[Employee_ID],tblEmployee[Age],"Not Found")</f>
        <v>24</v>
      </c>
      <c r="X624" t="str">
        <f>_xlfn.XLOOKUP(F624,tblEmployee[Employee_ID],tblEmployee[Gender],"Not Found")</f>
        <v>Male</v>
      </c>
      <c r="Y624">
        <f>_xlfn.XLOOKUP(F624,tblEmployee[Employee_ID],tblEmployee[Joining_Date],"")</f>
        <v>44270</v>
      </c>
      <c r="Z624">
        <f>_xlfn.XLOOKUP(H624,tblDepartment[Department],tblDepartment[Annual_Budget_INR],"")</f>
        <v>42000000</v>
      </c>
      <c r="AA624" t="str">
        <f>_xlfn.XLOOKUP(H624,tblDepartment[Department],tblDepartment[Monthly_Target],"")</f>
        <v>₹2.5 Cr Monthly Sales</v>
      </c>
      <c r="AB624">
        <f>_xlfn.XLOOKUP(H624,tblDepartment[Department],tblDepartment[Average_Salary_INR],"")</f>
        <v>680000</v>
      </c>
      <c r="AC624" t="str">
        <f>_xlfn.XLOOKUP(H624,tblDepartment[Department],tblDepartment[Priority_Level],"")</f>
        <v>High</v>
      </c>
      <c r="AD624" t="str">
        <f>_xlfn.XLOOKUP(H624,tblDepartment[Department],tblDepartment[Key_KPI],"")</f>
        <v>Revenue Achievement</v>
      </c>
      <c r="AE624">
        <f>_xlfn.XLOOKUP(tblMaster[[#This Row],[Shift]],tblShift[Shift_Name],tblShift[Login_Time],"")</f>
        <v>0.91666666666666663</v>
      </c>
      <c r="AF624">
        <f>_xlfn.XLOOKUP(tblMaster[[#This Row],[Shift]],tblShift[Shift_Name],tblShift[Logout_Time]," ")</f>
        <v>0.29166666666666669</v>
      </c>
      <c r="AG624">
        <f>_xlfn.XLOOKUP(tblMaster[[#This Row],[Shift]],tblShift[Shift_Name],tblShift[Standard_Working_Hours],"")</f>
        <v>8</v>
      </c>
      <c r="AH624" t="str">
        <f>_xlfn.XLOOKUP(tblMaster[[#This Row],[Attendance_Date]],tblHoliday[Holiday_Date],tblHoliday[Holiday_Name],"Working Day")</f>
        <v>Working Day</v>
      </c>
      <c r="AI624" t="str">
        <f>_xlfn.XLOOKUP(tblMaster[[#This Row],[Attendance_Date]],tblHoliday[Holiday_Date],tblHoliday[Holiday_Type],"Working Day ")</f>
        <v xml:space="preserve">Working Day </v>
      </c>
    </row>
    <row r="625" spans="1:35" hidden="1" x14ac:dyDescent="0.3">
      <c r="A625" t="s">
        <v>814</v>
      </c>
      <c r="B625" s="1">
        <v>45799</v>
      </c>
      <c r="C625" t="s">
        <v>57</v>
      </c>
      <c r="D625" t="s">
        <v>24</v>
      </c>
      <c r="E625" t="s">
        <v>25</v>
      </c>
      <c r="F625" t="s">
        <v>26</v>
      </c>
      <c r="G625" t="s">
        <v>27</v>
      </c>
      <c r="H625" t="s">
        <v>28</v>
      </c>
      <c r="I625" t="s">
        <v>29</v>
      </c>
      <c r="J625" t="s">
        <v>30</v>
      </c>
      <c r="K625" t="s">
        <v>31</v>
      </c>
      <c r="L625" s="2">
        <v>0.375</v>
      </c>
      <c r="M625" s="2">
        <v>0.75</v>
      </c>
      <c r="N625">
        <v>8</v>
      </c>
      <c r="O625">
        <v>0</v>
      </c>
      <c r="P625" t="s">
        <v>32</v>
      </c>
      <c r="R625">
        <v>4</v>
      </c>
      <c r="S625" t="s">
        <v>45</v>
      </c>
      <c r="T625" t="s">
        <v>34</v>
      </c>
      <c r="U625" t="s">
        <v>85</v>
      </c>
      <c r="V625" t="s">
        <v>35</v>
      </c>
      <c r="W625">
        <f>_xlfn.XLOOKUP(F625,tblEmployee[Employee_ID],tblEmployee[Age],"Not Found")</f>
        <v>36</v>
      </c>
      <c r="X625" t="str">
        <f>_xlfn.XLOOKUP(F625,tblEmployee[Employee_ID],tblEmployee[Gender],"Not Found")</f>
        <v>Female</v>
      </c>
      <c r="Y625">
        <f>_xlfn.XLOOKUP(F625,tblEmployee[Employee_ID],tblEmployee[Joining_Date],"")</f>
        <v>43174</v>
      </c>
      <c r="Z625">
        <f>_xlfn.XLOOKUP(H625,tblDepartment[Department],tblDepartment[Annual_Budget_INR],"")</f>
        <v>24000000</v>
      </c>
      <c r="AA625" t="str">
        <f>_xlfn.XLOOKUP(H625,tblDepartment[Department],tblDepartment[Monthly_Target],"")</f>
        <v>90% Customer Satisfaction</v>
      </c>
      <c r="AB625">
        <f>_xlfn.XLOOKUP(H625,tblDepartment[Department],tblDepartment[Average_Salary_INR],"")</f>
        <v>520000</v>
      </c>
      <c r="AC625" t="str">
        <f>_xlfn.XLOOKUP(H625,tblDepartment[Department],tblDepartment[Priority_Level],"")</f>
        <v>High</v>
      </c>
      <c r="AD625" t="str">
        <f>_xlfn.XLOOKUP(H625,tblDepartment[Department],tblDepartment[Key_KPI],"")</f>
        <v>Customer Satisfaction</v>
      </c>
      <c r="AE625">
        <f>_xlfn.XLOOKUP(tblMaster[[#This Row],[Shift]],tblShift[Shift_Name],tblShift[Login_Time],"")</f>
        <v>0.25</v>
      </c>
      <c r="AF625">
        <f>_xlfn.XLOOKUP(tblMaster[[#This Row],[Shift]],tblShift[Shift_Name],tblShift[Logout_Time]," ")</f>
        <v>0.625</v>
      </c>
      <c r="AG625">
        <f>_xlfn.XLOOKUP(tblMaster[[#This Row],[Shift]],tblShift[Shift_Name],tblShift[Standard_Working_Hours],"")</f>
        <v>8</v>
      </c>
      <c r="AH625" t="str">
        <f>_xlfn.XLOOKUP(tblMaster[[#This Row],[Attendance_Date]],tblHoliday[Holiday_Date],tblHoliday[Holiday_Name],"Working Day")</f>
        <v>Working Day</v>
      </c>
      <c r="AI625" t="str">
        <f>_xlfn.XLOOKUP(tblMaster[[#This Row],[Attendance_Date]],tblHoliday[Holiday_Date],tblHoliday[Holiday_Type],"Working Day ")</f>
        <v xml:space="preserve">Working Day </v>
      </c>
    </row>
    <row r="626" spans="1:35" hidden="1" x14ac:dyDescent="0.3">
      <c r="A626" t="s">
        <v>815</v>
      </c>
      <c r="B626" s="3">
        <v>45816</v>
      </c>
      <c r="C626" t="s">
        <v>23</v>
      </c>
      <c r="D626" t="s">
        <v>24</v>
      </c>
      <c r="E626" t="s">
        <v>103</v>
      </c>
      <c r="F626" t="s">
        <v>145</v>
      </c>
      <c r="G626" t="s">
        <v>146</v>
      </c>
      <c r="H626" t="s">
        <v>90</v>
      </c>
      <c r="I626" t="s">
        <v>91</v>
      </c>
      <c r="J626" t="s">
        <v>100</v>
      </c>
      <c r="K626" t="s">
        <v>31</v>
      </c>
      <c r="L626" s="2">
        <v>0.375</v>
      </c>
      <c r="M626" s="2">
        <v>0.75</v>
      </c>
      <c r="N626">
        <v>8</v>
      </c>
      <c r="O626">
        <v>0</v>
      </c>
      <c r="P626" t="s">
        <v>32</v>
      </c>
      <c r="R626">
        <v>3</v>
      </c>
      <c r="S626" t="s">
        <v>92</v>
      </c>
      <c r="T626" t="s">
        <v>93</v>
      </c>
      <c r="U626" t="s">
        <v>47</v>
      </c>
      <c r="W626">
        <f>_xlfn.XLOOKUP(F626,tblEmployee[Employee_ID],tblEmployee[Age],"Not Found")</f>
        <v>27</v>
      </c>
      <c r="X626" t="str">
        <f>_xlfn.XLOOKUP(F626,tblEmployee[Employee_ID],tblEmployee[Gender],"Not Found")</f>
        <v>Male</v>
      </c>
      <c r="Y626">
        <f>_xlfn.XLOOKUP(F626,tblEmployee[Employee_ID],tblEmployee[Joining_Date],"")</f>
        <v>44180</v>
      </c>
      <c r="Z626">
        <f>_xlfn.XLOOKUP(H626,tblDepartment[Department],tblDepartment[Annual_Budget_INR],"")</f>
        <v>18000000</v>
      </c>
      <c r="AA626" t="str">
        <f>_xlfn.XLOOKUP(H626,tblDepartment[Department],tblDepartment[Monthly_Target],"")</f>
        <v>&lt;30 Days Hiring Cycle</v>
      </c>
      <c r="AB626">
        <f>_xlfn.XLOOKUP(H626,tblDepartment[Department],tblDepartment[Average_Salary_INR],"")</f>
        <v>560000</v>
      </c>
      <c r="AC626" t="str">
        <f>_xlfn.XLOOKUP(H626,tblDepartment[Department],tblDepartment[Priority_Level],"")</f>
        <v>Medium</v>
      </c>
      <c r="AD626" t="str">
        <f>_xlfn.XLOOKUP(H626,tblDepartment[Department],tblDepartment[Key_KPI],"")</f>
        <v>Hiring &amp; Retention</v>
      </c>
      <c r="AE626">
        <f>_xlfn.XLOOKUP(tblMaster[[#This Row],[Shift]],tblShift[Shift_Name],tblShift[Login_Time],"")</f>
        <v>0.25</v>
      </c>
      <c r="AF626">
        <f>_xlfn.XLOOKUP(tblMaster[[#This Row],[Shift]],tblShift[Shift_Name],tblShift[Logout_Time]," ")</f>
        <v>0.625</v>
      </c>
      <c r="AG626">
        <f>_xlfn.XLOOKUP(tblMaster[[#This Row],[Shift]],tblShift[Shift_Name],tblShift[Standard_Working_Hours],"")</f>
        <v>8</v>
      </c>
      <c r="AH626" t="str">
        <f>_xlfn.XLOOKUP(tblMaster[[#This Row],[Attendance_Date]],tblHoliday[Holiday_Date],tblHoliday[Holiday_Name],"Working Day")</f>
        <v>Working Day</v>
      </c>
      <c r="AI626" t="str">
        <f>_xlfn.XLOOKUP(tblMaster[[#This Row],[Attendance_Date]],tblHoliday[Holiday_Date],tblHoliday[Holiday_Type],"Working Day ")</f>
        <v xml:space="preserve">Working Day </v>
      </c>
    </row>
    <row r="627" spans="1:35" x14ac:dyDescent="0.3">
      <c r="A627" t="s">
        <v>816</v>
      </c>
      <c r="B627" s="1">
        <v>45727</v>
      </c>
      <c r="C627" t="s">
        <v>71</v>
      </c>
      <c r="D627" t="s">
        <v>50</v>
      </c>
      <c r="E627" t="s">
        <v>87</v>
      </c>
      <c r="F627" t="s">
        <v>72</v>
      </c>
      <c r="G627" t="s">
        <v>73</v>
      </c>
      <c r="H627" t="s">
        <v>28</v>
      </c>
      <c r="I627" t="s">
        <v>29</v>
      </c>
      <c r="J627" t="s">
        <v>74</v>
      </c>
      <c r="K627" t="s">
        <v>44</v>
      </c>
      <c r="L627" s="2">
        <v>0.375</v>
      </c>
      <c r="M627" s="2">
        <v>0.75</v>
      </c>
      <c r="N627">
        <v>8</v>
      </c>
      <c r="O627">
        <v>0</v>
      </c>
      <c r="P627" t="s">
        <v>32</v>
      </c>
      <c r="R627">
        <v>3</v>
      </c>
      <c r="S627" t="s">
        <v>67</v>
      </c>
      <c r="T627" t="s">
        <v>34</v>
      </c>
      <c r="U627" t="str">
        <f>_xlfn.XLOOKUP(tblMaster[[#This Row],[Employee_ID]],tblEmployee[Employee_ID],tblEmployee[Work_Mode]," ")</f>
        <v>Office</v>
      </c>
      <c r="V627" t="s">
        <v>35</v>
      </c>
      <c r="W627">
        <f>_xlfn.XLOOKUP(F627,tblEmployee[Employee_ID],tblEmployee[Age],"Not Found")</f>
        <v>28</v>
      </c>
      <c r="X627" t="str">
        <f>_xlfn.XLOOKUP(F627,tblEmployee[Employee_ID],tblEmployee[Gender],"Not Found")</f>
        <v>Female</v>
      </c>
      <c r="Y627">
        <f>_xlfn.XLOOKUP(F627,tblEmployee[Employee_ID],tblEmployee[Joining_Date],"")</f>
        <v>43296</v>
      </c>
      <c r="Z627">
        <f>_xlfn.XLOOKUP(H627,tblDepartment[Department],tblDepartment[Annual_Budget_INR],"")</f>
        <v>24000000</v>
      </c>
      <c r="AA627" t="str">
        <f>_xlfn.XLOOKUP(H627,tblDepartment[Department],tblDepartment[Monthly_Target],"")</f>
        <v>90% Customer Satisfaction</v>
      </c>
      <c r="AB627">
        <f>_xlfn.XLOOKUP(H627,tblDepartment[Department],tblDepartment[Average_Salary_INR],"")</f>
        <v>520000</v>
      </c>
      <c r="AC627" t="str">
        <f>_xlfn.XLOOKUP(H627,tblDepartment[Department],tblDepartment[Priority_Level],"")</f>
        <v>High</v>
      </c>
      <c r="AD627" t="str">
        <f>_xlfn.XLOOKUP(H627,tblDepartment[Department],tblDepartment[Key_KPI],"")</f>
        <v>Customer Satisfaction</v>
      </c>
      <c r="AE627">
        <f>_xlfn.XLOOKUP(tblMaster[[#This Row],[Shift]],tblShift[Shift_Name],tblShift[Login_Time],"")</f>
        <v>0.41666666666666669</v>
      </c>
      <c r="AF627">
        <f>_xlfn.XLOOKUP(tblMaster[[#This Row],[Shift]],tblShift[Shift_Name],tblShift[Logout_Time]," ")</f>
        <v>0.79166666666666663</v>
      </c>
      <c r="AG627">
        <f>_xlfn.XLOOKUP(tblMaster[[#This Row],[Shift]],tblShift[Shift_Name],tblShift[Standard_Working_Hours],"")</f>
        <v>8</v>
      </c>
      <c r="AH627" t="str">
        <f>_xlfn.XLOOKUP(tblMaster[[#This Row],[Attendance_Date]],tblHoliday[Holiday_Date],tblHoliday[Holiday_Name],"Working Day")</f>
        <v>Working Day</v>
      </c>
      <c r="AI627" t="str">
        <f>_xlfn.XLOOKUP(tblMaster[[#This Row],[Attendance_Date]],tblHoliday[Holiday_Date],tblHoliday[Holiday_Type],"Working Day ")</f>
        <v xml:space="preserve">Working Day </v>
      </c>
    </row>
    <row r="628" spans="1:35" hidden="1" x14ac:dyDescent="0.3">
      <c r="A628" t="s">
        <v>817</v>
      </c>
      <c r="B628" s="3">
        <v>45831</v>
      </c>
      <c r="C628" t="s">
        <v>23</v>
      </c>
      <c r="D628" t="s">
        <v>24</v>
      </c>
      <c r="E628" t="s">
        <v>109</v>
      </c>
      <c r="F628" t="s">
        <v>127</v>
      </c>
      <c r="G628" t="s">
        <v>128</v>
      </c>
      <c r="H628" t="s">
        <v>90</v>
      </c>
      <c r="I628" t="s">
        <v>91</v>
      </c>
      <c r="J628" t="s">
        <v>66</v>
      </c>
      <c r="K628" t="s">
        <v>31</v>
      </c>
      <c r="P628" t="s">
        <v>135</v>
      </c>
      <c r="S628" t="s">
        <v>33</v>
      </c>
      <c r="T628" t="s">
        <v>93</v>
      </c>
      <c r="U628" t="s">
        <v>55</v>
      </c>
      <c r="V628" t="s">
        <v>69</v>
      </c>
      <c r="W628">
        <f>_xlfn.XLOOKUP(F628,tblEmployee[Employee_ID],tblEmployee[Age],"Not Found")</f>
        <v>38</v>
      </c>
      <c r="X628" t="str">
        <f>_xlfn.XLOOKUP(F628,tblEmployee[Employee_ID],tblEmployee[Gender],"Not Found")</f>
        <v>Female</v>
      </c>
      <c r="Y628">
        <f>_xlfn.XLOOKUP(F628,tblEmployee[Employee_ID],tblEmployee[Joining_Date],"")</f>
        <v>43966</v>
      </c>
      <c r="Z628">
        <f>_xlfn.XLOOKUP(H628,tblDepartment[Department],tblDepartment[Annual_Budget_INR],"")</f>
        <v>18000000</v>
      </c>
      <c r="AA628" t="str">
        <f>_xlfn.XLOOKUP(H628,tblDepartment[Department],tblDepartment[Monthly_Target],"")</f>
        <v>&lt;30 Days Hiring Cycle</v>
      </c>
      <c r="AB628">
        <f>_xlfn.XLOOKUP(H628,tblDepartment[Department],tblDepartment[Average_Salary_INR],"")</f>
        <v>560000</v>
      </c>
      <c r="AC628" t="str">
        <f>_xlfn.XLOOKUP(H628,tblDepartment[Department],tblDepartment[Priority_Level],"")</f>
        <v>Medium</v>
      </c>
      <c r="AD628" t="str">
        <f>_xlfn.XLOOKUP(H628,tblDepartment[Department],tblDepartment[Key_KPI],"")</f>
        <v>Hiring &amp; Retention</v>
      </c>
      <c r="AE628">
        <f>_xlfn.XLOOKUP(tblMaster[[#This Row],[Shift]],tblShift[Shift_Name],tblShift[Login_Time],"")</f>
        <v>0.25</v>
      </c>
      <c r="AF628">
        <f>_xlfn.XLOOKUP(tblMaster[[#This Row],[Shift]],tblShift[Shift_Name],tblShift[Logout_Time]," ")</f>
        <v>0.625</v>
      </c>
      <c r="AG628">
        <f>_xlfn.XLOOKUP(tblMaster[[#This Row],[Shift]],tblShift[Shift_Name],tblShift[Standard_Working_Hours],"")</f>
        <v>8</v>
      </c>
      <c r="AH628" t="str">
        <f>_xlfn.XLOOKUP(tblMaster[[#This Row],[Attendance_Date]],tblHoliday[Holiday_Date],tblHoliday[Holiday_Name],"Working Day")</f>
        <v>Working Day</v>
      </c>
      <c r="AI628" t="str">
        <f>_xlfn.XLOOKUP(tblMaster[[#This Row],[Attendance_Date]],tblHoliday[Holiday_Date],tblHoliday[Holiday_Type],"Working Day ")</f>
        <v xml:space="preserve">Working Day </v>
      </c>
    </row>
    <row r="629" spans="1:35" hidden="1" x14ac:dyDescent="0.3">
      <c r="A629" t="s">
        <v>818</v>
      </c>
      <c r="B629" s="3">
        <v>45664</v>
      </c>
      <c r="C629" t="s">
        <v>49</v>
      </c>
      <c r="D629" t="s">
        <v>50</v>
      </c>
      <c r="E629" t="s">
        <v>87</v>
      </c>
      <c r="F629" t="s">
        <v>231</v>
      </c>
      <c r="G629" t="s">
        <v>232</v>
      </c>
      <c r="H629" t="s">
        <v>98</v>
      </c>
      <c r="I629" t="s">
        <v>99</v>
      </c>
      <c r="J629" t="s">
        <v>74</v>
      </c>
      <c r="K629" t="s">
        <v>81</v>
      </c>
      <c r="L629" s="2">
        <v>0.91666666666666663</v>
      </c>
      <c r="M629" s="2">
        <v>0.29166666666666669</v>
      </c>
      <c r="N629">
        <v>10</v>
      </c>
      <c r="O629">
        <v>2</v>
      </c>
      <c r="P629" t="s">
        <v>32</v>
      </c>
      <c r="R629">
        <v>4</v>
      </c>
      <c r="S629" t="s">
        <v>33</v>
      </c>
      <c r="T629" t="s">
        <v>101</v>
      </c>
      <c r="U629" t="s">
        <v>85</v>
      </c>
      <c r="V629" t="s">
        <v>60</v>
      </c>
      <c r="W629">
        <f>_xlfn.XLOOKUP(F629,tblEmployee[Employee_ID],tblEmployee[Age],"Not Found")</f>
        <v>31</v>
      </c>
      <c r="X629" t="str">
        <f>_xlfn.XLOOKUP(F629,tblEmployee[Employee_ID],tblEmployee[Gender],"Not Found")</f>
        <v>Male</v>
      </c>
      <c r="Y629">
        <f>_xlfn.XLOOKUP(F629,tblEmployee[Employee_ID],tblEmployee[Joining_Date],"")</f>
        <v>45397</v>
      </c>
      <c r="Z629">
        <f>_xlfn.XLOOKUP(H629,tblDepartment[Department],tblDepartment[Annual_Budget_INR],"")</f>
        <v>22000000</v>
      </c>
      <c r="AA629" t="str">
        <f>_xlfn.XLOOKUP(H629,tblDepartment[Department],tblDepartment[Monthly_Target],"")</f>
        <v>2500 Qualified Leads</v>
      </c>
      <c r="AB629">
        <f>_xlfn.XLOOKUP(H629,tblDepartment[Department],tblDepartment[Average_Salary_INR],"")</f>
        <v>590000</v>
      </c>
      <c r="AC629" t="str">
        <f>_xlfn.XLOOKUP(H629,tblDepartment[Department],tblDepartment[Priority_Level],"")</f>
        <v>Medium</v>
      </c>
      <c r="AD629" t="str">
        <f>_xlfn.XLOOKUP(H629,tblDepartment[Department],tblDepartment[Key_KPI],"")</f>
        <v>Lead Generation</v>
      </c>
      <c r="AE629">
        <f>_xlfn.XLOOKUP(tblMaster[[#This Row],[Shift]],tblShift[Shift_Name],tblShift[Login_Time],"")</f>
        <v>0.91666666666666663</v>
      </c>
      <c r="AF629">
        <f>_xlfn.XLOOKUP(tblMaster[[#This Row],[Shift]],tblShift[Shift_Name],tblShift[Logout_Time]," ")</f>
        <v>0.29166666666666669</v>
      </c>
      <c r="AG629">
        <f>_xlfn.XLOOKUP(tblMaster[[#This Row],[Shift]],tblShift[Shift_Name],tblShift[Standard_Working_Hours],"")</f>
        <v>8</v>
      </c>
      <c r="AH629" t="str">
        <f>_xlfn.XLOOKUP(tblMaster[[#This Row],[Attendance_Date]],tblHoliday[Holiday_Date],tblHoliday[Holiday_Name],"Working Day")</f>
        <v>Working Day</v>
      </c>
      <c r="AI629" t="str">
        <f>_xlfn.XLOOKUP(tblMaster[[#This Row],[Attendance_Date]],tblHoliday[Holiday_Date],tblHoliday[Holiday_Type],"Working Day ")</f>
        <v xml:space="preserve">Working Day </v>
      </c>
    </row>
    <row r="630" spans="1:35" hidden="1" x14ac:dyDescent="0.3">
      <c r="A630" t="s">
        <v>819</v>
      </c>
      <c r="B630" s="1">
        <v>45796</v>
      </c>
      <c r="C630" t="s">
        <v>57</v>
      </c>
      <c r="D630" t="s">
        <v>24</v>
      </c>
      <c r="E630" t="s">
        <v>109</v>
      </c>
      <c r="F630" t="s">
        <v>159</v>
      </c>
      <c r="G630" t="s">
        <v>160</v>
      </c>
      <c r="H630" t="s">
        <v>64</v>
      </c>
      <c r="I630" t="s">
        <v>65</v>
      </c>
      <c r="J630" t="s">
        <v>100</v>
      </c>
      <c r="K630" t="s">
        <v>75</v>
      </c>
      <c r="L630" s="2">
        <v>0.375</v>
      </c>
      <c r="M630" s="2">
        <v>0.75</v>
      </c>
      <c r="N630">
        <v>8</v>
      </c>
      <c r="O630">
        <v>0</v>
      </c>
      <c r="P630" t="s">
        <v>32</v>
      </c>
      <c r="R630">
        <v>3</v>
      </c>
      <c r="S630" t="s">
        <v>67</v>
      </c>
      <c r="T630" t="s">
        <v>68</v>
      </c>
      <c r="U630" t="s">
        <v>55</v>
      </c>
      <c r="W630">
        <f>_xlfn.XLOOKUP(F630,tblEmployee[Employee_ID],tblEmployee[Age],"Not Found")</f>
        <v>30</v>
      </c>
      <c r="X630" t="str">
        <f>_xlfn.XLOOKUP(F630,tblEmployee[Employee_ID],tblEmployee[Gender],"Not Found")</f>
        <v>Female</v>
      </c>
      <c r="Y630">
        <f>_xlfn.XLOOKUP(F630,tblEmployee[Employee_ID],tblEmployee[Joining_Date],"")</f>
        <v>43723</v>
      </c>
      <c r="Z630">
        <f>_xlfn.XLOOKUP(H630,tblDepartment[Department],tblDepartment[Annual_Budget_INR],"")</f>
        <v>85000000</v>
      </c>
      <c r="AA630" t="str">
        <f>_xlfn.XLOOKUP(H630,tblDepartment[Department],tblDepartment[Monthly_Target],"")</f>
        <v>99.5% System Uptime</v>
      </c>
      <c r="AB630">
        <f>_xlfn.XLOOKUP(H630,tblDepartment[Department],tblDepartment[Average_Salary_INR],"")</f>
        <v>720000</v>
      </c>
      <c r="AC630" t="str">
        <f>_xlfn.XLOOKUP(H630,tblDepartment[Department],tblDepartment[Priority_Level],"")</f>
        <v>High</v>
      </c>
      <c r="AD630" t="str">
        <f>_xlfn.XLOOKUP(H630,tblDepartment[Department],tblDepartment[Key_KPI],"")</f>
        <v>Project Delivery</v>
      </c>
      <c r="AE630">
        <f>_xlfn.XLOOKUP(tblMaster[[#This Row],[Shift]],tblShift[Shift_Name],tblShift[Login_Time],"")</f>
        <v>0.375</v>
      </c>
      <c r="AF630">
        <f>_xlfn.XLOOKUP(tblMaster[[#This Row],[Shift]],tblShift[Shift_Name],tblShift[Logout_Time]," ")</f>
        <v>0.75</v>
      </c>
      <c r="AG630">
        <f>_xlfn.XLOOKUP(tblMaster[[#This Row],[Shift]],tblShift[Shift_Name],tblShift[Standard_Working_Hours],"")</f>
        <v>8</v>
      </c>
      <c r="AH630" t="str">
        <f>_xlfn.XLOOKUP(tblMaster[[#This Row],[Attendance_Date]],tblHoliday[Holiday_Date],tblHoliday[Holiday_Name],"Working Day")</f>
        <v>Working Day</v>
      </c>
      <c r="AI630" t="str">
        <f>_xlfn.XLOOKUP(tblMaster[[#This Row],[Attendance_Date]],tblHoliday[Holiday_Date],tblHoliday[Holiday_Type],"Working Day ")</f>
        <v xml:space="preserve">Working Day </v>
      </c>
    </row>
    <row r="631" spans="1:35" hidden="1" x14ac:dyDescent="0.3">
      <c r="A631" t="s">
        <v>820</v>
      </c>
      <c r="B631" s="3">
        <v>45815</v>
      </c>
      <c r="C631" t="s">
        <v>23</v>
      </c>
      <c r="D631" t="s">
        <v>24</v>
      </c>
      <c r="E631" t="s">
        <v>38</v>
      </c>
      <c r="F631" t="s">
        <v>116</v>
      </c>
      <c r="G631" t="s">
        <v>117</v>
      </c>
      <c r="H631" t="s">
        <v>112</v>
      </c>
      <c r="I631" t="s">
        <v>113</v>
      </c>
      <c r="J631" t="s">
        <v>100</v>
      </c>
      <c r="K631" t="s">
        <v>54</v>
      </c>
      <c r="L631" s="2">
        <v>0.375</v>
      </c>
      <c r="M631" s="2">
        <v>0.75</v>
      </c>
      <c r="N631">
        <v>8</v>
      </c>
      <c r="O631">
        <v>0</v>
      </c>
      <c r="P631" t="s">
        <v>32</v>
      </c>
      <c r="R631">
        <v>4</v>
      </c>
      <c r="S631" t="s">
        <v>92</v>
      </c>
      <c r="T631" t="s">
        <v>114</v>
      </c>
      <c r="U631" t="s">
        <v>47</v>
      </c>
      <c r="V631" t="s">
        <v>60</v>
      </c>
      <c r="W631">
        <f>_xlfn.XLOOKUP(F631,tblEmployee[Employee_ID],tblEmployee[Age],"Not Found")</f>
        <v>24</v>
      </c>
      <c r="X631" t="str">
        <f>_xlfn.XLOOKUP(F631,tblEmployee[Employee_ID],tblEmployee[Gender],"Not Found")</f>
        <v>Male</v>
      </c>
      <c r="Y631">
        <f>_xlfn.XLOOKUP(F631,tblEmployee[Employee_ID],tblEmployee[Joining_Date],"")</f>
        <v>44270</v>
      </c>
      <c r="Z631">
        <f>_xlfn.XLOOKUP(H631,tblDepartment[Department],tblDepartment[Annual_Budget_INR],"")</f>
        <v>42000000</v>
      </c>
      <c r="AA631" t="str">
        <f>_xlfn.XLOOKUP(H631,tblDepartment[Department],tblDepartment[Monthly_Target],"")</f>
        <v>₹2.5 Cr Monthly Sales</v>
      </c>
      <c r="AB631">
        <f>_xlfn.XLOOKUP(H631,tblDepartment[Department],tblDepartment[Average_Salary_INR],"")</f>
        <v>680000</v>
      </c>
      <c r="AC631" t="str">
        <f>_xlfn.XLOOKUP(H631,tblDepartment[Department],tblDepartment[Priority_Level],"")</f>
        <v>High</v>
      </c>
      <c r="AD631" t="str">
        <f>_xlfn.XLOOKUP(H631,tblDepartment[Department],tblDepartment[Key_KPI],"")</f>
        <v>Revenue Achievement</v>
      </c>
      <c r="AE631">
        <f>_xlfn.XLOOKUP(tblMaster[[#This Row],[Shift]],tblShift[Shift_Name],tblShift[Login_Time],"")</f>
        <v>0.58333333333333337</v>
      </c>
      <c r="AF631">
        <f>_xlfn.XLOOKUP(tblMaster[[#This Row],[Shift]],tblShift[Shift_Name],tblShift[Logout_Time]," ")</f>
        <v>0.95833333333333337</v>
      </c>
      <c r="AG631">
        <f>_xlfn.XLOOKUP(tblMaster[[#This Row],[Shift]],tblShift[Shift_Name],tblShift[Standard_Working_Hours],"")</f>
        <v>8</v>
      </c>
      <c r="AH631" t="str">
        <f>_xlfn.XLOOKUP(tblMaster[[#This Row],[Attendance_Date]],tblHoliday[Holiday_Date],tblHoliday[Holiday_Name],"Working Day")</f>
        <v>Bakrid</v>
      </c>
      <c r="AI631" t="str">
        <f>_xlfn.XLOOKUP(tblMaster[[#This Row],[Attendance_Date]],tblHoliday[Holiday_Date],tblHoliday[Holiday_Type],"Working Day ")</f>
        <v>Restricted</v>
      </c>
    </row>
    <row r="632" spans="1:35" hidden="1" x14ac:dyDescent="0.3">
      <c r="A632" t="s">
        <v>821</v>
      </c>
      <c r="B632" s="3">
        <v>45700</v>
      </c>
      <c r="C632" t="s">
        <v>95</v>
      </c>
      <c r="D632" t="s">
        <v>50</v>
      </c>
      <c r="E632" t="s">
        <v>51</v>
      </c>
      <c r="F632" t="s">
        <v>305</v>
      </c>
      <c r="G632" t="s">
        <v>306</v>
      </c>
      <c r="H632" t="s">
        <v>79</v>
      </c>
      <c r="I632" t="s">
        <v>80</v>
      </c>
      <c r="J632" t="s">
        <v>74</v>
      </c>
      <c r="K632" t="s">
        <v>44</v>
      </c>
      <c r="L632" s="2">
        <v>0.375</v>
      </c>
      <c r="M632" s="2">
        <v>0.75</v>
      </c>
      <c r="N632">
        <v>8</v>
      </c>
      <c r="O632">
        <v>0</v>
      </c>
      <c r="P632" t="s">
        <v>32</v>
      </c>
      <c r="R632">
        <v>3</v>
      </c>
      <c r="S632" t="s">
        <v>92</v>
      </c>
      <c r="T632" t="s">
        <v>84</v>
      </c>
      <c r="U632" t="s">
        <v>85</v>
      </c>
      <c r="W632">
        <f>_xlfn.XLOOKUP(F632,tblEmployee[Employee_ID],tblEmployee[Age],"Not Found")</f>
        <v>36</v>
      </c>
      <c r="X632" t="str">
        <f>_xlfn.XLOOKUP(F632,tblEmployee[Employee_ID],tblEmployee[Gender],"Not Found")</f>
        <v>Female</v>
      </c>
      <c r="Y632">
        <f>_xlfn.XLOOKUP(F632,tblEmployee[Employee_ID],tblEmployee[Joining_Date],"")</f>
        <v>44819</v>
      </c>
      <c r="Z632">
        <f>_xlfn.XLOOKUP(H632,tblDepartment[Department],tblDepartment[Annual_Budget_INR],"")</f>
        <v>26000000</v>
      </c>
      <c r="AA632" t="str">
        <f>_xlfn.XLOOKUP(H632,tblDepartment[Department],tblDepartment[Monthly_Target],"")</f>
        <v>100% Payroll Accuracy</v>
      </c>
      <c r="AB632">
        <f>_xlfn.XLOOKUP(H632,tblDepartment[Department],tblDepartment[Average_Salary_INR],"")</f>
        <v>640000</v>
      </c>
      <c r="AC632" t="str">
        <f>_xlfn.XLOOKUP(H632,tblDepartment[Department],tblDepartment[Priority_Level],"")</f>
        <v>High</v>
      </c>
      <c r="AD632" t="str">
        <f>_xlfn.XLOOKUP(H632,tblDepartment[Department],tblDepartment[Key_KPI],"")</f>
        <v>Financial Compliance</v>
      </c>
      <c r="AE632">
        <f>_xlfn.XLOOKUP(tblMaster[[#This Row],[Shift]],tblShift[Shift_Name],tblShift[Login_Time],"")</f>
        <v>0.41666666666666669</v>
      </c>
      <c r="AF632">
        <f>_xlfn.XLOOKUP(tblMaster[[#This Row],[Shift]],tblShift[Shift_Name],tblShift[Logout_Time]," ")</f>
        <v>0.79166666666666663</v>
      </c>
      <c r="AG632">
        <f>_xlfn.XLOOKUP(tblMaster[[#This Row],[Shift]],tblShift[Shift_Name],tblShift[Standard_Working_Hours],"")</f>
        <v>8</v>
      </c>
      <c r="AH632" t="str">
        <f>_xlfn.XLOOKUP(tblMaster[[#This Row],[Attendance_Date]],tblHoliday[Holiday_Date],tblHoliday[Holiday_Name],"Working Day")</f>
        <v>Working Day</v>
      </c>
      <c r="AI632" t="str">
        <f>_xlfn.XLOOKUP(tblMaster[[#This Row],[Attendance_Date]],tblHoliday[Holiday_Date],tblHoliday[Holiday_Type],"Working Day ")</f>
        <v xml:space="preserve">Working Day </v>
      </c>
    </row>
    <row r="633" spans="1:35" hidden="1" x14ac:dyDescent="0.3">
      <c r="A633" t="s">
        <v>822</v>
      </c>
      <c r="B633" s="3">
        <v>45776</v>
      </c>
      <c r="C633" t="s">
        <v>37</v>
      </c>
      <c r="D633" t="s">
        <v>24</v>
      </c>
      <c r="E633" t="s">
        <v>87</v>
      </c>
      <c r="F633" t="s">
        <v>215</v>
      </c>
      <c r="G633" t="s">
        <v>216</v>
      </c>
      <c r="H633" t="s">
        <v>79</v>
      </c>
      <c r="I633" t="s">
        <v>80</v>
      </c>
      <c r="J633" t="s">
        <v>30</v>
      </c>
      <c r="K633" t="s">
        <v>75</v>
      </c>
      <c r="L633" s="2">
        <v>0.375</v>
      </c>
      <c r="M633" s="2">
        <v>0.75</v>
      </c>
      <c r="N633">
        <v>8</v>
      </c>
      <c r="O633">
        <v>0</v>
      </c>
      <c r="P633" t="s">
        <v>32</v>
      </c>
      <c r="S633" t="s">
        <v>67</v>
      </c>
      <c r="T633" t="s">
        <v>84</v>
      </c>
      <c r="U633" t="s">
        <v>55</v>
      </c>
      <c r="W633">
        <f>_xlfn.XLOOKUP(F633,tblEmployee[Employee_ID],tblEmployee[Age],"Not Found")</f>
        <v>25</v>
      </c>
      <c r="X633" t="str">
        <f>_xlfn.XLOOKUP(F633,tblEmployee[Employee_ID],tblEmployee[Gender],"Not Found")</f>
        <v>Female</v>
      </c>
      <c r="Y633">
        <f>_xlfn.XLOOKUP(F633,tblEmployee[Employee_ID],tblEmployee[Joining_Date],"")</f>
        <v>44666</v>
      </c>
      <c r="Z633">
        <f>_xlfn.XLOOKUP(H633,tblDepartment[Department],tblDepartment[Annual_Budget_INR],"")</f>
        <v>26000000</v>
      </c>
      <c r="AA633" t="str">
        <f>_xlfn.XLOOKUP(H633,tblDepartment[Department],tblDepartment[Monthly_Target],"")</f>
        <v>100% Payroll Accuracy</v>
      </c>
      <c r="AB633">
        <f>_xlfn.XLOOKUP(H633,tblDepartment[Department],tblDepartment[Average_Salary_INR],"")</f>
        <v>640000</v>
      </c>
      <c r="AC633" t="str">
        <f>_xlfn.XLOOKUP(H633,tblDepartment[Department],tblDepartment[Priority_Level],"")</f>
        <v>High</v>
      </c>
      <c r="AD633" t="str">
        <f>_xlfn.XLOOKUP(H633,tblDepartment[Department],tblDepartment[Key_KPI],"")</f>
        <v>Financial Compliance</v>
      </c>
      <c r="AE633">
        <f>_xlfn.XLOOKUP(tblMaster[[#This Row],[Shift]],tblShift[Shift_Name],tblShift[Login_Time],"")</f>
        <v>0.375</v>
      </c>
      <c r="AF633">
        <f>_xlfn.XLOOKUP(tblMaster[[#This Row],[Shift]],tblShift[Shift_Name],tblShift[Logout_Time]," ")</f>
        <v>0.75</v>
      </c>
      <c r="AG633">
        <f>_xlfn.XLOOKUP(tblMaster[[#This Row],[Shift]],tblShift[Shift_Name],tblShift[Standard_Working_Hours],"")</f>
        <v>8</v>
      </c>
      <c r="AH633" t="str">
        <f>_xlfn.XLOOKUP(tblMaster[[#This Row],[Attendance_Date]],tblHoliday[Holiday_Date],tblHoliday[Holiday_Name],"Working Day")</f>
        <v>Working Day</v>
      </c>
      <c r="AI633" t="str">
        <f>_xlfn.XLOOKUP(tblMaster[[#This Row],[Attendance_Date]],tblHoliday[Holiday_Date],tblHoliday[Holiday_Type],"Working Day ")</f>
        <v xml:space="preserve">Working Day </v>
      </c>
    </row>
    <row r="634" spans="1:35" hidden="1" x14ac:dyDescent="0.3">
      <c r="A634" t="s">
        <v>823</v>
      </c>
      <c r="B634" s="3">
        <v>45831</v>
      </c>
      <c r="C634" t="s">
        <v>23</v>
      </c>
      <c r="D634" t="s">
        <v>24</v>
      </c>
      <c r="E634" t="s">
        <v>109</v>
      </c>
      <c r="F634" t="s">
        <v>104</v>
      </c>
      <c r="G634" t="s">
        <v>105</v>
      </c>
      <c r="H634" t="s">
        <v>28</v>
      </c>
      <c r="I634" t="s">
        <v>29</v>
      </c>
      <c r="J634" t="s">
        <v>30</v>
      </c>
      <c r="K634" t="s">
        <v>54</v>
      </c>
      <c r="M634" s="2">
        <v>0.75</v>
      </c>
      <c r="N634">
        <v>8</v>
      </c>
      <c r="O634">
        <v>0</v>
      </c>
      <c r="P634" t="s">
        <v>32</v>
      </c>
      <c r="R634">
        <v>3</v>
      </c>
      <c r="S634" t="s">
        <v>45</v>
      </c>
      <c r="T634" t="s">
        <v>34</v>
      </c>
      <c r="U634" t="s">
        <v>85</v>
      </c>
      <c r="V634" t="s">
        <v>60</v>
      </c>
      <c r="W634">
        <f>_xlfn.XLOOKUP(F634,tblEmployee[Employee_ID],tblEmployee[Age],"Not Found")</f>
        <v>35</v>
      </c>
      <c r="X634" t="str">
        <f>_xlfn.XLOOKUP(F634,tblEmployee[Employee_ID],tblEmployee[Gender],"Not Found")</f>
        <v>Male</v>
      </c>
      <c r="Y634">
        <f>_xlfn.XLOOKUP(F634,tblEmployee[Employee_ID],tblEmployee[Joining_Date],"")</f>
        <v>43146</v>
      </c>
      <c r="Z634">
        <f>_xlfn.XLOOKUP(H634,tblDepartment[Department],tblDepartment[Annual_Budget_INR],"")</f>
        <v>24000000</v>
      </c>
      <c r="AA634" t="str">
        <f>_xlfn.XLOOKUP(H634,tblDepartment[Department],tblDepartment[Monthly_Target],"")</f>
        <v>90% Customer Satisfaction</v>
      </c>
      <c r="AB634">
        <f>_xlfn.XLOOKUP(H634,tblDepartment[Department],tblDepartment[Average_Salary_INR],"")</f>
        <v>520000</v>
      </c>
      <c r="AC634" t="str">
        <f>_xlfn.XLOOKUP(H634,tblDepartment[Department],tblDepartment[Priority_Level],"")</f>
        <v>High</v>
      </c>
      <c r="AD634" t="str">
        <f>_xlfn.XLOOKUP(H634,tblDepartment[Department],tblDepartment[Key_KPI],"")</f>
        <v>Customer Satisfaction</v>
      </c>
      <c r="AE634">
        <f>_xlfn.XLOOKUP(tblMaster[[#This Row],[Shift]],tblShift[Shift_Name],tblShift[Login_Time],"")</f>
        <v>0.58333333333333337</v>
      </c>
      <c r="AF634">
        <f>_xlfn.XLOOKUP(tblMaster[[#This Row],[Shift]],tblShift[Shift_Name],tblShift[Logout_Time]," ")</f>
        <v>0.95833333333333337</v>
      </c>
      <c r="AG634">
        <f>_xlfn.XLOOKUP(tblMaster[[#This Row],[Shift]],tblShift[Shift_Name],tblShift[Standard_Working_Hours],"")</f>
        <v>8</v>
      </c>
      <c r="AH634" t="str">
        <f>_xlfn.XLOOKUP(tblMaster[[#This Row],[Attendance_Date]],tblHoliday[Holiday_Date],tblHoliday[Holiday_Name],"Working Day")</f>
        <v>Working Day</v>
      </c>
      <c r="AI634" t="str">
        <f>_xlfn.XLOOKUP(tblMaster[[#This Row],[Attendance_Date]],tblHoliday[Holiday_Date],tblHoliday[Holiday_Type],"Working Day ")</f>
        <v xml:space="preserve">Working Day </v>
      </c>
    </row>
    <row r="635" spans="1:35" hidden="1" x14ac:dyDescent="0.3">
      <c r="A635" t="s">
        <v>824</v>
      </c>
      <c r="B635" s="3">
        <v>45723</v>
      </c>
      <c r="C635" t="s">
        <v>71</v>
      </c>
      <c r="D635" t="s">
        <v>50</v>
      </c>
      <c r="E635" t="s">
        <v>119</v>
      </c>
      <c r="F635" t="s">
        <v>204</v>
      </c>
      <c r="G635" t="s">
        <v>205</v>
      </c>
      <c r="H635" t="s">
        <v>90</v>
      </c>
      <c r="I635" t="s">
        <v>91</v>
      </c>
      <c r="J635" t="s">
        <v>74</v>
      </c>
      <c r="K635" t="s">
        <v>44</v>
      </c>
      <c r="L635" s="2">
        <v>0.375</v>
      </c>
      <c r="M635" s="2">
        <v>0.75</v>
      </c>
      <c r="N635">
        <v>8</v>
      </c>
      <c r="O635">
        <v>0</v>
      </c>
      <c r="P635" t="s">
        <v>32</v>
      </c>
      <c r="R635">
        <v>5</v>
      </c>
      <c r="S635" t="s">
        <v>92</v>
      </c>
      <c r="T635" t="s">
        <v>93</v>
      </c>
      <c r="U635" t="s">
        <v>55</v>
      </c>
      <c r="V635" t="s">
        <v>69</v>
      </c>
      <c r="W635">
        <f>_xlfn.XLOOKUP(F635,tblEmployee[Employee_ID],tblEmployee[Age],"Not Found")</f>
        <v>24</v>
      </c>
      <c r="X635" t="str">
        <f>_xlfn.XLOOKUP(F635,tblEmployee[Employee_ID],tblEmployee[Gender],"Not Found")</f>
        <v>Female</v>
      </c>
      <c r="Y635">
        <f>_xlfn.XLOOKUP(F635,tblEmployee[Employee_ID],tblEmployee[Joining_Date],"")</f>
        <v>43905</v>
      </c>
      <c r="Z635">
        <f>_xlfn.XLOOKUP(H635,tblDepartment[Department],tblDepartment[Annual_Budget_INR],"")</f>
        <v>18000000</v>
      </c>
      <c r="AA635" t="str">
        <f>_xlfn.XLOOKUP(H635,tblDepartment[Department],tblDepartment[Monthly_Target],"")</f>
        <v>&lt;30 Days Hiring Cycle</v>
      </c>
      <c r="AB635">
        <f>_xlfn.XLOOKUP(H635,tblDepartment[Department],tblDepartment[Average_Salary_INR],"")</f>
        <v>560000</v>
      </c>
      <c r="AC635" t="str">
        <f>_xlfn.XLOOKUP(H635,tblDepartment[Department],tblDepartment[Priority_Level],"")</f>
        <v>Medium</v>
      </c>
      <c r="AD635" t="str">
        <f>_xlfn.XLOOKUP(H635,tblDepartment[Department],tblDepartment[Key_KPI],"")</f>
        <v>Hiring &amp; Retention</v>
      </c>
      <c r="AE635">
        <f>_xlfn.XLOOKUP(tblMaster[[#This Row],[Shift]],tblShift[Shift_Name],tblShift[Login_Time],"")</f>
        <v>0.41666666666666669</v>
      </c>
      <c r="AF635">
        <f>_xlfn.XLOOKUP(tblMaster[[#This Row],[Shift]],tblShift[Shift_Name],tblShift[Logout_Time]," ")</f>
        <v>0.79166666666666663</v>
      </c>
      <c r="AG635">
        <f>_xlfn.XLOOKUP(tblMaster[[#This Row],[Shift]],tblShift[Shift_Name],tblShift[Standard_Working_Hours],"")</f>
        <v>8</v>
      </c>
      <c r="AH635" t="str">
        <f>_xlfn.XLOOKUP(tblMaster[[#This Row],[Attendance_Date]],tblHoliday[Holiday_Date],tblHoliday[Holiday_Name],"Working Day")</f>
        <v>Working Day</v>
      </c>
      <c r="AI635" t="str">
        <f>_xlfn.XLOOKUP(tblMaster[[#This Row],[Attendance_Date]],tblHoliday[Holiday_Date],tblHoliday[Holiday_Type],"Working Day ")</f>
        <v xml:space="preserve">Working Day </v>
      </c>
    </row>
    <row r="636" spans="1:35" hidden="1" x14ac:dyDescent="0.3">
      <c r="A636" t="s">
        <v>825</v>
      </c>
      <c r="B636" s="3">
        <v>45746</v>
      </c>
      <c r="C636" t="s">
        <v>71</v>
      </c>
      <c r="D636" t="s">
        <v>50</v>
      </c>
      <c r="E636" t="s">
        <v>103</v>
      </c>
      <c r="F636" t="s">
        <v>142</v>
      </c>
      <c r="G636" t="s">
        <v>143</v>
      </c>
      <c r="H636" t="s">
        <v>64</v>
      </c>
      <c r="I636" t="s">
        <v>65</v>
      </c>
      <c r="J636" t="s">
        <v>43</v>
      </c>
      <c r="K636" t="s">
        <v>75</v>
      </c>
      <c r="L636" s="2">
        <v>0.375</v>
      </c>
      <c r="M636" s="2">
        <v>0.75</v>
      </c>
      <c r="N636">
        <v>9</v>
      </c>
      <c r="O636">
        <v>1</v>
      </c>
      <c r="P636" t="s">
        <v>32</v>
      </c>
      <c r="R636">
        <v>3</v>
      </c>
      <c r="S636" t="s">
        <v>67</v>
      </c>
      <c r="T636" t="s">
        <v>68</v>
      </c>
      <c r="U636" t="s">
        <v>55</v>
      </c>
      <c r="W636">
        <f>_xlfn.XLOOKUP(F636,tblEmployee[Employee_ID],tblEmployee[Age],"Not Found")</f>
        <v>37</v>
      </c>
      <c r="X636" t="str">
        <f>_xlfn.XLOOKUP(F636,tblEmployee[Employee_ID],tblEmployee[Gender],"Not Found")</f>
        <v>Male</v>
      </c>
      <c r="Y636">
        <f>_xlfn.XLOOKUP(F636,tblEmployee[Employee_ID],tblEmployee[Joining_Date],"")</f>
        <v>43570</v>
      </c>
      <c r="Z636">
        <f>_xlfn.XLOOKUP(H636,tblDepartment[Department],tblDepartment[Annual_Budget_INR],"")</f>
        <v>85000000</v>
      </c>
      <c r="AA636" t="str">
        <f>_xlfn.XLOOKUP(H636,tblDepartment[Department],tblDepartment[Monthly_Target],"")</f>
        <v>99.5% System Uptime</v>
      </c>
      <c r="AB636">
        <f>_xlfn.XLOOKUP(H636,tblDepartment[Department],tblDepartment[Average_Salary_INR],"")</f>
        <v>720000</v>
      </c>
      <c r="AC636" t="str">
        <f>_xlfn.XLOOKUP(H636,tblDepartment[Department],tblDepartment[Priority_Level],"")</f>
        <v>High</v>
      </c>
      <c r="AD636" t="str">
        <f>_xlfn.XLOOKUP(H636,tblDepartment[Department],tblDepartment[Key_KPI],"")</f>
        <v>Project Delivery</v>
      </c>
      <c r="AE636">
        <f>_xlfn.XLOOKUP(tblMaster[[#This Row],[Shift]],tblShift[Shift_Name],tblShift[Login_Time],"")</f>
        <v>0.375</v>
      </c>
      <c r="AF636">
        <f>_xlfn.XLOOKUP(tblMaster[[#This Row],[Shift]],tblShift[Shift_Name],tblShift[Logout_Time]," ")</f>
        <v>0.75</v>
      </c>
      <c r="AG636">
        <f>_xlfn.XLOOKUP(tblMaster[[#This Row],[Shift]],tblShift[Shift_Name],tblShift[Standard_Working_Hours],"")</f>
        <v>8</v>
      </c>
      <c r="AH636" t="str">
        <f>_xlfn.XLOOKUP(tblMaster[[#This Row],[Attendance_Date]],tblHoliday[Holiday_Date],tblHoliday[Holiday_Name],"Working Day")</f>
        <v>Working Day</v>
      </c>
      <c r="AI636" t="str">
        <f>_xlfn.XLOOKUP(tblMaster[[#This Row],[Attendance_Date]],tblHoliday[Holiday_Date],tblHoliday[Holiday_Type],"Working Day ")</f>
        <v xml:space="preserve">Working Day </v>
      </c>
    </row>
    <row r="637" spans="1:35" hidden="1" x14ac:dyDescent="0.3">
      <c r="A637" t="s">
        <v>826</v>
      </c>
      <c r="B637" s="1">
        <v>45702</v>
      </c>
      <c r="C637" t="s">
        <v>95</v>
      </c>
      <c r="D637" t="s">
        <v>50</v>
      </c>
      <c r="E637" t="s">
        <v>119</v>
      </c>
      <c r="F637" t="s">
        <v>195</v>
      </c>
      <c r="G637" t="s">
        <v>196</v>
      </c>
      <c r="H637" t="s">
        <v>98</v>
      </c>
      <c r="I637" t="s">
        <v>99</v>
      </c>
      <c r="J637" t="s">
        <v>43</v>
      </c>
      <c r="K637" t="s">
        <v>44</v>
      </c>
      <c r="L637" s="2">
        <v>0.375</v>
      </c>
      <c r="M637" s="2">
        <v>0.75</v>
      </c>
      <c r="N637">
        <v>8</v>
      </c>
      <c r="O637">
        <v>0</v>
      </c>
      <c r="P637" t="s">
        <v>32</v>
      </c>
      <c r="R637">
        <v>3</v>
      </c>
      <c r="S637" t="s">
        <v>45</v>
      </c>
      <c r="T637" t="s">
        <v>101</v>
      </c>
      <c r="U637" t="s">
        <v>47</v>
      </c>
      <c r="V637" t="s">
        <v>35</v>
      </c>
      <c r="W637">
        <f>_xlfn.XLOOKUP(F637,tblEmployee[Employee_ID],tblEmployee[Age],"Not Found")</f>
        <v>24</v>
      </c>
      <c r="X637" t="str">
        <f>_xlfn.XLOOKUP(F637,tblEmployee[Employee_ID],tblEmployee[Gender],"Not Found")</f>
        <v>Male</v>
      </c>
      <c r="Y637">
        <f>_xlfn.XLOOKUP(F637,tblEmployee[Employee_ID],tblEmployee[Joining_Date],"")</f>
        <v>45550</v>
      </c>
      <c r="Z637">
        <f>_xlfn.XLOOKUP(H637,tblDepartment[Department],tblDepartment[Annual_Budget_INR],"")</f>
        <v>22000000</v>
      </c>
      <c r="AA637" t="str">
        <f>_xlfn.XLOOKUP(H637,tblDepartment[Department],tblDepartment[Monthly_Target],"")</f>
        <v>2500 Qualified Leads</v>
      </c>
      <c r="AB637">
        <f>_xlfn.XLOOKUP(H637,tblDepartment[Department],tblDepartment[Average_Salary_INR],"")</f>
        <v>590000</v>
      </c>
      <c r="AC637" t="str">
        <f>_xlfn.XLOOKUP(H637,tblDepartment[Department],tblDepartment[Priority_Level],"")</f>
        <v>Medium</v>
      </c>
      <c r="AD637" t="str">
        <f>_xlfn.XLOOKUP(H637,tblDepartment[Department],tblDepartment[Key_KPI],"")</f>
        <v>Lead Generation</v>
      </c>
      <c r="AE637">
        <f>_xlfn.XLOOKUP(tblMaster[[#This Row],[Shift]],tblShift[Shift_Name],tblShift[Login_Time],"")</f>
        <v>0.41666666666666669</v>
      </c>
      <c r="AF637">
        <f>_xlfn.XLOOKUP(tblMaster[[#This Row],[Shift]],tblShift[Shift_Name],tblShift[Logout_Time]," ")</f>
        <v>0.79166666666666663</v>
      </c>
      <c r="AG637">
        <f>_xlfn.XLOOKUP(tblMaster[[#This Row],[Shift]],tblShift[Shift_Name],tblShift[Standard_Working_Hours],"")</f>
        <v>8</v>
      </c>
      <c r="AH637" t="str">
        <f>_xlfn.XLOOKUP(tblMaster[[#This Row],[Attendance_Date]],tblHoliday[Holiday_Date],tblHoliday[Holiday_Name],"Working Day")</f>
        <v>Working Day</v>
      </c>
      <c r="AI637" t="str">
        <f>_xlfn.XLOOKUP(tblMaster[[#This Row],[Attendance_Date]],tblHoliday[Holiday_Date],tblHoliday[Holiday_Type],"Working Day ")</f>
        <v xml:space="preserve">Working Day </v>
      </c>
    </row>
    <row r="638" spans="1:35" hidden="1" x14ac:dyDescent="0.3">
      <c r="A638" t="s">
        <v>827</v>
      </c>
      <c r="B638" s="3">
        <v>45674</v>
      </c>
      <c r="C638" t="s">
        <v>49</v>
      </c>
      <c r="D638" t="s">
        <v>50</v>
      </c>
      <c r="E638" t="s">
        <v>119</v>
      </c>
      <c r="F638" t="s">
        <v>173</v>
      </c>
      <c r="G638" t="s">
        <v>174</v>
      </c>
      <c r="H638" t="s">
        <v>90</v>
      </c>
      <c r="I638" t="s">
        <v>91</v>
      </c>
      <c r="J638" t="s">
        <v>74</v>
      </c>
      <c r="K638" t="s">
        <v>44</v>
      </c>
      <c r="P638" t="s">
        <v>135</v>
      </c>
      <c r="S638" t="s">
        <v>45</v>
      </c>
      <c r="T638" t="s">
        <v>93</v>
      </c>
      <c r="U638" t="s">
        <v>47</v>
      </c>
      <c r="W638">
        <f>_xlfn.XLOOKUP(F638,tblEmployee[Employee_ID],tblEmployee[Age],"Not Found")</f>
        <v>23</v>
      </c>
      <c r="X638" t="str">
        <f>_xlfn.XLOOKUP(F638,tblEmployee[Employee_ID],tblEmployee[Gender],"Not Found")</f>
        <v>Female</v>
      </c>
      <c r="Y638">
        <f>_xlfn.XLOOKUP(F638,tblEmployee[Employee_ID],tblEmployee[Joining_Date],"")</f>
        <v>43876</v>
      </c>
      <c r="Z638">
        <f>_xlfn.XLOOKUP(H638,tblDepartment[Department],tblDepartment[Annual_Budget_INR],"")</f>
        <v>18000000</v>
      </c>
      <c r="AA638" t="str">
        <f>_xlfn.XLOOKUP(H638,tblDepartment[Department],tblDepartment[Monthly_Target],"")</f>
        <v>&lt;30 Days Hiring Cycle</v>
      </c>
      <c r="AB638">
        <f>_xlfn.XLOOKUP(H638,tblDepartment[Department],tblDepartment[Average_Salary_INR],"")</f>
        <v>560000</v>
      </c>
      <c r="AC638" t="str">
        <f>_xlfn.XLOOKUP(H638,tblDepartment[Department],tblDepartment[Priority_Level],"")</f>
        <v>Medium</v>
      </c>
      <c r="AD638" t="str">
        <f>_xlfn.XLOOKUP(H638,tblDepartment[Department],tblDepartment[Key_KPI],"")</f>
        <v>Hiring &amp; Retention</v>
      </c>
      <c r="AE638">
        <f>_xlfn.XLOOKUP(tblMaster[[#This Row],[Shift]],tblShift[Shift_Name],tblShift[Login_Time],"")</f>
        <v>0.41666666666666669</v>
      </c>
      <c r="AF638">
        <f>_xlfn.XLOOKUP(tblMaster[[#This Row],[Shift]],tblShift[Shift_Name],tblShift[Logout_Time]," ")</f>
        <v>0.79166666666666663</v>
      </c>
      <c r="AG638">
        <f>_xlfn.XLOOKUP(tblMaster[[#This Row],[Shift]],tblShift[Shift_Name],tblShift[Standard_Working_Hours],"")</f>
        <v>8</v>
      </c>
      <c r="AH638" t="str">
        <f>_xlfn.XLOOKUP(tblMaster[[#This Row],[Attendance_Date]],tblHoliday[Holiday_Date],tblHoliday[Holiday_Name],"Working Day")</f>
        <v>Working Day</v>
      </c>
      <c r="AI638" t="str">
        <f>_xlfn.XLOOKUP(tblMaster[[#This Row],[Attendance_Date]],tblHoliday[Holiday_Date],tblHoliday[Holiday_Type],"Working Day ")</f>
        <v xml:space="preserve">Working Day </v>
      </c>
    </row>
    <row r="639" spans="1:35" hidden="1" x14ac:dyDescent="0.3">
      <c r="A639" t="s">
        <v>828</v>
      </c>
      <c r="B639" s="1">
        <v>45709</v>
      </c>
      <c r="C639" t="s">
        <v>95</v>
      </c>
      <c r="D639" t="s">
        <v>50</v>
      </c>
      <c r="E639" t="s">
        <v>119</v>
      </c>
      <c r="F639" t="s">
        <v>281</v>
      </c>
      <c r="G639" t="s">
        <v>282</v>
      </c>
      <c r="H639" t="s">
        <v>90</v>
      </c>
      <c r="I639" t="s">
        <v>91</v>
      </c>
      <c r="J639" t="s">
        <v>30</v>
      </c>
      <c r="K639" t="s">
        <v>81</v>
      </c>
      <c r="L639" s="2">
        <v>0.91666666666666663</v>
      </c>
      <c r="M639" s="2">
        <v>0.29166666666666669</v>
      </c>
      <c r="N639">
        <v>8.5</v>
      </c>
      <c r="O639">
        <v>0.5</v>
      </c>
      <c r="P639" t="s">
        <v>32</v>
      </c>
      <c r="R639">
        <v>3</v>
      </c>
      <c r="S639" t="s">
        <v>45</v>
      </c>
      <c r="T639" t="s">
        <v>93</v>
      </c>
      <c r="U639" t="s">
        <v>55</v>
      </c>
      <c r="V639" t="s">
        <v>69</v>
      </c>
      <c r="W639">
        <f>_xlfn.XLOOKUP(F639,tblEmployee[Employee_ID],tblEmployee[Age],"Not Found")</f>
        <v>31</v>
      </c>
      <c r="X639" t="str">
        <f>_xlfn.XLOOKUP(F639,tblEmployee[Employee_ID],tblEmployee[Gender],"Not Found")</f>
        <v>Male</v>
      </c>
      <c r="Y639">
        <f>_xlfn.XLOOKUP(F639,tblEmployee[Employee_ID],tblEmployee[Joining_Date],"")</f>
        <v>44119</v>
      </c>
      <c r="Z639">
        <f>_xlfn.XLOOKUP(H639,tblDepartment[Department],tblDepartment[Annual_Budget_INR],"")</f>
        <v>18000000</v>
      </c>
      <c r="AA639" t="str">
        <f>_xlfn.XLOOKUP(H639,tblDepartment[Department],tblDepartment[Monthly_Target],"")</f>
        <v>&lt;30 Days Hiring Cycle</v>
      </c>
      <c r="AB639">
        <f>_xlfn.XLOOKUP(H639,tblDepartment[Department],tblDepartment[Average_Salary_INR],"")</f>
        <v>560000</v>
      </c>
      <c r="AC639" t="str">
        <f>_xlfn.XLOOKUP(H639,tblDepartment[Department],tblDepartment[Priority_Level],"")</f>
        <v>Medium</v>
      </c>
      <c r="AD639" t="str">
        <f>_xlfn.XLOOKUP(H639,tblDepartment[Department],tblDepartment[Key_KPI],"")</f>
        <v>Hiring &amp; Retention</v>
      </c>
      <c r="AE639">
        <f>_xlfn.XLOOKUP(tblMaster[[#This Row],[Shift]],tblShift[Shift_Name],tblShift[Login_Time],"")</f>
        <v>0.91666666666666663</v>
      </c>
      <c r="AF639">
        <f>_xlfn.XLOOKUP(tblMaster[[#This Row],[Shift]],tblShift[Shift_Name],tblShift[Logout_Time]," ")</f>
        <v>0.29166666666666669</v>
      </c>
      <c r="AG639">
        <f>_xlfn.XLOOKUP(tblMaster[[#This Row],[Shift]],tblShift[Shift_Name],tblShift[Standard_Working_Hours],"")</f>
        <v>8</v>
      </c>
      <c r="AH639" t="str">
        <f>_xlfn.XLOOKUP(tblMaster[[#This Row],[Attendance_Date]],tblHoliday[Holiday_Date],tblHoliday[Holiday_Name],"Working Day")</f>
        <v>Working Day</v>
      </c>
      <c r="AI639" t="str">
        <f>_xlfn.XLOOKUP(tblMaster[[#This Row],[Attendance_Date]],tblHoliday[Holiday_Date],tblHoliday[Holiday_Type],"Working Day ")</f>
        <v xml:space="preserve">Working Day </v>
      </c>
    </row>
    <row r="640" spans="1:35" hidden="1" x14ac:dyDescent="0.3">
      <c r="A640" t="s">
        <v>829</v>
      </c>
      <c r="B640" s="3">
        <v>45724</v>
      </c>
      <c r="C640" t="s">
        <v>71</v>
      </c>
      <c r="D640" t="s">
        <v>50</v>
      </c>
      <c r="E640" t="s">
        <v>38</v>
      </c>
      <c r="F640" t="s">
        <v>170</v>
      </c>
      <c r="G640" t="s">
        <v>171</v>
      </c>
      <c r="H640" t="s">
        <v>64</v>
      </c>
      <c r="I640" t="s">
        <v>65</v>
      </c>
      <c r="J640" t="s">
        <v>43</v>
      </c>
      <c r="K640" t="s">
        <v>44</v>
      </c>
      <c r="L640" s="2">
        <v>0.375</v>
      </c>
      <c r="M640" s="2">
        <v>0.75</v>
      </c>
      <c r="N640">
        <v>8.5</v>
      </c>
      <c r="O640">
        <v>0.5</v>
      </c>
      <c r="P640" t="s">
        <v>32</v>
      </c>
      <c r="R640">
        <v>5</v>
      </c>
      <c r="S640" t="s">
        <v>33</v>
      </c>
      <c r="T640" t="s">
        <v>68</v>
      </c>
      <c r="U640" t="s">
        <v>55</v>
      </c>
      <c r="V640" t="s">
        <v>60</v>
      </c>
      <c r="W640">
        <f>_xlfn.XLOOKUP(F640,tblEmployee[Employee_ID],tblEmployee[Age],"Not Found")</f>
        <v>36</v>
      </c>
      <c r="X640" t="str">
        <f>_xlfn.XLOOKUP(F640,tblEmployee[Employee_ID],tblEmployee[Gender],"Not Found")</f>
        <v>Female</v>
      </c>
      <c r="Y640">
        <f>_xlfn.XLOOKUP(F640,tblEmployee[Employee_ID],tblEmployee[Joining_Date],"")</f>
        <v>43539</v>
      </c>
      <c r="Z640">
        <f>_xlfn.XLOOKUP(H640,tblDepartment[Department],tblDepartment[Annual_Budget_INR],"")</f>
        <v>85000000</v>
      </c>
      <c r="AA640" t="str">
        <f>_xlfn.XLOOKUP(H640,tblDepartment[Department],tblDepartment[Monthly_Target],"")</f>
        <v>99.5% System Uptime</v>
      </c>
      <c r="AB640">
        <f>_xlfn.XLOOKUP(H640,tblDepartment[Department],tblDepartment[Average_Salary_INR],"")</f>
        <v>720000</v>
      </c>
      <c r="AC640" t="str">
        <f>_xlfn.XLOOKUP(H640,tblDepartment[Department],tblDepartment[Priority_Level],"")</f>
        <v>High</v>
      </c>
      <c r="AD640" t="str">
        <f>_xlfn.XLOOKUP(H640,tblDepartment[Department],tblDepartment[Key_KPI],"")</f>
        <v>Project Delivery</v>
      </c>
      <c r="AE640">
        <f>_xlfn.XLOOKUP(tblMaster[[#This Row],[Shift]],tblShift[Shift_Name],tblShift[Login_Time],"")</f>
        <v>0.41666666666666669</v>
      </c>
      <c r="AF640">
        <f>_xlfn.XLOOKUP(tblMaster[[#This Row],[Shift]],tblShift[Shift_Name],tblShift[Logout_Time]," ")</f>
        <v>0.79166666666666663</v>
      </c>
      <c r="AG640">
        <f>_xlfn.XLOOKUP(tblMaster[[#This Row],[Shift]],tblShift[Shift_Name],tblShift[Standard_Working_Hours],"")</f>
        <v>8</v>
      </c>
      <c r="AH640" t="str">
        <f>_xlfn.XLOOKUP(tblMaster[[#This Row],[Attendance_Date]],tblHoliday[Holiday_Date],tblHoliday[Holiday_Name],"Working Day")</f>
        <v>Working Day</v>
      </c>
      <c r="AI640" t="str">
        <f>_xlfn.XLOOKUP(tblMaster[[#This Row],[Attendance_Date]],tblHoliday[Holiday_Date],tblHoliday[Holiday_Type],"Working Day ")</f>
        <v xml:space="preserve">Working Day </v>
      </c>
    </row>
    <row r="641" spans="1:35" hidden="1" x14ac:dyDescent="0.3">
      <c r="A641" t="s">
        <v>830</v>
      </c>
      <c r="B641" s="1">
        <v>45790</v>
      </c>
      <c r="C641" t="s">
        <v>57</v>
      </c>
      <c r="D641" t="s">
        <v>24</v>
      </c>
      <c r="E641" t="s">
        <v>87</v>
      </c>
      <c r="F641" t="s">
        <v>154</v>
      </c>
      <c r="G641" t="s">
        <v>155</v>
      </c>
      <c r="H641" t="s">
        <v>41</v>
      </c>
      <c r="I641" t="s">
        <v>42</v>
      </c>
      <c r="J641" t="s">
        <v>74</v>
      </c>
      <c r="K641" t="s">
        <v>44</v>
      </c>
      <c r="L641" s="2">
        <v>0.375</v>
      </c>
      <c r="M641" s="2">
        <v>0.75</v>
      </c>
      <c r="N641">
        <v>8</v>
      </c>
      <c r="O641">
        <v>0</v>
      </c>
      <c r="P641" t="s">
        <v>32</v>
      </c>
      <c r="R641">
        <v>4</v>
      </c>
      <c r="S641" t="s">
        <v>92</v>
      </c>
      <c r="T641" t="s">
        <v>46</v>
      </c>
      <c r="U641" t="s">
        <v>55</v>
      </c>
      <c r="V641" t="s">
        <v>69</v>
      </c>
      <c r="W641">
        <f>_xlfn.XLOOKUP(F641,tblEmployee[Employee_ID],tblEmployee[Age],"Not Found")</f>
        <v>33</v>
      </c>
      <c r="X641" t="str">
        <f>_xlfn.XLOOKUP(F641,tblEmployee[Employee_ID],tblEmployee[Gender],"Not Found")</f>
        <v>Male</v>
      </c>
      <c r="Y641">
        <f>_xlfn.XLOOKUP(F641,tblEmployee[Employee_ID],tblEmployee[Joining_Date],"")</f>
        <v>45275</v>
      </c>
      <c r="Z641">
        <f>_xlfn.XLOOKUP(H641,tblDepartment[Department],tblDepartment[Annual_Budget_INR],"")</f>
        <v>34000000</v>
      </c>
      <c r="AA641" t="str">
        <f>_xlfn.XLOOKUP(H641,tblDepartment[Department],tblDepartment[Monthly_Target],"")</f>
        <v>95% Process Efficiency</v>
      </c>
      <c r="AB641">
        <f>_xlfn.XLOOKUP(H641,tblDepartment[Department],tblDepartment[Average_Salary_INR],"")</f>
        <v>610000</v>
      </c>
      <c r="AC641" t="str">
        <f>_xlfn.XLOOKUP(H641,tblDepartment[Department],tblDepartment[Priority_Level],"")</f>
        <v>High</v>
      </c>
      <c r="AD641" t="str">
        <f>_xlfn.XLOOKUP(H641,tblDepartment[Department],tblDepartment[Key_KPI],"")</f>
        <v>Operational Efficiency</v>
      </c>
      <c r="AE641">
        <f>_xlfn.XLOOKUP(tblMaster[[#This Row],[Shift]],tblShift[Shift_Name],tblShift[Login_Time],"")</f>
        <v>0.41666666666666669</v>
      </c>
      <c r="AF641">
        <f>_xlfn.XLOOKUP(tblMaster[[#This Row],[Shift]],tblShift[Shift_Name],tblShift[Logout_Time]," ")</f>
        <v>0.79166666666666663</v>
      </c>
      <c r="AG641">
        <f>_xlfn.XLOOKUP(tblMaster[[#This Row],[Shift]],tblShift[Shift_Name],tblShift[Standard_Working_Hours],"")</f>
        <v>8</v>
      </c>
      <c r="AH641" t="str">
        <f>_xlfn.XLOOKUP(tblMaster[[#This Row],[Attendance_Date]],tblHoliday[Holiday_Date],tblHoliday[Holiday_Name],"Working Day")</f>
        <v>Working Day</v>
      </c>
      <c r="AI641" t="str">
        <f>_xlfn.XLOOKUP(tblMaster[[#This Row],[Attendance_Date]],tblHoliday[Holiday_Date],tblHoliday[Holiday_Type],"Working Day ")</f>
        <v xml:space="preserve">Working Day </v>
      </c>
    </row>
    <row r="642" spans="1:35" x14ac:dyDescent="0.3">
      <c r="A642" t="s">
        <v>831</v>
      </c>
      <c r="B642" s="3">
        <v>45686</v>
      </c>
      <c r="C642" t="s">
        <v>49</v>
      </c>
      <c r="D642" t="s">
        <v>50</v>
      </c>
      <c r="E642" t="s">
        <v>51</v>
      </c>
      <c r="F642" t="s">
        <v>52</v>
      </c>
      <c r="G642" t="s">
        <v>53</v>
      </c>
      <c r="H642" t="s">
        <v>41</v>
      </c>
      <c r="I642" t="s">
        <v>42</v>
      </c>
      <c r="J642" t="s">
        <v>43</v>
      </c>
      <c r="K642" t="s">
        <v>44</v>
      </c>
      <c r="L642" s="2">
        <v>0.375</v>
      </c>
      <c r="M642" s="2">
        <v>0.75</v>
      </c>
      <c r="N642">
        <v>8</v>
      </c>
      <c r="O642">
        <v>0</v>
      </c>
      <c r="P642" t="s">
        <v>32</v>
      </c>
      <c r="R642">
        <v>4</v>
      </c>
      <c r="S642" t="s">
        <v>92</v>
      </c>
      <c r="T642" t="s">
        <v>46</v>
      </c>
      <c r="U642" t="str">
        <f>_xlfn.XLOOKUP(tblMaster[[#This Row],[Employee_ID]],tblEmployee[Employee_ID],tblEmployee[Work_Mode]," ")</f>
        <v>Remote</v>
      </c>
      <c r="V642" t="s">
        <v>60</v>
      </c>
      <c r="W642">
        <f>_xlfn.XLOOKUP(F642,tblEmployee[Employee_ID],tblEmployee[Age],"Not Found")</f>
        <v>27</v>
      </c>
      <c r="X642" t="str">
        <f>_xlfn.XLOOKUP(F642,tblEmployee[Employee_ID],tblEmployee[Gender],"Not Found")</f>
        <v>Male</v>
      </c>
      <c r="Y642">
        <f>_xlfn.XLOOKUP(F642,tblEmployee[Employee_ID],tblEmployee[Joining_Date],"")</f>
        <v>45092</v>
      </c>
      <c r="Z642">
        <f>_xlfn.XLOOKUP(H642,tblDepartment[Department],tblDepartment[Annual_Budget_INR],"")</f>
        <v>34000000</v>
      </c>
      <c r="AA642" t="str">
        <f>_xlfn.XLOOKUP(H642,tblDepartment[Department],tblDepartment[Monthly_Target],"")</f>
        <v>95% Process Efficiency</v>
      </c>
      <c r="AB642">
        <f>_xlfn.XLOOKUP(H642,tblDepartment[Department],tblDepartment[Average_Salary_INR],"")</f>
        <v>610000</v>
      </c>
      <c r="AC642" t="str">
        <f>_xlfn.XLOOKUP(H642,tblDepartment[Department],tblDepartment[Priority_Level],"")</f>
        <v>High</v>
      </c>
      <c r="AD642" t="str">
        <f>_xlfn.XLOOKUP(H642,tblDepartment[Department],tblDepartment[Key_KPI],"")</f>
        <v>Operational Efficiency</v>
      </c>
      <c r="AE642">
        <f>_xlfn.XLOOKUP(tblMaster[[#This Row],[Shift]],tblShift[Shift_Name],tblShift[Login_Time],"")</f>
        <v>0.41666666666666669</v>
      </c>
      <c r="AF642">
        <f>_xlfn.XLOOKUP(tblMaster[[#This Row],[Shift]],tblShift[Shift_Name],tblShift[Logout_Time]," ")</f>
        <v>0.79166666666666663</v>
      </c>
      <c r="AG642">
        <f>_xlfn.XLOOKUP(tblMaster[[#This Row],[Shift]],tblShift[Shift_Name],tblShift[Standard_Working_Hours],"")</f>
        <v>8</v>
      </c>
      <c r="AH642" t="str">
        <f>_xlfn.XLOOKUP(tblMaster[[#This Row],[Attendance_Date]],tblHoliday[Holiday_Date],tblHoliday[Holiday_Name],"Working Day")</f>
        <v>Working Day</v>
      </c>
      <c r="AI642" t="str">
        <f>_xlfn.XLOOKUP(tblMaster[[#This Row],[Attendance_Date]],tblHoliday[Holiday_Date],tblHoliday[Holiday_Type],"Working Day ")</f>
        <v xml:space="preserve">Working Day </v>
      </c>
    </row>
    <row r="643" spans="1:35" hidden="1" x14ac:dyDescent="0.3">
      <c r="A643" t="s">
        <v>832</v>
      </c>
      <c r="B643" s="1">
        <v>45771</v>
      </c>
      <c r="C643" t="s">
        <v>37</v>
      </c>
      <c r="D643" t="s">
        <v>24</v>
      </c>
      <c r="E643" t="s">
        <v>25</v>
      </c>
      <c r="F643" t="s">
        <v>148</v>
      </c>
      <c r="G643" t="s">
        <v>149</v>
      </c>
      <c r="H643" t="s">
        <v>112</v>
      </c>
      <c r="I643" t="s">
        <v>113</v>
      </c>
      <c r="J643" t="s">
        <v>43</v>
      </c>
      <c r="K643" t="s">
        <v>54</v>
      </c>
      <c r="L643" s="2">
        <v>0.39930555555555558</v>
      </c>
      <c r="M643" s="2">
        <v>0.75</v>
      </c>
      <c r="N643">
        <v>8</v>
      </c>
      <c r="O643">
        <v>0</v>
      </c>
      <c r="P643" t="s">
        <v>32</v>
      </c>
      <c r="R643">
        <v>5</v>
      </c>
      <c r="S643" t="s">
        <v>45</v>
      </c>
      <c r="T643" t="s">
        <v>114</v>
      </c>
      <c r="U643" t="s">
        <v>85</v>
      </c>
      <c r="V643" t="s">
        <v>60</v>
      </c>
      <c r="W643">
        <f>_xlfn.XLOOKUP(F643,tblEmployee[Employee_ID],tblEmployee[Age],"Not Found")</f>
        <v>31</v>
      </c>
      <c r="X643" t="str">
        <f>_xlfn.XLOOKUP(F643,tblEmployee[Employee_ID],tblEmployee[Gender],"Not Found")</f>
        <v>Male</v>
      </c>
      <c r="Y643">
        <f>_xlfn.XLOOKUP(F643,tblEmployee[Employee_ID],tblEmployee[Joining_Date],"")</f>
        <v>44484</v>
      </c>
      <c r="Z643">
        <f>_xlfn.XLOOKUP(H643,tblDepartment[Department],tblDepartment[Annual_Budget_INR],"")</f>
        <v>42000000</v>
      </c>
      <c r="AA643" t="str">
        <f>_xlfn.XLOOKUP(H643,tblDepartment[Department],tblDepartment[Monthly_Target],"")</f>
        <v>₹2.5 Cr Monthly Sales</v>
      </c>
      <c r="AB643">
        <f>_xlfn.XLOOKUP(H643,tblDepartment[Department],tblDepartment[Average_Salary_INR],"")</f>
        <v>680000</v>
      </c>
      <c r="AC643" t="str">
        <f>_xlfn.XLOOKUP(H643,tblDepartment[Department],tblDepartment[Priority_Level],"")</f>
        <v>High</v>
      </c>
      <c r="AD643" t="str">
        <f>_xlfn.XLOOKUP(H643,tblDepartment[Department],tblDepartment[Key_KPI],"")</f>
        <v>Revenue Achievement</v>
      </c>
      <c r="AE643">
        <f>_xlfn.XLOOKUP(tblMaster[[#This Row],[Shift]],tblShift[Shift_Name],tblShift[Login_Time],"")</f>
        <v>0.58333333333333337</v>
      </c>
      <c r="AF643">
        <f>_xlfn.XLOOKUP(tblMaster[[#This Row],[Shift]],tblShift[Shift_Name],tblShift[Logout_Time]," ")</f>
        <v>0.95833333333333337</v>
      </c>
      <c r="AG643">
        <f>_xlfn.XLOOKUP(tblMaster[[#This Row],[Shift]],tblShift[Shift_Name],tblShift[Standard_Working_Hours],"")</f>
        <v>8</v>
      </c>
      <c r="AH643" t="str">
        <f>_xlfn.XLOOKUP(tblMaster[[#This Row],[Attendance_Date]],tblHoliday[Holiday_Date],tblHoliday[Holiday_Name],"Working Day")</f>
        <v>Working Day</v>
      </c>
      <c r="AI643" t="str">
        <f>_xlfn.XLOOKUP(tblMaster[[#This Row],[Attendance_Date]],tblHoliday[Holiday_Date],tblHoliday[Holiday_Type],"Working Day ")</f>
        <v xml:space="preserve">Working Day </v>
      </c>
    </row>
    <row r="644" spans="1:35" x14ac:dyDescent="0.3">
      <c r="A644" t="s">
        <v>833</v>
      </c>
      <c r="B644" s="3">
        <v>45709</v>
      </c>
      <c r="C644" t="s">
        <v>95</v>
      </c>
      <c r="D644" t="s">
        <v>50</v>
      </c>
      <c r="E644" t="s">
        <v>119</v>
      </c>
      <c r="F644" t="s">
        <v>151</v>
      </c>
      <c r="G644" t="s">
        <v>152</v>
      </c>
      <c r="H644" t="s">
        <v>98</v>
      </c>
      <c r="I644" t="s">
        <v>99</v>
      </c>
      <c r="J644" t="s">
        <v>30</v>
      </c>
      <c r="K644" t="s">
        <v>81</v>
      </c>
      <c r="L644" s="2">
        <v>0.91666666666666663</v>
      </c>
      <c r="M644" s="2">
        <v>0.29166666666666669</v>
      </c>
      <c r="N644">
        <v>10</v>
      </c>
      <c r="O644">
        <v>2</v>
      </c>
      <c r="P644" t="s">
        <v>32</v>
      </c>
      <c r="S644" t="s">
        <v>33</v>
      </c>
      <c r="T644" t="s">
        <v>101</v>
      </c>
      <c r="U644" t="str">
        <f>_xlfn.XLOOKUP(tblMaster[[#This Row],[Employee_ID]],tblEmployee[Employee_ID],tblEmployee[Work_Mode]," ")</f>
        <v>Hybrid</v>
      </c>
      <c r="V644" t="s">
        <v>60</v>
      </c>
      <c r="W644">
        <f>_xlfn.XLOOKUP(F644,tblEmployee[Employee_ID],tblEmployee[Age],"Not Found")</f>
        <v>38</v>
      </c>
      <c r="X644" t="str">
        <f>_xlfn.XLOOKUP(F644,tblEmployee[Employee_ID],tblEmployee[Gender],"Not Found")</f>
        <v>Female</v>
      </c>
      <c r="Y644">
        <f>_xlfn.XLOOKUP(F644,tblEmployee[Employee_ID],tblEmployee[Joining_Date],"")</f>
        <v>45611</v>
      </c>
      <c r="Z644">
        <f>_xlfn.XLOOKUP(H644,tblDepartment[Department],tblDepartment[Annual_Budget_INR],"")</f>
        <v>22000000</v>
      </c>
      <c r="AA644" t="str">
        <f>_xlfn.XLOOKUP(H644,tblDepartment[Department],tblDepartment[Monthly_Target],"")</f>
        <v>2500 Qualified Leads</v>
      </c>
      <c r="AB644">
        <f>_xlfn.XLOOKUP(H644,tblDepartment[Department],tblDepartment[Average_Salary_INR],"")</f>
        <v>590000</v>
      </c>
      <c r="AC644" t="str">
        <f>_xlfn.XLOOKUP(H644,tblDepartment[Department],tblDepartment[Priority_Level],"")</f>
        <v>Medium</v>
      </c>
      <c r="AD644" t="str">
        <f>_xlfn.XLOOKUP(H644,tblDepartment[Department],tblDepartment[Key_KPI],"")</f>
        <v>Lead Generation</v>
      </c>
      <c r="AE644">
        <f>_xlfn.XLOOKUP(tblMaster[[#This Row],[Shift]],tblShift[Shift_Name],tblShift[Login_Time],"")</f>
        <v>0.91666666666666663</v>
      </c>
      <c r="AF644">
        <f>_xlfn.XLOOKUP(tblMaster[[#This Row],[Shift]],tblShift[Shift_Name],tblShift[Logout_Time]," ")</f>
        <v>0.29166666666666669</v>
      </c>
      <c r="AG644">
        <f>_xlfn.XLOOKUP(tblMaster[[#This Row],[Shift]],tblShift[Shift_Name],tblShift[Standard_Working_Hours],"")</f>
        <v>8</v>
      </c>
      <c r="AH644" t="str">
        <f>_xlfn.XLOOKUP(tblMaster[[#This Row],[Attendance_Date]],tblHoliday[Holiday_Date],tblHoliday[Holiday_Name],"Working Day")</f>
        <v>Working Day</v>
      </c>
      <c r="AI644" t="str">
        <f>_xlfn.XLOOKUP(tblMaster[[#This Row],[Attendance_Date]],tblHoliday[Holiday_Date],tblHoliday[Holiday_Type],"Working Day ")</f>
        <v xml:space="preserve">Working Day </v>
      </c>
    </row>
    <row r="645" spans="1:35" hidden="1" x14ac:dyDescent="0.3">
      <c r="A645" t="s">
        <v>834</v>
      </c>
      <c r="B645" s="3">
        <v>45801</v>
      </c>
      <c r="C645" t="s">
        <v>57</v>
      </c>
      <c r="D645" t="s">
        <v>24</v>
      </c>
      <c r="E645" t="s">
        <v>38</v>
      </c>
      <c r="F645" t="s">
        <v>305</v>
      </c>
      <c r="G645" t="s">
        <v>306</v>
      </c>
      <c r="H645" t="s">
        <v>79</v>
      </c>
      <c r="I645" t="s">
        <v>80</v>
      </c>
      <c r="J645" t="s">
        <v>74</v>
      </c>
      <c r="K645" t="s">
        <v>81</v>
      </c>
      <c r="L645" s="2">
        <v>0.91666666666666663</v>
      </c>
      <c r="M645" s="2">
        <v>0.29166666666666669</v>
      </c>
      <c r="N645">
        <v>10</v>
      </c>
      <c r="O645">
        <v>2</v>
      </c>
      <c r="P645" t="s">
        <v>32</v>
      </c>
      <c r="R645">
        <v>5</v>
      </c>
      <c r="S645" t="s">
        <v>45</v>
      </c>
      <c r="T645" t="s">
        <v>84</v>
      </c>
      <c r="U645" t="s">
        <v>47</v>
      </c>
      <c r="V645" t="s">
        <v>69</v>
      </c>
      <c r="W645">
        <f>_xlfn.XLOOKUP(F645,tblEmployee[Employee_ID],tblEmployee[Age],"Not Found")</f>
        <v>36</v>
      </c>
      <c r="X645" t="str">
        <f>_xlfn.XLOOKUP(F645,tblEmployee[Employee_ID],tblEmployee[Gender],"Not Found")</f>
        <v>Female</v>
      </c>
      <c r="Y645">
        <f>_xlfn.XLOOKUP(F645,tblEmployee[Employee_ID],tblEmployee[Joining_Date],"")</f>
        <v>44819</v>
      </c>
      <c r="Z645">
        <f>_xlfn.XLOOKUP(H645,tblDepartment[Department],tblDepartment[Annual_Budget_INR],"")</f>
        <v>26000000</v>
      </c>
      <c r="AA645" t="str">
        <f>_xlfn.XLOOKUP(H645,tblDepartment[Department],tblDepartment[Monthly_Target],"")</f>
        <v>100% Payroll Accuracy</v>
      </c>
      <c r="AB645">
        <f>_xlfn.XLOOKUP(H645,tblDepartment[Department],tblDepartment[Average_Salary_INR],"")</f>
        <v>640000</v>
      </c>
      <c r="AC645" t="str">
        <f>_xlfn.XLOOKUP(H645,tblDepartment[Department],tblDepartment[Priority_Level],"")</f>
        <v>High</v>
      </c>
      <c r="AD645" t="str">
        <f>_xlfn.XLOOKUP(H645,tblDepartment[Department],tblDepartment[Key_KPI],"")</f>
        <v>Financial Compliance</v>
      </c>
      <c r="AE645">
        <f>_xlfn.XLOOKUP(tblMaster[[#This Row],[Shift]],tblShift[Shift_Name],tblShift[Login_Time],"")</f>
        <v>0.91666666666666663</v>
      </c>
      <c r="AF645">
        <f>_xlfn.XLOOKUP(tblMaster[[#This Row],[Shift]],tblShift[Shift_Name],tblShift[Logout_Time]," ")</f>
        <v>0.29166666666666669</v>
      </c>
      <c r="AG645">
        <f>_xlfn.XLOOKUP(tblMaster[[#This Row],[Shift]],tblShift[Shift_Name],tblShift[Standard_Working_Hours],"")</f>
        <v>8</v>
      </c>
      <c r="AH645" t="str">
        <f>_xlfn.XLOOKUP(tblMaster[[#This Row],[Attendance_Date]],tblHoliday[Holiday_Date],tblHoliday[Holiday_Name],"Working Day")</f>
        <v>Working Day</v>
      </c>
      <c r="AI645" t="str">
        <f>_xlfn.XLOOKUP(tblMaster[[#This Row],[Attendance_Date]],tblHoliday[Holiday_Date],tblHoliday[Holiday_Type],"Working Day ")</f>
        <v xml:space="preserve">Working Day </v>
      </c>
    </row>
    <row r="646" spans="1:35" hidden="1" x14ac:dyDescent="0.3">
      <c r="A646" t="s">
        <v>835</v>
      </c>
      <c r="B646" s="3">
        <v>45661</v>
      </c>
      <c r="C646" t="s">
        <v>49</v>
      </c>
      <c r="D646" t="s">
        <v>50</v>
      </c>
      <c r="E646" t="s">
        <v>38</v>
      </c>
      <c r="F646" t="s">
        <v>151</v>
      </c>
      <c r="G646" t="s">
        <v>152</v>
      </c>
      <c r="H646" t="s">
        <v>98</v>
      </c>
      <c r="I646" t="s">
        <v>99</v>
      </c>
      <c r="J646" t="s">
        <v>30</v>
      </c>
      <c r="K646" t="s">
        <v>54</v>
      </c>
      <c r="L646" s="2">
        <v>0.375</v>
      </c>
      <c r="M646" s="2">
        <v>0.75</v>
      </c>
      <c r="N646">
        <v>8</v>
      </c>
      <c r="O646">
        <v>0</v>
      </c>
      <c r="P646" t="s">
        <v>32</v>
      </c>
      <c r="R646">
        <v>3</v>
      </c>
      <c r="S646" t="s">
        <v>67</v>
      </c>
      <c r="T646" t="s">
        <v>101</v>
      </c>
      <c r="U646" t="s">
        <v>85</v>
      </c>
      <c r="V646" t="s">
        <v>60</v>
      </c>
      <c r="W646">
        <f>_xlfn.XLOOKUP(F646,tblEmployee[Employee_ID],tblEmployee[Age],"Not Found")</f>
        <v>38</v>
      </c>
      <c r="X646" t="str">
        <f>_xlfn.XLOOKUP(F646,tblEmployee[Employee_ID],tblEmployee[Gender],"Not Found")</f>
        <v>Female</v>
      </c>
      <c r="Y646">
        <f>_xlfn.XLOOKUP(F646,tblEmployee[Employee_ID],tblEmployee[Joining_Date],"")</f>
        <v>45611</v>
      </c>
      <c r="Z646">
        <f>_xlfn.XLOOKUP(H646,tblDepartment[Department],tblDepartment[Annual_Budget_INR],"")</f>
        <v>22000000</v>
      </c>
      <c r="AA646" t="str">
        <f>_xlfn.XLOOKUP(H646,tblDepartment[Department],tblDepartment[Monthly_Target],"")</f>
        <v>2500 Qualified Leads</v>
      </c>
      <c r="AB646">
        <f>_xlfn.XLOOKUP(H646,tblDepartment[Department],tblDepartment[Average_Salary_INR],"")</f>
        <v>590000</v>
      </c>
      <c r="AC646" t="str">
        <f>_xlfn.XLOOKUP(H646,tblDepartment[Department],tblDepartment[Priority_Level],"")</f>
        <v>Medium</v>
      </c>
      <c r="AD646" t="str">
        <f>_xlfn.XLOOKUP(H646,tblDepartment[Department],tblDepartment[Key_KPI],"")</f>
        <v>Lead Generation</v>
      </c>
      <c r="AE646">
        <f>_xlfn.XLOOKUP(tblMaster[[#This Row],[Shift]],tblShift[Shift_Name],tblShift[Login_Time],"")</f>
        <v>0.58333333333333337</v>
      </c>
      <c r="AF646">
        <f>_xlfn.XLOOKUP(tblMaster[[#This Row],[Shift]],tblShift[Shift_Name],tblShift[Logout_Time]," ")</f>
        <v>0.95833333333333337</v>
      </c>
      <c r="AG646">
        <f>_xlfn.XLOOKUP(tblMaster[[#This Row],[Shift]],tblShift[Shift_Name],tblShift[Standard_Working_Hours],"")</f>
        <v>8</v>
      </c>
      <c r="AH646" t="str">
        <f>_xlfn.XLOOKUP(tblMaster[[#This Row],[Attendance_Date]],tblHoliday[Holiday_Date],tblHoliday[Holiday_Name],"Working Day")</f>
        <v>Working Day</v>
      </c>
      <c r="AI646" t="str">
        <f>_xlfn.XLOOKUP(tblMaster[[#This Row],[Attendance_Date]],tblHoliday[Holiday_Date],tblHoliday[Holiday_Type],"Working Day ")</f>
        <v xml:space="preserve">Working Day </v>
      </c>
    </row>
    <row r="647" spans="1:35" hidden="1" x14ac:dyDescent="0.3">
      <c r="A647" t="s">
        <v>836</v>
      </c>
      <c r="B647" s="3">
        <v>45777</v>
      </c>
      <c r="C647" t="s">
        <v>37</v>
      </c>
      <c r="D647" t="s">
        <v>24</v>
      </c>
      <c r="E647" t="s">
        <v>51</v>
      </c>
      <c r="F647" t="s">
        <v>133</v>
      </c>
      <c r="G647" t="s">
        <v>134</v>
      </c>
      <c r="H647" t="s">
        <v>98</v>
      </c>
      <c r="I647" t="s">
        <v>99</v>
      </c>
      <c r="J647" t="s">
        <v>66</v>
      </c>
      <c r="K647" t="s">
        <v>54</v>
      </c>
      <c r="L647" s="2">
        <v>0.375</v>
      </c>
      <c r="M647" s="2">
        <v>0.75</v>
      </c>
      <c r="N647">
        <v>8</v>
      </c>
      <c r="O647">
        <v>0</v>
      </c>
      <c r="P647" t="s">
        <v>32</v>
      </c>
      <c r="R647">
        <v>4</v>
      </c>
      <c r="S647" t="s">
        <v>45</v>
      </c>
      <c r="T647" t="s">
        <v>101</v>
      </c>
      <c r="U647" t="s">
        <v>55</v>
      </c>
      <c r="V647" t="s">
        <v>60</v>
      </c>
      <c r="W647">
        <f>_xlfn.XLOOKUP(F647,tblEmployee[Employee_ID],tblEmployee[Age],"Not Found")</f>
        <v>27</v>
      </c>
      <c r="X647" t="str">
        <f>_xlfn.XLOOKUP(F647,tblEmployee[Employee_ID],tblEmployee[Gender],"Not Found")</f>
        <v>Male</v>
      </c>
      <c r="Y647">
        <f>_xlfn.XLOOKUP(F647,tblEmployee[Employee_ID],tblEmployee[Joining_Date],"")</f>
        <v>45458</v>
      </c>
      <c r="Z647">
        <f>_xlfn.XLOOKUP(H647,tblDepartment[Department],tblDepartment[Annual_Budget_INR],"")</f>
        <v>22000000</v>
      </c>
      <c r="AA647" t="str">
        <f>_xlfn.XLOOKUP(H647,tblDepartment[Department],tblDepartment[Monthly_Target],"")</f>
        <v>2500 Qualified Leads</v>
      </c>
      <c r="AB647">
        <f>_xlfn.XLOOKUP(H647,tblDepartment[Department],tblDepartment[Average_Salary_INR],"")</f>
        <v>590000</v>
      </c>
      <c r="AC647" t="str">
        <f>_xlfn.XLOOKUP(H647,tblDepartment[Department],tblDepartment[Priority_Level],"")</f>
        <v>Medium</v>
      </c>
      <c r="AD647" t="str">
        <f>_xlfn.XLOOKUP(H647,tblDepartment[Department],tblDepartment[Key_KPI],"")</f>
        <v>Lead Generation</v>
      </c>
      <c r="AE647">
        <f>_xlfn.XLOOKUP(tblMaster[[#This Row],[Shift]],tblShift[Shift_Name],tblShift[Login_Time],"")</f>
        <v>0.58333333333333337</v>
      </c>
      <c r="AF647">
        <f>_xlfn.XLOOKUP(tblMaster[[#This Row],[Shift]],tblShift[Shift_Name],tblShift[Logout_Time]," ")</f>
        <v>0.95833333333333337</v>
      </c>
      <c r="AG647">
        <f>_xlfn.XLOOKUP(tblMaster[[#This Row],[Shift]],tblShift[Shift_Name],tblShift[Standard_Working_Hours],"")</f>
        <v>8</v>
      </c>
      <c r="AH647" t="str">
        <f>_xlfn.XLOOKUP(tblMaster[[#This Row],[Attendance_Date]],tblHoliday[Holiday_Date],tblHoliday[Holiday_Name],"Working Day")</f>
        <v>Working Day</v>
      </c>
      <c r="AI647" t="str">
        <f>_xlfn.XLOOKUP(tblMaster[[#This Row],[Attendance_Date]],tblHoliday[Holiday_Date],tblHoliday[Holiday_Type],"Working Day ")</f>
        <v xml:space="preserve">Working Day </v>
      </c>
    </row>
    <row r="648" spans="1:35" hidden="1" x14ac:dyDescent="0.3">
      <c r="A648" t="s">
        <v>837</v>
      </c>
      <c r="B648" s="3">
        <v>45741</v>
      </c>
      <c r="C648" t="s">
        <v>71</v>
      </c>
      <c r="D648" t="s">
        <v>50</v>
      </c>
      <c r="E648" t="s">
        <v>87</v>
      </c>
      <c r="F648" t="s">
        <v>211</v>
      </c>
      <c r="G648" t="s">
        <v>212</v>
      </c>
      <c r="H648" t="s">
        <v>64</v>
      </c>
      <c r="I648" t="s">
        <v>65</v>
      </c>
      <c r="J648" t="s">
        <v>74</v>
      </c>
      <c r="K648" t="s">
        <v>75</v>
      </c>
      <c r="L648" s="2">
        <v>0.375</v>
      </c>
      <c r="M648" s="2">
        <v>0.75</v>
      </c>
      <c r="N648">
        <v>10</v>
      </c>
      <c r="O648">
        <v>2</v>
      </c>
      <c r="P648" t="s">
        <v>32</v>
      </c>
      <c r="R648">
        <v>3</v>
      </c>
      <c r="S648" t="s">
        <v>67</v>
      </c>
      <c r="T648" t="s">
        <v>68</v>
      </c>
      <c r="U648" t="s">
        <v>47</v>
      </c>
      <c r="V648" t="s">
        <v>69</v>
      </c>
      <c r="W648">
        <f>_xlfn.XLOOKUP(F648,tblEmployee[Employee_ID],tblEmployee[Age],"Not Found")</f>
        <v>26</v>
      </c>
      <c r="X648" t="str">
        <f>_xlfn.XLOOKUP(F648,tblEmployee[Employee_ID],tblEmployee[Gender],"Not Found")</f>
        <v>Female</v>
      </c>
      <c r="Y648">
        <f>_xlfn.XLOOKUP(F648,tblEmployee[Employee_ID],tblEmployee[Joining_Date],"")</f>
        <v>43784</v>
      </c>
      <c r="Z648">
        <f>_xlfn.XLOOKUP(H648,tblDepartment[Department],tblDepartment[Annual_Budget_INR],"")</f>
        <v>85000000</v>
      </c>
      <c r="AA648" t="str">
        <f>_xlfn.XLOOKUP(H648,tblDepartment[Department],tblDepartment[Monthly_Target],"")</f>
        <v>99.5% System Uptime</v>
      </c>
      <c r="AB648">
        <f>_xlfn.XLOOKUP(H648,tblDepartment[Department],tblDepartment[Average_Salary_INR],"")</f>
        <v>720000</v>
      </c>
      <c r="AC648" t="str">
        <f>_xlfn.XLOOKUP(H648,tblDepartment[Department],tblDepartment[Priority_Level],"")</f>
        <v>High</v>
      </c>
      <c r="AD648" t="str">
        <f>_xlfn.XLOOKUP(H648,tblDepartment[Department],tblDepartment[Key_KPI],"")</f>
        <v>Project Delivery</v>
      </c>
      <c r="AE648">
        <f>_xlfn.XLOOKUP(tblMaster[[#This Row],[Shift]],tblShift[Shift_Name],tblShift[Login_Time],"")</f>
        <v>0.375</v>
      </c>
      <c r="AF648">
        <f>_xlfn.XLOOKUP(tblMaster[[#This Row],[Shift]],tblShift[Shift_Name],tblShift[Logout_Time]," ")</f>
        <v>0.75</v>
      </c>
      <c r="AG648">
        <f>_xlfn.XLOOKUP(tblMaster[[#This Row],[Shift]],tblShift[Shift_Name],tblShift[Standard_Working_Hours],"")</f>
        <v>8</v>
      </c>
      <c r="AH648" t="str">
        <f>_xlfn.XLOOKUP(tblMaster[[#This Row],[Attendance_Date]],tblHoliday[Holiday_Date],tblHoliday[Holiday_Name],"Working Day")</f>
        <v>Working Day</v>
      </c>
      <c r="AI648" t="str">
        <f>_xlfn.XLOOKUP(tblMaster[[#This Row],[Attendance_Date]],tblHoliday[Holiday_Date],tblHoliday[Holiday_Type],"Working Day ")</f>
        <v xml:space="preserve">Working Day </v>
      </c>
    </row>
    <row r="649" spans="1:35" x14ac:dyDescent="0.3">
      <c r="A649" t="s">
        <v>838</v>
      </c>
      <c r="B649" s="1">
        <v>45708</v>
      </c>
      <c r="C649" t="s">
        <v>95</v>
      </c>
      <c r="D649" t="s">
        <v>50</v>
      </c>
      <c r="E649" t="s">
        <v>25</v>
      </c>
      <c r="F649" t="s">
        <v>151</v>
      </c>
      <c r="G649" t="s">
        <v>152</v>
      </c>
      <c r="H649" t="s">
        <v>98</v>
      </c>
      <c r="I649" t="s">
        <v>99</v>
      </c>
      <c r="J649" t="s">
        <v>30</v>
      </c>
      <c r="K649" t="s">
        <v>75</v>
      </c>
      <c r="L649" s="2">
        <v>0.375</v>
      </c>
      <c r="M649" s="2">
        <v>0.75</v>
      </c>
      <c r="N649">
        <v>8</v>
      </c>
      <c r="O649">
        <v>0</v>
      </c>
      <c r="P649" t="s">
        <v>32</v>
      </c>
      <c r="R649">
        <v>4</v>
      </c>
      <c r="S649" t="s">
        <v>45</v>
      </c>
      <c r="T649" t="s">
        <v>101</v>
      </c>
      <c r="U649" t="str">
        <f>_xlfn.XLOOKUP(tblMaster[[#This Row],[Employee_ID]],tblEmployee[Employee_ID],tblEmployee[Work_Mode]," ")</f>
        <v>Hybrid</v>
      </c>
      <c r="V649" t="s">
        <v>60</v>
      </c>
      <c r="W649">
        <f>_xlfn.XLOOKUP(F649,tblEmployee[Employee_ID],tblEmployee[Age],"Not Found")</f>
        <v>38</v>
      </c>
      <c r="X649" t="str">
        <f>_xlfn.XLOOKUP(F649,tblEmployee[Employee_ID],tblEmployee[Gender],"Not Found")</f>
        <v>Female</v>
      </c>
      <c r="Y649">
        <f>_xlfn.XLOOKUP(F649,tblEmployee[Employee_ID],tblEmployee[Joining_Date],"")</f>
        <v>45611</v>
      </c>
      <c r="Z649">
        <f>_xlfn.XLOOKUP(H649,tblDepartment[Department],tblDepartment[Annual_Budget_INR],"")</f>
        <v>22000000</v>
      </c>
      <c r="AA649" t="str">
        <f>_xlfn.XLOOKUP(H649,tblDepartment[Department],tblDepartment[Monthly_Target],"")</f>
        <v>2500 Qualified Leads</v>
      </c>
      <c r="AB649">
        <f>_xlfn.XLOOKUP(H649,tblDepartment[Department],tblDepartment[Average_Salary_INR],"")</f>
        <v>590000</v>
      </c>
      <c r="AC649" t="str">
        <f>_xlfn.XLOOKUP(H649,tblDepartment[Department],tblDepartment[Priority_Level],"")</f>
        <v>Medium</v>
      </c>
      <c r="AD649" t="str">
        <f>_xlfn.XLOOKUP(H649,tblDepartment[Department],tblDepartment[Key_KPI],"")</f>
        <v>Lead Generation</v>
      </c>
      <c r="AE649">
        <f>_xlfn.XLOOKUP(tblMaster[[#This Row],[Shift]],tblShift[Shift_Name],tblShift[Login_Time],"")</f>
        <v>0.375</v>
      </c>
      <c r="AF649">
        <f>_xlfn.XLOOKUP(tblMaster[[#This Row],[Shift]],tblShift[Shift_Name],tblShift[Logout_Time]," ")</f>
        <v>0.75</v>
      </c>
      <c r="AG649">
        <f>_xlfn.XLOOKUP(tblMaster[[#This Row],[Shift]],tblShift[Shift_Name],tblShift[Standard_Working_Hours],"")</f>
        <v>8</v>
      </c>
      <c r="AH649" t="str">
        <f>_xlfn.XLOOKUP(tblMaster[[#This Row],[Attendance_Date]],tblHoliday[Holiday_Date],tblHoliday[Holiday_Name],"Working Day")</f>
        <v>Working Day</v>
      </c>
      <c r="AI649" t="str">
        <f>_xlfn.XLOOKUP(tblMaster[[#This Row],[Attendance_Date]],tblHoliday[Holiday_Date],tblHoliday[Holiday_Type],"Working Day ")</f>
        <v xml:space="preserve">Working Day </v>
      </c>
    </row>
    <row r="650" spans="1:35" hidden="1" x14ac:dyDescent="0.3">
      <c r="A650" t="s">
        <v>839</v>
      </c>
      <c r="B650" s="3">
        <v>45707</v>
      </c>
      <c r="C650" t="s">
        <v>95</v>
      </c>
      <c r="D650" t="s">
        <v>50</v>
      </c>
      <c r="E650" t="s">
        <v>51</v>
      </c>
      <c r="F650" t="s">
        <v>120</v>
      </c>
      <c r="G650" t="s">
        <v>121</v>
      </c>
      <c r="H650" t="s">
        <v>41</v>
      </c>
      <c r="I650" t="s">
        <v>42</v>
      </c>
      <c r="J650" t="s">
        <v>74</v>
      </c>
      <c r="K650" t="s">
        <v>44</v>
      </c>
      <c r="L650" s="2">
        <v>0.375</v>
      </c>
      <c r="M650" s="2">
        <v>0.75</v>
      </c>
      <c r="N650">
        <v>8</v>
      </c>
      <c r="O650">
        <v>0</v>
      </c>
      <c r="P650" t="s">
        <v>32</v>
      </c>
      <c r="R650">
        <v>4</v>
      </c>
      <c r="S650" t="s">
        <v>45</v>
      </c>
      <c r="T650" t="s">
        <v>46</v>
      </c>
      <c r="U650" t="s">
        <v>55</v>
      </c>
      <c r="V650" t="s">
        <v>60</v>
      </c>
      <c r="W650">
        <f>_xlfn.XLOOKUP(F650,tblEmployee[Employee_ID],tblEmployee[Age],"Not Found")</f>
        <v>34</v>
      </c>
      <c r="X650" t="str">
        <f>_xlfn.XLOOKUP(F650,tblEmployee[Employee_ID],tblEmployee[Gender],"Not Found")</f>
        <v>Female</v>
      </c>
      <c r="Y650">
        <f>_xlfn.XLOOKUP(F650,tblEmployee[Employee_ID],tblEmployee[Joining_Date],"")</f>
        <v>44941</v>
      </c>
      <c r="Z650">
        <f>_xlfn.XLOOKUP(H650,tblDepartment[Department],tblDepartment[Annual_Budget_INR],"")</f>
        <v>34000000</v>
      </c>
      <c r="AA650" t="str">
        <f>_xlfn.XLOOKUP(H650,tblDepartment[Department],tblDepartment[Monthly_Target],"")</f>
        <v>95% Process Efficiency</v>
      </c>
      <c r="AB650">
        <f>_xlfn.XLOOKUP(H650,tblDepartment[Department],tblDepartment[Average_Salary_INR],"")</f>
        <v>610000</v>
      </c>
      <c r="AC650" t="str">
        <f>_xlfn.XLOOKUP(H650,tblDepartment[Department],tblDepartment[Priority_Level],"")</f>
        <v>High</v>
      </c>
      <c r="AD650" t="str">
        <f>_xlfn.XLOOKUP(H650,tblDepartment[Department],tblDepartment[Key_KPI],"")</f>
        <v>Operational Efficiency</v>
      </c>
      <c r="AE650">
        <f>_xlfn.XLOOKUP(tblMaster[[#This Row],[Shift]],tblShift[Shift_Name],tblShift[Login_Time],"")</f>
        <v>0.41666666666666669</v>
      </c>
      <c r="AF650">
        <f>_xlfn.XLOOKUP(tblMaster[[#This Row],[Shift]],tblShift[Shift_Name],tblShift[Logout_Time]," ")</f>
        <v>0.79166666666666663</v>
      </c>
      <c r="AG650">
        <f>_xlfn.XLOOKUP(tblMaster[[#This Row],[Shift]],tblShift[Shift_Name],tblShift[Standard_Working_Hours],"")</f>
        <v>8</v>
      </c>
      <c r="AH650" t="str">
        <f>_xlfn.XLOOKUP(tblMaster[[#This Row],[Attendance_Date]],tblHoliday[Holiday_Date],tblHoliday[Holiday_Name],"Working Day")</f>
        <v>Working Day</v>
      </c>
      <c r="AI650" t="str">
        <f>_xlfn.XLOOKUP(tblMaster[[#This Row],[Attendance_Date]],tblHoliday[Holiday_Date],tblHoliday[Holiday_Type],"Working Day ")</f>
        <v xml:space="preserve">Working Day </v>
      </c>
    </row>
    <row r="651" spans="1:35" hidden="1" x14ac:dyDescent="0.3">
      <c r="A651" t="s">
        <v>840</v>
      </c>
      <c r="B651" s="3">
        <v>45770</v>
      </c>
      <c r="C651" t="s">
        <v>37</v>
      </c>
      <c r="D651" t="s">
        <v>24</v>
      </c>
      <c r="E651" t="s">
        <v>51</v>
      </c>
      <c r="F651" t="s">
        <v>354</v>
      </c>
      <c r="G651" t="s">
        <v>355</v>
      </c>
      <c r="H651" t="s">
        <v>28</v>
      </c>
      <c r="I651" t="s">
        <v>29</v>
      </c>
      <c r="J651" t="s">
        <v>100</v>
      </c>
      <c r="K651" t="s">
        <v>44</v>
      </c>
      <c r="M651" s="2">
        <v>0.75</v>
      </c>
      <c r="N651">
        <v>8</v>
      </c>
      <c r="O651">
        <v>0</v>
      </c>
      <c r="P651" t="s">
        <v>32</v>
      </c>
      <c r="S651" t="s">
        <v>67</v>
      </c>
      <c r="T651" t="s">
        <v>34</v>
      </c>
      <c r="U651" t="s">
        <v>47</v>
      </c>
      <c r="V651" t="s">
        <v>69</v>
      </c>
      <c r="W651">
        <f>_xlfn.XLOOKUP(F651,tblEmployee[Employee_ID],tblEmployee[Age],"Not Found")</f>
        <v>32</v>
      </c>
      <c r="X651" t="str">
        <f>_xlfn.XLOOKUP(F651,tblEmployee[Employee_ID],tblEmployee[Gender],"Not Found")</f>
        <v>Female</v>
      </c>
      <c r="Y651">
        <f>_xlfn.XLOOKUP(F651,tblEmployee[Employee_ID],tblEmployee[Joining_Date],"")</f>
        <v>43235</v>
      </c>
      <c r="Z651">
        <f>_xlfn.XLOOKUP(H651,tblDepartment[Department],tblDepartment[Annual_Budget_INR],"")</f>
        <v>24000000</v>
      </c>
      <c r="AA651" t="str">
        <f>_xlfn.XLOOKUP(H651,tblDepartment[Department],tblDepartment[Monthly_Target],"")</f>
        <v>90% Customer Satisfaction</v>
      </c>
      <c r="AB651">
        <f>_xlfn.XLOOKUP(H651,tblDepartment[Department],tblDepartment[Average_Salary_INR],"")</f>
        <v>520000</v>
      </c>
      <c r="AC651" t="str">
        <f>_xlfn.XLOOKUP(H651,tblDepartment[Department],tblDepartment[Priority_Level],"")</f>
        <v>High</v>
      </c>
      <c r="AD651" t="str">
        <f>_xlfn.XLOOKUP(H651,tblDepartment[Department],tblDepartment[Key_KPI],"")</f>
        <v>Customer Satisfaction</v>
      </c>
      <c r="AE651">
        <f>_xlfn.XLOOKUP(tblMaster[[#This Row],[Shift]],tblShift[Shift_Name],tblShift[Login_Time],"")</f>
        <v>0.41666666666666669</v>
      </c>
      <c r="AF651">
        <f>_xlfn.XLOOKUP(tblMaster[[#This Row],[Shift]],tblShift[Shift_Name],tblShift[Logout_Time]," ")</f>
        <v>0.79166666666666663</v>
      </c>
      <c r="AG651">
        <f>_xlfn.XLOOKUP(tblMaster[[#This Row],[Shift]],tblShift[Shift_Name],tblShift[Standard_Working_Hours],"")</f>
        <v>8</v>
      </c>
      <c r="AH651" t="str">
        <f>_xlfn.XLOOKUP(tblMaster[[#This Row],[Attendance_Date]],tblHoliday[Holiday_Date],tblHoliday[Holiday_Name],"Working Day")</f>
        <v>Working Day</v>
      </c>
      <c r="AI651" t="str">
        <f>_xlfn.XLOOKUP(tblMaster[[#This Row],[Attendance_Date]],tblHoliday[Holiday_Date],tblHoliday[Holiday_Type],"Working Day ")</f>
        <v xml:space="preserve">Working Day </v>
      </c>
    </row>
    <row r="652" spans="1:35" hidden="1" x14ac:dyDescent="0.3">
      <c r="A652" t="s">
        <v>841</v>
      </c>
      <c r="B652" s="3">
        <v>45825</v>
      </c>
      <c r="C652" t="s">
        <v>23</v>
      </c>
      <c r="D652" t="s">
        <v>24</v>
      </c>
      <c r="E652" t="s">
        <v>87</v>
      </c>
      <c r="F652" t="s">
        <v>182</v>
      </c>
      <c r="G652" t="s">
        <v>183</v>
      </c>
      <c r="H652" t="s">
        <v>112</v>
      </c>
      <c r="I652" t="s">
        <v>113</v>
      </c>
      <c r="J652" t="s">
        <v>30</v>
      </c>
      <c r="K652" t="s">
        <v>31</v>
      </c>
      <c r="L652" s="2">
        <v>0.38194444444444442</v>
      </c>
      <c r="M652" s="2">
        <v>0.75</v>
      </c>
      <c r="N652">
        <v>8</v>
      </c>
      <c r="O652">
        <v>0</v>
      </c>
      <c r="P652" t="s">
        <v>32</v>
      </c>
      <c r="R652">
        <v>5</v>
      </c>
      <c r="S652" t="s">
        <v>33</v>
      </c>
      <c r="T652" t="s">
        <v>114</v>
      </c>
      <c r="U652" t="s">
        <v>47</v>
      </c>
      <c r="V652" t="s">
        <v>60</v>
      </c>
      <c r="W652">
        <f>_xlfn.XLOOKUP(F652,tblEmployee[Employee_ID],tblEmployee[Age],"Not Found")</f>
        <v>28</v>
      </c>
      <c r="X652" t="str">
        <f>_xlfn.XLOOKUP(F652,tblEmployee[Employee_ID],tblEmployee[Gender],"Not Found")</f>
        <v>Male</v>
      </c>
      <c r="Y652">
        <f>_xlfn.XLOOKUP(F652,tblEmployee[Employee_ID],tblEmployee[Joining_Date],"")</f>
        <v>44211</v>
      </c>
      <c r="Z652">
        <f>_xlfn.XLOOKUP(H652,tblDepartment[Department],tblDepartment[Annual_Budget_INR],"")</f>
        <v>42000000</v>
      </c>
      <c r="AA652" t="str">
        <f>_xlfn.XLOOKUP(H652,tblDepartment[Department],tblDepartment[Monthly_Target],"")</f>
        <v>₹2.5 Cr Monthly Sales</v>
      </c>
      <c r="AB652">
        <f>_xlfn.XLOOKUP(H652,tblDepartment[Department],tblDepartment[Average_Salary_INR],"")</f>
        <v>680000</v>
      </c>
      <c r="AC652" t="str">
        <f>_xlfn.XLOOKUP(H652,tblDepartment[Department],tblDepartment[Priority_Level],"")</f>
        <v>High</v>
      </c>
      <c r="AD652" t="str">
        <f>_xlfn.XLOOKUP(H652,tblDepartment[Department],tblDepartment[Key_KPI],"")</f>
        <v>Revenue Achievement</v>
      </c>
      <c r="AE652">
        <f>_xlfn.XLOOKUP(tblMaster[[#This Row],[Shift]],tblShift[Shift_Name],tblShift[Login_Time],"")</f>
        <v>0.25</v>
      </c>
      <c r="AF652">
        <f>_xlfn.XLOOKUP(tblMaster[[#This Row],[Shift]],tblShift[Shift_Name],tblShift[Logout_Time]," ")</f>
        <v>0.625</v>
      </c>
      <c r="AG652">
        <f>_xlfn.XLOOKUP(tblMaster[[#This Row],[Shift]],tblShift[Shift_Name],tblShift[Standard_Working_Hours],"")</f>
        <v>8</v>
      </c>
      <c r="AH652" t="str">
        <f>_xlfn.XLOOKUP(tblMaster[[#This Row],[Attendance_Date]],tblHoliday[Holiday_Date],tblHoliday[Holiday_Name],"Working Day")</f>
        <v>Working Day</v>
      </c>
      <c r="AI652" t="str">
        <f>_xlfn.XLOOKUP(tblMaster[[#This Row],[Attendance_Date]],tblHoliday[Holiday_Date],tblHoliday[Holiday_Type],"Working Day ")</f>
        <v xml:space="preserve">Working Day </v>
      </c>
    </row>
    <row r="653" spans="1:35" hidden="1" x14ac:dyDescent="0.3">
      <c r="A653" t="s">
        <v>842</v>
      </c>
      <c r="B653" s="1">
        <v>45708</v>
      </c>
      <c r="C653" t="s">
        <v>95</v>
      </c>
      <c r="D653" t="s">
        <v>50</v>
      </c>
      <c r="E653" t="s">
        <v>25</v>
      </c>
      <c r="F653" t="s">
        <v>215</v>
      </c>
      <c r="G653" t="s">
        <v>216</v>
      </c>
      <c r="H653" t="s">
        <v>79</v>
      </c>
      <c r="I653" t="s">
        <v>80</v>
      </c>
      <c r="J653" t="s">
        <v>30</v>
      </c>
      <c r="K653" t="s">
        <v>44</v>
      </c>
      <c r="L653" s="2">
        <v>0.375</v>
      </c>
      <c r="M653" s="2">
        <v>0.75</v>
      </c>
      <c r="N653">
        <v>8</v>
      </c>
      <c r="O653">
        <v>0</v>
      </c>
      <c r="P653" t="s">
        <v>32</v>
      </c>
      <c r="S653" t="s">
        <v>67</v>
      </c>
      <c r="T653" t="s">
        <v>84</v>
      </c>
      <c r="U653" t="s">
        <v>55</v>
      </c>
      <c r="V653" t="s">
        <v>60</v>
      </c>
      <c r="W653">
        <f>_xlfn.XLOOKUP(F653,tblEmployee[Employee_ID],tblEmployee[Age],"Not Found")</f>
        <v>25</v>
      </c>
      <c r="X653" t="str">
        <f>_xlfn.XLOOKUP(F653,tblEmployee[Employee_ID],tblEmployee[Gender],"Not Found")</f>
        <v>Female</v>
      </c>
      <c r="Y653">
        <f>_xlfn.XLOOKUP(F653,tblEmployee[Employee_ID],tblEmployee[Joining_Date],"")</f>
        <v>44666</v>
      </c>
      <c r="Z653">
        <f>_xlfn.XLOOKUP(H653,tblDepartment[Department],tblDepartment[Annual_Budget_INR],"")</f>
        <v>26000000</v>
      </c>
      <c r="AA653" t="str">
        <f>_xlfn.XLOOKUP(H653,tblDepartment[Department],tblDepartment[Monthly_Target],"")</f>
        <v>100% Payroll Accuracy</v>
      </c>
      <c r="AB653">
        <f>_xlfn.XLOOKUP(H653,tblDepartment[Department],tblDepartment[Average_Salary_INR],"")</f>
        <v>640000</v>
      </c>
      <c r="AC653" t="str">
        <f>_xlfn.XLOOKUP(H653,tblDepartment[Department],tblDepartment[Priority_Level],"")</f>
        <v>High</v>
      </c>
      <c r="AD653" t="str">
        <f>_xlfn.XLOOKUP(H653,tblDepartment[Department],tblDepartment[Key_KPI],"")</f>
        <v>Financial Compliance</v>
      </c>
      <c r="AE653">
        <f>_xlfn.XLOOKUP(tblMaster[[#This Row],[Shift]],tblShift[Shift_Name],tblShift[Login_Time],"")</f>
        <v>0.41666666666666669</v>
      </c>
      <c r="AF653">
        <f>_xlfn.XLOOKUP(tblMaster[[#This Row],[Shift]],tblShift[Shift_Name],tblShift[Logout_Time]," ")</f>
        <v>0.79166666666666663</v>
      </c>
      <c r="AG653">
        <f>_xlfn.XLOOKUP(tblMaster[[#This Row],[Shift]],tblShift[Shift_Name],tblShift[Standard_Working_Hours],"")</f>
        <v>8</v>
      </c>
      <c r="AH653" t="str">
        <f>_xlfn.XLOOKUP(tblMaster[[#This Row],[Attendance_Date]],tblHoliday[Holiday_Date],tblHoliday[Holiday_Name],"Working Day")</f>
        <v>Working Day</v>
      </c>
      <c r="AI653" t="str">
        <f>_xlfn.XLOOKUP(tblMaster[[#This Row],[Attendance_Date]],tblHoliday[Holiday_Date],tblHoliday[Holiday_Type],"Working Day ")</f>
        <v xml:space="preserve">Working Day </v>
      </c>
    </row>
    <row r="654" spans="1:35" hidden="1" x14ac:dyDescent="0.3">
      <c r="A654" t="s">
        <v>843</v>
      </c>
      <c r="B654" s="3">
        <v>45767</v>
      </c>
      <c r="C654" t="s">
        <v>37</v>
      </c>
      <c r="D654" t="s">
        <v>24</v>
      </c>
      <c r="E654" t="s">
        <v>103</v>
      </c>
      <c r="F654" t="s">
        <v>231</v>
      </c>
      <c r="G654" t="s">
        <v>232</v>
      </c>
      <c r="H654" t="s">
        <v>98</v>
      </c>
      <c r="I654" t="s">
        <v>99</v>
      </c>
      <c r="J654" t="s">
        <v>74</v>
      </c>
      <c r="K654" t="s">
        <v>75</v>
      </c>
      <c r="L654" s="2">
        <v>0.375</v>
      </c>
      <c r="M654" s="2">
        <v>0.75</v>
      </c>
      <c r="N654">
        <v>8</v>
      </c>
      <c r="O654">
        <v>0</v>
      </c>
      <c r="P654" t="s">
        <v>32</v>
      </c>
      <c r="R654">
        <v>4</v>
      </c>
      <c r="S654" t="s">
        <v>67</v>
      </c>
      <c r="T654" t="s">
        <v>101</v>
      </c>
      <c r="U654" t="s">
        <v>47</v>
      </c>
      <c r="V654" t="s">
        <v>60</v>
      </c>
      <c r="W654">
        <f>_xlfn.XLOOKUP(F654,tblEmployee[Employee_ID],tblEmployee[Age],"Not Found")</f>
        <v>31</v>
      </c>
      <c r="X654" t="str">
        <f>_xlfn.XLOOKUP(F654,tblEmployee[Employee_ID],tblEmployee[Gender],"Not Found")</f>
        <v>Male</v>
      </c>
      <c r="Y654">
        <f>_xlfn.XLOOKUP(F654,tblEmployee[Employee_ID],tblEmployee[Joining_Date],"")</f>
        <v>45397</v>
      </c>
      <c r="Z654">
        <f>_xlfn.XLOOKUP(H654,tblDepartment[Department],tblDepartment[Annual_Budget_INR],"")</f>
        <v>22000000</v>
      </c>
      <c r="AA654" t="str">
        <f>_xlfn.XLOOKUP(H654,tblDepartment[Department],tblDepartment[Monthly_Target],"")</f>
        <v>2500 Qualified Leads</v>
      </c>
      <c r="AB654">
        <f>_xlfn.XLOOKUP(H654,tblDepartment[Department],tblDepartment[Average_Salary_INR],"")</f>
        <v>590000</v>
      </c>
      <c r="AC654" t="str">
        <f>_xlfn.XLOOKUP(H654,tblDepartment[Department],tblDepartment[Priority_Level],"")</f>
        <v>Medium</v>
      </c>
      <c r="AD654" t="str">
        <f>_xlfn.XLOOKUP(H654,tblDepartment[Department],tblDepartment[Key_KPI],"")</f>
        <v>Lead Generation</v>
      </c>
      <c r="AE654">
        <f>_xlfn.XLOOKUP(tblMaster[[#This Row],[Shift]],tblShift[Shift_Name],tblShift[Login_Time],"")</f>
        <v>0.375</v>
      </c>
      <c r="AF654">
        <f>_xlfn.XLOOKUP(tblMaster[[#This Row],[Shift]],tblShift[Shift_Name],tblShift[Logout_Time]," ")</f>
        <v>0.75</v>
      </c>
      <c r="AG654">
        <f>_xlfn.XLOOKUP(tblMaster[[#This Row],[Shift]],tblShift[Shift_Name],tblShift[Standard_Working_Hours],"")</f>
        <v>8</v>
      </c>
      <c r="AH654" t="str">
        <f>_xlfn.XLOOKUP(tblMaster[[#This Row],[Attendance_Date]],tblHoliday[Holiday_Date],tblHoliday[Holiday_Name],"Working Day")</f>
        <v>Working Day</v>
      </c>
      <c r="AI654" t="str">
        <f>_xlfn.XLOOKUP(tblMaster[[#This Row],[Attendance_Date]],tblHoliday[Holiday_Date],tblHoliday[Holiday_Type],"Working Day ")</f>
        <v xml:space="preserve">Working Day </v>
      </c>
    </row>
    <row r="655" spans="1:35" x14ac:dyDescent="0.3">
      <c r="A655" t="s">
        <v>844</v>
      </c>
      <c r="B655" s="3">
        <v>45712</v>
      </c>
      <c r="C655" t="s">
        <v>95</v>
      </c>
      <c r="D655" t="s">
        <v>50</v>
      </c>
      <c r="E655" t="s">
        <v>109</v>
      </c>
      <c r="F655" t="s">
        <v>62</v>
      </c>
      <c r="G655" t="s">
        <v>63</v>
      </c>
      <c r="H655" t="s">
        <v>64</v>
      </c>
      <c r="I655" t="s">
        <v>65</v>
      </c>
      <c r="J655" t="s">
        <v>66</v>
      </c>
      <c r="K655" t="s">
        <v>54</v>
      </c>
      <c r="L655" s="2">
        <v>0.375</v>
      </c>
      <c r="M655" s="2">
        <v>0.75</v>
      </c>
      <c r="N655">
        <v>8</v>
      </c>
      <c r="O655">
        <v>0</v>
      </c>
      <c r="P655" t="s">
        <v>32</v>
      </c>
      <c r="R655">
        <v>4</v>
      </c>
      <c r="S655" t="s">
        <v>92</v>
      </c>
      <c r="T655" t="s">
        <v>68</v>
      </c>
      <c r="U655" t="str">
        <f>_xlfn.XLOOKUP(tblMaster[[#This Row],[Employee_ID]],tblEmployee[Employee_ID],tblEmployee[Work_Mode]," ")</f>
        <v>Hybrid</v>
      </c>
      <c r="V655" t="s">
        <v>60</v>
      </c>
      <c r="W655">
        <f>_xlfn.XLOOKUP(F655,tblEmployee[Employee_ID],tblEmployee[Age],"Not Found")</f>
        <v>23</v>
      </c>
      <c r="X655" t="str">
        <f>_xlfn.XLOOKUP(F655,tblEmployee[Employee_ID],tblEmployee[Gender],"Not Found")</f>
        <v>Male</v>
      </c>
      <c r="Y655">
        <f>_xlfn.XLOOKUP(F655,tblEmployee[Employee_ID],tblEmployee[Joining_Date],"")</f>
        <v>43511</v>
      </c>
      <c r="Z655">
        <f>_xlfn.XLOOKUP(H655,tblDepartment[Department],tblDepartment[Annual_Budget_INR],"")</f>
        <v>85000000</v>
      </c>
      <c r="AA655" t="str">
        <f>_xlfn.XLOOKUP(H655,tblDepartment[Department],tblDepartment[Monthly_Target],"")</f>
        <v>99.5% System Uptime</v>
      </c>
      <c r="AB655">
        <f>_xlfn.XLOOKUP(H655,tblDepartment[Department],tblDepartment[Average_Salary_INR],"")</f>
        <v>720000</v>
      </c>
      <c r="AC655" t="str">
        <f>_xlfn.XLOOKUP(H655,tblDepartment[Department],tblDepartment[Priority_Level],"")</f>
        <v>High</v>
      </c>
      <c r="AD655" t="str">
        <f>_xlfn.XLOOKUP(H655,tblDepartment[Department],tblDepartment[Key_KPI],"")</f>
        <v>Project Delivery</v>
      </c>
      <c r="AE655">
        <f>_xlfn.XLOOKUP(tblMaster[[#This Row],[Shift]],tblShift[Shift_Name],tblShift[Login_Time],"")</f>
        <v>0.58333333333333337</v>
      </c>
      <c r="AF655">
        <f>_xlfn.XLOOKUP(tblMaster[[#This Row],[Shift]],tblShift[Shift_Name],tblShift[Logout_Time]," ")</f>
        <v>0.95833333333333337</v>
      </c>
      <c r="AG655">
        <f>_xlfn.XLOOKUP(tblMaster[[#This Row],[Shift]],tblShift[Shift_Name],tblShift[Standard_Working_Hours],"")</f>
        <v>8</v>
      </c>
      <c r="AH655" t="str">
        <f>_xlfn.XLOOKUP(tblMaster[[#This Row],[Attendance_Date]],tblHoliday[Holiday_Date],tblHoliday[Holiday_Name],"Working Day")</f>
        <v>Working Day</v>
      </c>
      <c r="AI655" t="str">
        <f>_xlfn.XLOOKUP(tblMaster[[#This Row],[Attendance_Date]],tblHoliday[Holiday_Date],tblHoliday[Holiday_Type],"Working Day ")</f>
        <v xml:space="preserve">Working Day </v>
      </c>
    </row>
    <row r="656" spans="1:35" x14ac:dyDescent="0.3">
      <c r="A656" t="s">
        <v>845</v>
      </c>
      <c r="B656" s="3">
        <v>45736</v>
      </c>
      <c r="C656" t="s">
        <v>71</v>
      </c>
      <c r="D656" t="s">
        <v>50</v>
      </c>
      <c r="E656" t="s">
        <v>25</v>
      </c>
      <c r="F656" t="s">
        <v>151</v>
      </c>
      <c r="G656" t="s">
        <v>152</v>
      </c>
      <c r="H656" t="s">
        <v>98</v>
      </c>
      <c r="I656" t="s">
        <v>99</v>
      </c>
      <c r="J656" t="s">
        <v>30</v>
      </c>
      <c r="K656" t="s">
        <v>81</v>
      </c>
      <c r="L656" s="2">
        <v>0.91666666666666663</v>
      </c>
      <c r="M656" s="2">
        <v>0.29166666666666669</v>
      </c>
      <c r="N656">
        <v>10</v>
      </c>
      <c r="O656">
        <v>2</v>
      </c>
      <c r="P656" t="s">
        <v>32</v>
      </c>
      <c r="R656">
        <v>3</v>
      </c>
      <c r="S656" t="s">
        <v>45</v>
      </c>
      <c r="T656" t="s">
        <v>101</v>
      </c>
      <c r="U656" t="str">
        <f>_xlfn.XLOOKUP(tblMaster[[#This Row],[Employee_ID]],tblEmployee[Employee_ID],tblEmployee[Work_Mode]," ")</f>
        <v>Hybrid</v>
      </c>
      <c r="V656" t="s">
        <v>35</v>
      </c>
      <c r="W656">
        <f>_xlfn.XLOOKUP(F656,tblEmployee[Employee_ID],tblEmployee[Age],"Not Found")</f>
        <v>38</v>
      </c>
      <c r="X656" t="str">
        <f>_xlfn.XLOOKUP(F656,tblEmployee[Employee_ID],tblEmployee[Gender],"Not Found")</f>
        <v>Female</v>
      </c>
      <c r="Y656">
        <f>_xlfn.XLOOKUP(F656,tblEmployee[Employee_ID],tblEmployee[Joining_Date],"")</f>
        <v>45611</v>
      </c>
      <c r="Z656">
        <f>_xlfn.XLOOKUP(H656,tblDepartment[Department],tblDepartment[Annual_Budget_INR],"")</f>
        <v>22000000</v>
      </c>
      <c r="AA656" t="str">
        <f>_xlfn.XLOOKUP(H656,tblDepartment[Department],tblDepartment[Monthly_Target],"")</f>
        <v>2500 Qualified Leads</v>
      </c>
      <c r="AB656">
        <f>_xlfn.XLOOKUP(H656,tblDepartment[Department],tblDepartment[Average_Salary_INR],"")</f>
        <v>590000</v>
      </c>
      <c r="AC656" t="str">
        <f>_xlfn.XLOOKUP(H656,tblDepartment[Department],tblDepartment[Priority_Level],"")</f>
        <v>Medium</v>
      </c>
      <c r="AD656" t="str">
        <f>_xlfn.XLOOKUP(H656,tblDepartment[Department],tblDepartment[Key_KPI],"")</f>
        <v>Lead Generation</v>
      </c>
      <c r="AE656">
        <f>_xlfn.XLOOKUP(tblMaster[[#This Row],[Shift]],tblShift[Shift_Name],tblShift[Login_Time],"")</f>
        <v>0.91666666666666663</v>
      </c>
      <c r="AF656">
        <f>_xlfn.XLOOKUP(tblMaster[[#This Row],[Shift]],tblShift[Shift_Name],tblShift[Logout_Time]," ")</f>
        <v>0.29166666666666669</v>
      </c>
      <c r="AG656">
        <f>_xlfn.XLOOKUP(tblMaster[[#This Row],[Shift]],tblShift[Shift_Name],tblShift[Standard_Working_Hours],"")</f>
        <v>8</v>
      </c>
      <c r="AH656" t="str">
        <f>_xlfn.XLOOKUP(tblMaster[[#This Row],[Attendance_Date]],tblHoliday[Holiday_Date],tblHoliday[Holiday_Name],"Working Day")</f>
        <v>Working Day</v>
      </c>
      <c r="AI656" t="str">
        <f>_xlfn.XLOOKUP(tblMaster[[#This Row],[Attendance_Date]],tblHoliday[Holiday_Date],tblHoliday[Holiday_Type],"Working Day ")</f>
        <v xml:space="preserve">Working Day </v>
      </c>
    </row>
    <row r="657" spans="1:35" hidden="1" x14ac:dyDescent="0.3">
      <c r="A657" t="s">
        <v>846</v>
      </c>
      <c r="B657" s="3">
        <v>45761</v>
      </c>
      <c r="C657" t="s">
        <v>37</v>
      </c>
      <c r="D657" t="s">
        <v>24</v>
      </c>
      <c r="E657" t="s">
        <v>109</v>
      </c>
      <c r="F657" t="s">
        <v>151</v>
      </c>
      <c r="G657" t="s">
        <v>152</v>
      </c>
      <c r="H657" t="s">
        <v>98</v>
      </c>
      <c r="I657" t="s">
        <v>99</v>
      </c>
      <c r="J657" t="s">
        <v>30</v>
      </c>
      <c r="K657" t="s">
        <v>54</v>
      </c>
      <c r="L657" s="2">
        <v>0.375</v>
      </c>
      <c r="M657" s="2">
        <v>0.75</v>
      </c>
      <c r="N657">
        <v>8</v>
      </c>
      <c r="O657">
        <v>0</v>
      </c>
      <c r="P657" t="s">
        <v>32</v>
      </c>
      <c r="R657">
        <v>3</v>
      </c>
      <c r="S657" t="s">
        <v>92</v>
      </c>
      <c r="T657" t="s">
        <v>101</v>
      </c>
      <c r="U657" t="s">
        <v>55</v>
      </c>
      <c r="W657">
        <f>_xlfn.XLOOKUP(F657,tblEmployee[Employee_ID],tblEmployee[Age],"Not Found")</f>
        <v>38</v>
      </c>
      <c r="X657" t="str">
        <f>_xlfn.XLOOKUP(F657,tblEmployee[Employee_ID],tblEmployee[Gender],"Not Found")</f>
        <v>Female</v>
      </c>
      <c r="Y657">
        <f>_xlfn.XLOOKUP(F657,tblEmployee[Employee_ID],tblEmployee[Joining_Date],"")</f>
        <v>45611</v>
      </c>
      <c r="Z657">
        <f>_xlfn.XLOOKUP(H657,tblDepartment[Department],tblDepartment[Annual_Budget_INR],"")</f>
        <v>22000000</v>
      </c>
      <c r="AA657" t="str">
        <f>_xlfn.XLOOKUP(H657,tblDepartment[Department],tblDepartment[Monthly_Target],"")</f>
        <v>2500 Qualified Leads</v>
      </c>
      <c r="AB657">
        <f>_xlfn.XLOOKUP(H657,tblDepartment[Department],tblDepartment[Average_Salary_INR],"")</f>
        <v>590000</v>
      </c>
      <c r="AC657" t="str">
        <f>_xlfn.XLOOKUP(H657,tblDepartment[Department],tblDepartment[Priority_Level],"")</f>
        <v>Medium</v>
      </c>
      <c r="AD657" t="str">
        <f>_xlfn.XLOOKUP(H657,tblDepartment[Department],tblDepartment[Key_KPI],"")</f>
        <v>Lead Generation</v>
      </c>
      <c r="AE657">
        <f>_xlfn.XLOOKUP(tblMaster[[#This Row],[Shift]],tblShift[Shift_Name],tblShift[Login_Time],"")</f>
        <v>0.58333333333333337</v>
      </c>
      <c r="AF657">
        <f>_xlfn.XLOOKUP(tblMaster[[#This Row],[Shift]],tblShift[Shift_Name],tblShift[Logout_Time]," ")</f>
        <v>0.95833333333333337</v>
      </c>
      <c r="AG657">
        <f>_xlfn.XLOOKUP(tblMaster[[#This Row],[Shift]],tblShift[Shift_Name],tblShift[Standard_Working_Hours],"")</f>
        <v>8</v>
      </c>
      <c r="AH657" t="str">
        <f>_xlfn.XLOOKUP(tblMaster[[#This Row],[Attendance_Date]],tblHoliday[Holiday_Date],tblHoliday[Holiday_Name],"Working Day")</f>
        <v>Tamil New Year</v>
      </c>
      <c r="AI657" t="str">
        <f>_xlfn.XLOOKUP(tblMaster[[#This Row],[Attendance_Date]],tblHoliday[Holiday_Date],tblHoliday[Holiday_Type],"Working Day ")</f>
        <v>Festival</v>
      </c>
    </row>
    <row r="658" spans="1:35" hidden="1" x14ac:dyDescent="0.3">
      <c r="A658" t="s">
        <v>847</v>
      </c>
      <c r="B658" s="3">
        <v>45752</v>
      </c>
      <c r="C658" t="s">
        <v>37</v>
      </c>
      <c r="D658" t="s">
        <v>24</v>
      </c>
      <c r="E658" t="s">
        <v>38</v>
      </c>
      <c r="F658" t="s">
        <v>215</v>
      </c>
      <c r="G658" t="s">
        <v>216</v>
      </c>
      <c r="H658" t="s">
        <v>79</v>
      </c>
      <c r="I658" t="s">
        <v>80</v>
      </c>
      <c r="J658" t="s">
        <v>30</v>
      </c>
      <c r="K658" t="s">
        <v>81</v>
      </c>
      <c r="L658" s="2">
        <v>0.91666666666666663</v>
      </c>
      <c r="M658" s="2">
        <v>0.29166666666666669</v>
      </c>
      <c r="N658">
        <v>10</v>
      </c>
      <c r="O658">
        <v>2</v>
      </c>
      <c r="P658" t="s">
        <v>32</v>
      </c>
      <c r="R658">
        <v>3</v>
      </c>
      <c r="S658" t="s">
        <v>67</v>
      </c>
      <c r="T658" t="s">
        <v>84</v>
      </c>
      <c r="U658" t="s">
        <v>85</v>
      </c>
      <c r="V658" t="s">
        <v>35</v>
      </c>
      <c r="W658">
        <f>_xlfn.XLOOKUP(F658,tblEmployee[Employee_ID],tblEmployee[Age],"Not Found")</f>
        <v>25</v>
      </c>
      <c r="X658" t="str">
        <f>_xlfn.XLOOKUP(F658,tblEmployee[Employee_ID],tblEmployee[Gender],"Not Found")</f>
        <v>Female</v>
      </c>
      <c r="Y658">
        <f>_xlfn.XLOOKUP(F658,tblEmployee[Employee_ID],tblEmployee[Joining_Date],"")</f>
        <v>44666</v>
      </c>
      <c r="Z658">
        <f>_xlfn.XLOOKUP(H658,tblDepartment[Department],tblDepartment[Annual_Budget_INR],"")</f>
        <v>26000000</v>
      </c>
      <c r="AA658" t="str">
        <f>_xlfn.XLOOKUP(H658,tblDepartment[Department],tblDepartment[Monthly_Target],"")</f>
        <v>100% Payroll Accuracy</v>
      </c>
      <c r="AB658">
        <f>_xlfn.XLOOKUP(H658,tblDepartment[Department],tblDepartment[Average_Salary_INR],"")</f>
        <v>640000</v>
      </c>
      <c r="AC658" t="str">
        <f>_xlfn.XLOOKUP(H658,tblDepartment[Department],tblDepartment[Priority_Level],"")</f>
        <v>High</v>
      </c>
      <c r="AD658" t="str">
        <f>_xlfn.XLOOKUP(H658,tblDepartment[Department],tblDepartment[Key_KPI],"")</f>
        <v>Financial Compliance</v>
      </c>
      <c r="AE658">
        <f>_xlfn.XLOOKUP(tblMaster[[#This Row],[Shift]],tblShift[Shift_Name],tblShift[Login_Time],"")</f>
        <v>0.91666666666666663</v>
      </c>
      <c r="AF658">
        <f>_xlfn.XLOOKUP(tblMaster[[#This Row],[Shift]],tblShift[Shift_Name],tblShift[Logout_Time]," ")</f>
        <v>0.29166666666666669</v>
      </c>
      <c r="AG658">
        <f>_xlfn.XLOOKUP(tblMaster[[#This Row],[Shift]],tblShift[Shift_Name],tblShift[Standard_Working_Hours],"")</f>
        <v>8</v>
      </c>
      <c r="AH658" t="str">
        <f>_xlfn.XLOOKUP(tblMaster[[#This Row],[Attendance_Date]],tblHoliday[Holiday_Date],tblHoliday[Holiday_Name],"Working Day")</f>
        <v>Working Day</v>
      </c>
      <c r="AI658" t="str">
        <f>_xlfn.XLOOKUP(tblMaster[[#This Row],[Attendance_Date]],tblHoliday[Holiday_Date],tblHoliday[Holiday_Type],"Working Day ")</f>
        <v xml:space="preserve">Working Day </v>
      </c>
    </row>
    <row r="659" spans="1:35" x14ac:dyDescent="0.3">
      <c r="A659" t="s">
        <v>848</v>
      </c>
      <c r="B659" s="3">
        <v>45823</v>
      </c>
      <c r="C659" t="s">
        <v>23</v>
      </c>
      <c r="D659" t="s">
        <v>24</v>
      </c>
      <c r="E659" t="s">
        <v>103</v>
      </c>
      <c r="F659" t="s">
        <v>192</v>
      </c>
      <c r="G659" t="s">
        <v>193</v>
      </c>
      <c r="H659" t="s">
        <v>79</v>
      </c>
      <c r="I659" t="s">
        <v>80</v>
      </c>
      <c r="J659" t="s">
        <v>66</v>
      </c>
      <c r="K659" t="s">
        <v>75</v>
      </c>
      <c r="L659" s="2">
        <v>0.375</v>
      </c>
      <c r="M659" s="2">
        <v>0.75</v>
      </c>
      <c r="N659">
        <v>8</v>
      </c>
      <c r="O659">
        <v>0</v>
      </c>
      <c r="P659" t="s">
        <v>32</v>
      </c>
      <c r="S659" t="s">
        <v>92</v>
      </c>
      <c r="T659" t="s">
        <v>84</v>
      </c>
      <c r="U659" t="str">
        <f>_xlfn.XLOOKUP(tblMaster[[#This Row],[Employee_ID]],tblEmployee[Employee_ID],tblEmployee[Work_Mode]," ")</f>
        <v>Hybrid</v>
      </c>
      <c r="V659" t="s">
        <v>60</v>
      </c>
      <c r="W659">
        <f>_xlfn.XLOOKUP(F659,tblEmployee[Employee_ID],tblEmployee[Age],"Not Found")</f>
        <v>32</v>
      </c>
      <c r="X659" t="str">
        <f>_xlfn.XLOOKUP(F659,tblEmployee[Employee_ID],tblEmployee[Gender],"Not Found")</f>
        <v>Female</v>
      </c>
      <c r="Y659">
        <f>_xlfn.XLOOKUP(F659,tblEmployee[Employee_ID],tblEmployee[Joining_Date],"")</f>
        <v>44880</v>
      </c>
      <c r="Z659">
        <f>_xlfn.XLOOKUP(H659,tblDepartment[Department],tblDepartment[Annual_Budget_INR],"")</f>
        <v>26000000</v>
      </c>
      <c r="AA659" t="str">
        <f>_xlfn.XLOOKUP(H659,tblDepartment[Department],tblDepartment[Monthly_Target],"")</f>
        <v>100% Payroll Accuracy</v>
      </c>
      <c r="AB659">
        <f>_xlfn.XLOOKUP(H659,tblDepartment[Department],tblDepartment[Average_Salary_INR],"")</f>
        <v>640000</v>
      </c>
      <c r="AC659" t="str">
        <f>_xlfn.XLOOKUP(H659,tblDepartment[Department],tblDepartment[Priority_Level],"")</f>
        <v>High</v>
      </c>
      <c r="AD659" t="str">
        <f>_xlfn.XLOOKUP(H659,tblDepartment[Department],tblDepartment[Key_KPI],"")</f>
        <v>Financial Compliance</v>
      </c>
      <c r="AE659">
        <f>_xlfn.XLOOKUP(tblMaster[[#This Row],[Shift]],tblShift[Shift_Name],tblShift[Login_Time],"")</f>
        <v>0.375</v>
      </c>
      <c r="AF659">
        <f>_xlfn.XLOOKUP(tblMaster[[#This Row],[Shift]],tblShift[Shift_Name],tblShift[Logout_Time]," ")</f>
        <v>0.75</v>
      </c>
      <c r="AG659">
        <f>_xlfn.XLOOKUP(tblMaster[[#This Row],[Shift]],tblShift[Shift_Name],tblShift[Standard_Working_Hours],"")</f>
        <v>8</v>
      </c>
      <c r="AH659" t="str">
        <f>_xlfn.XLOOKUP(tblMaster[[#This Row],[Attendance_Date]],tblHoliday[Holiday_Date],tblHoliday[Holiday_Name],"Working Day")</f>
        <v>Working Day</v>
      </c>
      <c r="AI659" t="str">
        <f>_xlfn.XLOOKUP(tblMaster[[#This Row],[Attendance_Date]],tblHoliday[Holiday_Date],tblHoliday[Holiday_Type],"Working Day ")</f>
        <v xml:space="preserve">Working Day </v>
      </c>
    </row>
    <row r="660" spans="1:35" hidden="1" x14ac:dyDescent="0.3">
      <c r="A660" t="s">
        <v>849</v>
      </c>
      <c r="B660" s="3">
        <v>45800</v>
      </c>
      <c r="C660" t="s">
        <v>57</v>
      </c>
      <c r="D660" t="s">
        <v>24</v>
      </c>
      <c r="E660" t="s">
        <v>119</v>
      </c>
      <c r="F660" t="s">
        <v>154</v>
      </c>
      <c r="G660" t="s">
        <v>155</v>
      </c>
      <c r="H660" t="s">
        <v>41</v>
      </c>
      <c r="I660" t="s">
        <v>42</v>
      </c>
      <c r="J660" t="s">
        <v>74</v>
      </c>
      <c r="K660" t="s">
        <v>44</v>
      </c>
      <c r="L660" s="2">
        <v>0.375</v>
      </c>
      <c r="M660" s="2">
        <v>0.75</v>
      </c>
      <c r="N660">
        <v>8</v>
      </c>
      <c r="O660">
        <v>0</v>
      </c>
      <c r="P660" t="s">
        <v>32</v>
      </c>
      <c r="S660" t="s">
        <v>33</v>
      </c>
      <c r="T660" t="s">
        <v>46</v>
      </c>
      <c r="U660" t="s">
        <v>55</v>
      </c>
      <c r="W660">
        <f>_xlfn.XLOOKUP(F660,tblEmployee[Employee_ID],tblEmployee[Age],"Not Found")</f>
        <v>33</v>
      </c>
      <c r="X660" t="str">
        <f>_xlfn.XLOOKUP(F660,tblEmployee[Employee_ID],tblEmployee[Gender],"Not Found")</f>
        <v>Male</v>
      </c>
      <c r="Y660">
        <f>_xlfn.XLOOKUP(F660,tblEmployee[Employee_ID],tblEmployee[Joining_Date],"")</f>
        <v>45275</v>
      </c>
      <c r="Z660">
        <f>_xlfn.XLOOKUP(H660,tblDepartment[Department],tblDepartment[Annual_Budget_INR],"")</f>
        <v>34000000</v>
      </c>
      <c r="AA660" t="str">
        <f>_xlfn.XLOOKUP(H660,tblDepartment[Department],tblDepartment[Monthly_Target],"")</f>
        <v>95% Process Efficiency</v>
      </c>
      <c r="AB660">
        <f>_xlfn.XLOOKUP(H660,tblDepartment[Department],tblDepartment[Average_Salary_INR],"")</f>
        <v>610000</v>
      </c>
      <c r="AC660" t="str">
        <f>_xlfn.XLOOKUP(H660,tblDepartment[Department],tblDepartment[Priority_Level],"")</f>
        <v>High</v>
      </c>
      <c r="AD660" t="str">
        <f>_xlfn.XLOOKUP(H660,tblDepartment[Department],tblDepartment[Key_KPI],"")</f>
        <v>Operational Efficiency</v>
      </c>
      <c r="AE660">
        <f>_xlfn.XLOOKUP(tblMaster[[#This Row],[Shift]],tblShift[Shift_Name],tblShift[Login_Time],"")</f>
        <v>0.41666666666666669</v>
      </c>
      <c r="AF660">
        <f>_xlfn.XLOOKUP(tblMaster[[#This Row],[Shift]],tblShift[Shift_Name],tblShift[Logout_Time]," ")</f>
        <v>0.79166666666666663</v>
      </c>
      <c r="AG660">
        <f>_xlfn.XLOOKUP(tblMaster[[#This Row],[Shift]],tblShift[Shift_Name],tblShift[Standard_Working_Hours],"")</f>
        <v>8</v>
      </c>
      <c r="AH660" t="str">
        <f>_xlfn.XLOOKUP(tblMaster[[#This Row],[Attendance_Date]],tblHoliday[Holiday_Date],tblHoliday[Holiday_Name],"Working Day")</f>
        <v>Working Day</v>
      </c>
      <c r="AI660" t="str">
        <f>_xlfn.XLOOKUP(tblMaster[[#This Row],[Attendance_Date]],tblHoliday[Holiday_Date],tblHoliday[Holiday_Type],"Working Day ")</f>
        <v xml:space="preserve">Working Day </v>
      </c>
    </row>
    <row r="661" spans="1:35" x14ac:dyDescent="0.3">
      <c r="A661" t="s">
        <v>850</v>
      </c>
      <c r="B661" s="1">
        <v>45829</v>
      </c>
      <c r="C661" t="s">
        <v>23</v>
      </c>
      <c r="D661" t="s">
        <v>24</v>
      </c>
      <c r="E661" t="s">
        <v>38</v>
      </c>
      <c r="F661" t="s">
        <v>88</v>
      </c>
      <c r="G661" t="s">
        <v>89</v>
      </c>
      <c r="H661" t="s">
        <v>90</v>
      </c>
      <c r="I661" t="s">
        <v>91</v>
      </c>
      <c r="J661" t="s">
        <v>43</v>
      </c>
      <c r="K661" t="s">
        <v>54</v>
      </c>
      <c r="L661" s="2">
        <v>0.375</v>
      </c>
      <c r="M661" s="2">
        <v>0.75</v>
      </c>
      <c r="N661">
        <v>8</v>
      </c>
      <c r="O661">
        <v>0</v>
      </c>
      <c r="P661" t="s">
        <v>32</v>
      </c>
      <c r="S661" t="s">
        <v>45</v>
      </c>
      <c r="T661" t="s">
        <v>93</v>
      </c>
      <c r="U661" t="str">
        <f>_xlfn.XLOOKUP(tblMaster[[#This Row],[Employee_ID]],tblEmployee[Employee_ID],tblEmployee[Work_Mode]," ")</f>
        <v>Office</v>
      </c>
      <c r="V661" t="s">
        <v>69</v>
      </c>
      <c r="W661">
        <f>_xlfn.XLOOKUP(F661,tblEmployee[Employee_ID],tblEmployee[Age],"Not Found")</f>
        <v>34</v>
      </c>
      <c r="X661" t="str">
        <f>_xlfn.XLOOKUP(F661,tblEmployee[Employee_ID],tblEmployee[Gender],"Not Found")</f>
        <v>Female</v>
      </c>
      <c r="Y661">
        <f>_xlfn.XLOOKUP(F661,tblEmployee[Employee_ID],tblEmployee[Joining_Date],"")</f>
        <v>44027</v>
      </c>
      <c r="Z661">
        <f>_xlfn.XLOOKUP(H661,tblDepartment[Department],tblDepartment[Annual_Budget_INR],"")</f>
        <v>18000000</v>
      </c>
      <c r="AA661" t="str">
        <f>_xlfn.XLOOKUP(H661,tblDepartment[Department],tblDepartment[Monthly_Target],"")</f>
        <v>&lt;30 Days Hiring Cycle</v>
      </c>
      <c r="AB661">
        <f>_xlfn.XLOOKUP(H661,tblDepartment[Department],tblDepartment[Average_Salary_INR],"")</f>
        <v>560000</v>
      </c>
      <c r="AC661" t="str">
        <f>_xlfn.XLOOKUP(H661,tblDepartment[Department],tblDepartment[Priority_Level],"")</f>
        <v>Medium</v>
      </c>
      <c r="AD661" t="str">
        <f>_xlfn.XLOOKUP(H661,tblDepartment[Department],tblDepartment[Key_KPI],"")</f>
        <v>Hiring &amp; Retention</v>
      </c>
      <c r="AE661">
        <f>_xlfn.XLOOKUP(tblMaster[[#This Row],[Shift]],tblShift[Shift_Name],tblShift[Login_Time],"")</f>
        <v>0.58333333333333337</v>
      </c>
      <c r="AF661">
        <f>_xlfn.XLOOKUP(tblMaster[[#This Row],[Shift]],tblShift[Shift_Name],tblShift[Logout_Time]," ")</f>
        <v>0.95833333333333337</v>
      </c>
      <c r="AG661">
        <f>_xlfn.XLOOKUP(tblMaster[[#This Row],[Shift]],tblShift[Shift_Name],tblShift[Standard_Working_Hours],"")</f>
        <v>8</v>
      </c>
      <c r="AH661" t="str">
        <f>_xlfn.XLOOKUP(tblMaster[[#This Row],[Attendance_Date]],tblHoliday[Holiday_Date],tblHoliday[Holiday_Name],"Working Day")</f>
        <v>Working Day</v>
      </c>
      <c r="AI661" t="str">
        <f>_xlfn.XLOOKUP(tblMaster[[#This Row],[Attendance_Date]],tblHoliday[Holiday_Date],tblHoliday[Holiday_Type],"Working Day ")</f>
        <v xml:space="preserve">Working Day </v>
      </c>
    </row>
    <row r="662" spans="1:35" hidden="1" x14ac:dyDescent="0.3">
      <c r="A662" t="s">
        <v>851</v>
      </c>
      <c r="B662" s="1">
        <v>45663</v>
      </c>
      <c r="C662" t="s">
        <v>49</v>
      </c>
      <c r="D662" t="s">
        <v>50</v>
      </c>
      <c r="E662" t="s">
        <v>109</v>
      </c>
      <c r="F662" t="s">
        <v>192</v>
      </c>
      <c r="G662" t="s">
        <v>193</v>
      </c>
      <c r="H662" t="s">
        <v>79</v>
      </c>
      <c r="I662" t="s">
        <v>80</v>
      </c>
      <c r="J662" t="s">
        <v>66</v>
      </c>
      <c r="K662" t="s">
        <v>75</v>
      </c>
      <c r="P662" t="s">
        <v>135</v>
      </c>
      <c r="S662" t="s">
        <v>45</v>
      </c>
      <c r="T662" t="s">
        <v>84</v>
      </c>
      <c r="U662" t="s">
        <v>47</v>
      </c>
      <c r="V662" t="s">
        <v>60</v>
      </c>
      <c r="W662">
        <f>_xlfn.XLOOKUP(F662,tblEmployee[Employee_ID],tblEmployee[Age],"Not Found")</f>
        <v>32</v>
      </c>
      <c r="X662" t="str">
        <f>_xlfn.XLOOKUP(F662,tblEmployee[Employee_ID],tblEmployee[Gender],"Not Found")</f>
        <v>Female</v>
      </c>
      <c r="Y662">
        <f>_xlfn.XLOOKUP(F662,tblEmployee[Employee_ID],tblEmployee[Joining_Date],"")</f>
        <v>44880</v>
      </c>
      <c r="Z662">
        <f>_xlfn.XLOOKUP(H662,tblDepartment[Department],tblDepartment[Annual_Budget_INR],"")</f>
        <v>26000000</v>
      </c>
      <c r="AA662" t="str">
        <f>_xlfn.XLOOKUP(H662,tblDepartment[Department],tblDepartment[Monthly_Target],"")</f>
        <v>100% Payroll Accuracy</v>
      </c>
      <c r="AB662">
        <f>_xlfn.XLOOKUP(H662,tblDepartment[Department],tblDepartment[Average_Salary_INR],"")</f>
        <v>640000</v>
      </c>
      <c r="AC662" t="str">
        <f>_xlfn.XLOOKUP(H662,tblDepartment[Department],tblDepartment[Priority_Level],"")</f>
        <v>High</v>
      </c>
      <c r="AD662" t="str">
        <f>_xlfn.XLOOKUP(H662,tblDepartment[Department],tblDepartment[Key_KPI],"")</f>
        <v>Financial Compliance</v>
      </c>
      <c r="AE662">
        <f>_xlfn.XLOOKUP(tblMaster[[#This Row],[Shift]],tblShift[Shift_Name],tblShift[Login_Time],"")</f>
        <v>0.375</v>
      </c>
      <c r="AF662">
        <f>_xlfn.XLOOKUP(tblMaster[[#This Row],[Shift]],tblShift[Shift_Name],tblShift[Logout_Time]," ")</f>
        <v>0.75</v>
      </c>
      <c r="AG662">
        <f>_xlfn.XLOOKUP(tblMaster[[#This Row],[Shift]],tblShift[Shift_Name],tblShift[Standard_Working_Hours],"")</f>
        <v>8</v>
      </c>
      <c r="AH662" t="str">
        <f>_xlfn.XLOOKUP(tblMaster[[#This Row],[Attendance_Date]],tblHoliday[Holiday_Date],tblHoliday[Holiday_Name],"Working Day")</f>
        <v>Working Day</v>
      </c>
      <c r="AI662" t="str">
        <f>_xlfn.XLOOKUP(tblMaster[[#This Row],[Attendance_Date]],tblHoliday[Holiday_Date],tblHoliday[Holiday_Type],"Working Day ")</f>
        <v xml:space="preserve">Working Day </v>
      </c>
    </row>
    <row r="663" spans="1:35" hidden="1" x14ac:dyDescent="0.3">
      <c r="A663" t="s">
        <v>852</v>
      </c>
      <c r="B663" s="3">
        <v>45709</v>
      </c>
      <c r="C663" t="s">
        <v>95</v>
      </c>
      <c r="D663" t="s">
        <v>50</v>
      </c>
      <c r="E663" t="s">
        <v>119</v>
      </c>
      <c r="F663" t="s">
        <v>275</v>
      </c>
      <c r="G663" t="s">
        <v>276</v>
      </c>
      <c r="H663" t="s">
        <v>64</v>
      </c>
      <c r="I663" t="s">
        <v>65</v>
      </c>
      <c r="J663" t="s">
        <v>100</v>
      </c>
      <c r="K663" t="s">
        <v>44</v>
      </c>
      <c r="L663" s="2">
        <v>0.375</v>
      </c>
      <c r="M663" s="2">
        <v>0.75</v>
      </c>
      <c r="N663">
        <v>8</v>
      </c>
      <c r="O663">
        <v>0</v>
      </c>
      <c r="P663" t="s">
        <v>32</v>
      </c>
      <c r="R663">
        <v>4</v>
      </c>
      <c r="S663" t="s">
        <v>45</v>
      </c>
      <c r="T663" t="s">
        <v>68</v>
      </c>
      <c r="U663" t="s">
        <v>85</v>
      </c>
      <c r="W663">
        <f>_xlfn.XLOOKUP(F663,tblEmployee[Employee_ID],tblEmployee[Age],"Not Found")</f>
        <v>29</v>
      </c>
      <c r="X663" t="str">
        <f>_xlfn.XLOOKUP(F663,tblEmployee[Employee_ID],tblEmployee[Gender],"Not Found")</f>
        <v>Male</v>
      </c>
      <c r="Y663">
        <f>_xlfn.XLOOKUP(F663,tblEmployee[Employee_ID],tblEmployee[Joining_Date],"")</f>
        <v>43692</v>
      </c>
      <c r="Z663">
        <f>_xlfn.XLOOKUP(H663,tblDepartment[Department],tblDepartment[Annual_Budget_INR],"")</f>
        <v>85000000</v>
      </c>
      <c r="AA663" t="str">
        <f>_xlfn.XLOOKUP(H663,tblDepartment[Department],tblDepartment[Monthly_Target],"")</f>
        <v>99.5% System Uptime</v>
      </c>
      <c r="AB663">
        <f>_xlfn.XLOOKUP(H663,tblDepartment[Department],tblDepartment[Average_Salary_INR],"")</f>
        <v>720000</v>
      </c>
      <c r="AC663" t="str">
        <f>_xlfn.XLOOKUP(H663,tblDepartment[Department],tblDepartment[Priority_Level],"")</f>
        <v>High</v>
      </c>
      <c r="AD663" t="str">
        <f>_xlfn.XLOOKUP(H663,tblDepartment[Department],tblDepartment[Key_KPI],"")</f>
        <v>Project Delivery</v>
      </c>
      <c r="AE663">
        <f>_xlfn.XLOOKUP(tblMaster[[#This Row],[Shift]],tblShift[Shift_Name],tblShift[Login_Time],"")</f>
        <v>0.41666666666666669</v>
      </c>
      <c r="AF663">
        <f>_xlfn.XLOOKUP(tblMaster[[#This Row],[Shift]],tblShift[Shift_Name],tblShift[Logout_Time]," ")</f>
        <v>0.79166666666666663</v>
      </c>
      <c r="AG663">
        <f>_xlfn.XLOOKUP(tblMaster[[#This Row],[Shift]],tblShift[Shift_Name],tblShift[Standard_Working_Hours],"")</f>
        <v>8</v>
      </c>
      <c r="AH663" t="str">
        <f>_xlfn.XLOOKUP(tblMaster[[#This Row],[Attendance_Date]],tblHoliday[Holiday_Date],tblHoliday[Holiday_Name],"Working Day")</f>
        <v>Working Day</v>
      </c>
      <c r="AI663" t="str">
        <f>_xlfn.XLOOKUP(tblMaster[[#This Row],[Attendance_Date]],tblHoliday[Holiday_Date],tblHoliday[Holiday_Type],"Working Day ")</f>
        <v xml:space="preserve">Working Day </v>
      </c>
    </row>
    <row r="664" spans="1:35" x14ac:dyDescent="0.3">
      <c r="A664" t="s">
        <v>853</v>
      </c>
      <c r="B664" s="3">
        <v>45771</v>
      </c>
      <c r="C664" t="s">
        <v>37</v>
      </c>
      <c r="D664" t="s">
        <v>24</v>
      </c>
      <c r="E664" t="s">
        <v>25</v>
      </c>
      <c r="F664" t="s">
        <v>142</v>
      </c>
      <c r="G664" t="s">
        <v>143</v>
      </c>
      <c r="H664" t="s">
        <v>64</v>
      </c>
      <c r="I664" t="s">
        <v>65</v>
      </c>
      <c r="J664" t="s">
        <v>43</v>
      </c>
      <c r="K664" t="s">
        <v>75</v>
      </c>
      <c r="L664" s="2">
        <v>0.375</v>
      </c>
      <c r="M664" s="2">
        <v>0.75</v>
      </c>
      <c r="N664">
        <v>9</v>
      </c>
      <c r="O664">
        <v>1</v>
      </c>
      <c r="P664" t="s">
        <v>32</v>
      </c>
      <c r="R664">
        <v>5</v>
      </c>
      <c r="S664" t="s">
        <v>45</v>
      </c>
      <c r="T664" t="s">
        <v>68</v>
      </c>
      <c r="U664" t="str">
        <f>_xlfn.XLOOKUP(tblMaster[[#This Row],[Employee_ID]],tblEmployee[Employee_ID],tblEmployee[Work_Mode]," ")</f>
        <v>Office</v>
      </c>
      <c r="W664">
        <f>_xlfn.XLOOKUP(F664,tblEmployee[Employee_ID],tblEmployee[Age],"Not Found")</f>
        <v>37</v>
      </c>
      <c r="X664" t="str">
        <f>_xlfn.XLOOKUP(F664,tblEmployee[Employee_ID],tblEmployee[Gender],"Not Found")</f>
        <v>Male</v>
      </c>
      <c r="Y664">
        <f>_xlfn.XLOOKUP(F664,tblEmployee[Employee_ID],tblEmployee[Joining_Date],"")</f>
        <v>43570</v>
      </c>
      <c r="Z664">
        <f>_xlfn.XLOOKUP(H664,tblDepartment[Department],tblDepartment[Annual_Budget_INR],"")</f>
        <v>85000000</v>
      </c>
      <c r="AA664" t="str">
        <f>_xlfn.XLOOKUP(H664,tblDepartment[Department],tblDepartment[Monthly_Target],"")</f>
        <v>99.5% System Uptime</v>
      </c>
      <c r="AB664">
        <f>_xlfn.XLOOKUP(H664,tblDepartment[Department],tblDepartment[Average_Salary_INR],"")</f>
        <v>720000</v>
      </c>
      <c r="AC664" t="str">
        <f>_xlfn.XLOOKUP(H664,tblDepartment[Department],tblDepartment[Priority_Level],"")</f>
        <v>High</v>
      </c>
      <c r="AD664" t="str">
        <f>_xlfn.XLOOKUP(H664,tblDepartment[Department],tblDepartment[Key_KPI],"")</f>
        <v>Project Delivery</v>
      </c>
      <c r="AE664">
        <f>_xlfn.XLOOKUP(tblMaster[[#This Row],[Shift]],tblShift[Shift_Name],tblShift[Login_Time],"")</f>
        <v>0.375</v>
      </c>
      <c r="AF664">
        <f>_xlfn.XLOOKUP(tblMaster[[#This Row],[Shift]],tblShift[Shift_Name],tblShift[Logout_Time]," ")</f>
        <v>0.75</v>
      </c>
      <c r="AG664">
        <f>_xlfn.XLOOKUP(tblMaster[[#This Row],[Shift]],tblShift[Shift_Name],tblShift[Standard_Working_Hours],"")</f>
        <v>8</v>
      </c>
      <c r="AH664" t="str">
        <f>_xlfn.XLOOKUP(tblMaster[[#This Row],[Attendance_Date]],tblHoliday[Holiday_Date],tblHoliday[Holiday_Name],"Working Day")</f>
        <v>Working Day</v>
      </c>
      <c r="AI664" t="str">
        <f>_xlfn.XLOOKUP(tblMaster[[#This Row],[Attendance_Date]],tblHoliday[Holiday_Date],tblHoliday[Holiday_Type],"Working Day ")</f>
        <v xml:space="preserve">Working Day </v>
      </c>
    </row>
    <row r="665" spans="1:35" x14ac:dyDescent="0.3">
      <c r="A665" t="s">
        <v>854</v>
      </c>
      <c r="B665" s="3">
        <v>45688</v>
      </c>
      <c r="C665" t="s">
        <v>49</v>
      </c>
      <c r="D665" t="s">
        <v>50</v>
      </c>
      <c r="E665" t="s">
        <v>119</v>
      </c>
      <c r="F665" t="s">
        <v>170</v>
      </c>
      <c r="G665" t="s">
        <v>171</v>
      </c>
      <c r="H665" t="s">
        <v>64</v>
      </c>
      <c r="I665" t="s">
        <v>65</v>
      </c>
      <c r="J665" t="s">
        <v>43</v>
      </c>
      <c r="K665" t="s">
        <v>44</v>
      </c>
      <c r="L665" s="2">
        <v>0.375</v>
      </c>
      <c r="M665" s="2">
        <v>0.75</v>
      </c>
      <c r="N665">
        <v>9</v>
      </c>
      <c r="O665">
        <v>1</v>
      </c>
      <c r="P665" t="s">
        <v>32</v>
      </c>
      <c r="S665" t="s">
        <v>67</v>
      </c>
      <c r="T665" t="s">
        <v>68</v>
      </c>
      <c r="U665" t="str">
        <f>_xlfn.XLOOKUP(tblMaster[[#This Row],[Employee_ID]],tblEmployee[Employee_ID],tblEmployee[Work_Mode]," ")</f>
        <v>Remote</v>
      </c>
      <c r="V665" t="s">
        <v>69</v>
      </c>
      <c r="W665">
        <f>_xlfn.XLOOKUP(F665,tblEmployee[Employee_ID],tblEmployee[Age],"Not Found")</f>
        <v>36</v>
      </c>
      <c r="X665" t="str">
        <f>_xlfn.XLOOKUP(F665,tblEmployee[Employee_ID],tblEmployee[Gender],"Not Found")</f>
        <v>Female</v>
      </c>
      <c r="Y665">
        <f>_xlfn.XLOOKUP(F665,tblEmployee[Employee_ID],tblEmployee[Joining_Date],"")</f>
        <v>43539</v>
      </c>
      <c r="Z665">
        <f>_xlfn.XLOOKUP(H665,tblDepartment[Department],tblDepartment[Annual_Budget_INR],"")</f>
        <v>85000000</v>
      </c>
      <c r="AA665" t="str">
        <f>_xlfn.XLOOKUP(H665,tblDepartment[Department],tblDepartment[Monthly_Target],"")</f>
        <v>99.5% System Uptime</v>
      </c>
      <c r="AB665">
        <f>_xlfn.XLOOKUP(H665,tblDepartment[Department],tblDepartment[Average_Salary_INR],"")</f>
        <v>720000</v>
      </c>
      <c r="AC665" t="str">
        <f>_xlfn.XLOOKUP(H665,tblDepartment[Department],tblDepartment[Priority_Level],"")</f>
        <v>High</v>
      </c>
      <c r="AD665" t="str">
        <f>_xlfn.XLOOKUP(H665,tblDepartment[Department],tblDepartment[Key_KPI],"")</f>
        <v>Project Delivery</v>
      </c>
      <c r="AE665">
        <f>_xlfn.XLOOKUP(tblMaster[[#This Row],[Shift]],tblShift[Shift_Name],tblShift[Login_Time],"")</f>
        <v>0.41666666666666669</v>
      </c>
      <c r="AF665">
        <f>_xlfn.XLOOKUP(tblMaster[[#This Row],[Shift]],tblShift[Shift_Name],tblShift[Logout_Time]," ")</f>
        <v>0.79166666666666663</v>
      </c>
      <c r="AG665">
        <f>_xlfn.XLOOKUP(tblMaster[[#This Row],[Shift]],tblShift[Shift_Name],tblShift[Standard_Working_Hours],"")</f>
        <v>8</v>
      </c>
      <c r="AH665" t="str">
        <f>_xlfn.XLOOKUP(tblMaster[[#This Row],[Attendance_Date]],tblHoliday[Holiday_Date],tblHoliday[Holiday_Name],"Working Day")</f>
        <v>Working Day</v>
      </c>
      <c r="AI665" t="str">
        <f>_xlfn.XLOOKUP(tblMaster[[#This Row],[Attendance_Date]],tblHoliday[Holiday_Date],tblHoliday[Holiday_Type],"Working Day ")</f>
        <v xml:space="preserve">Working Day </v>
      </c>
    </row>
    <row r="666" spans="1:35" hidden="1" x14ac:dyDescent="0.3">
      <c r="A666" t="s">
        <v>855</v>
      </c>
      <c r="B666" s="3">
        <v>45703</v>
      </c>
      <c r="C666" t="s">
        <v>95</v>
      </c>
      <c r="D666" t="s">
        <v>50</v>
      </c>
      <c r="E666" t="s">
        <v>38</v>
      </c>
      <c r="F666" t="s">
        <v>52</v>
      </c>
      <c r="G666" t="s">
        <v>53</v>
      </c>
      <c r="H666" t="s">
        <v>41</v>
      </c>
      <c r="I666" t="s">
        <v>42</v>
      </c>
      <c r="J666" t="s">
        <v>43</v>
      </c>
      <c r="K666" t="s">
        <v>81</v>
      </c>
      <c r="L666" s="2">
        <v>0.91666666666666663</v>
      </c>
      <c r="M666" s="2">
        <v>0.29166666666666669</v>
      </c>
      <c r="N666">
        <v>9</v>
      </c>
      <c r="O666">
        <v>1</v>
      </c>
      <c r="P666" t="s">
        <v>32</v>
      </c>
      <c r="S666" t="s">
        <v>92</v>
      </c>
      <c r="T666" t="s">
        <v>46</v>
      </c>
      <c r="U666" t="s">
        <v>85</v>
      </c>
      <c r="V666" t="s">
        <v>69</v>
      </c>
      <c r="W666">
        <f>_xlfn.XLOOKUP(F666,tblEmployee[Employee_ID],tblEmployee[Age],"Not Found")</f>
        <v>27</v>
      </c>
      <c r="X666" t="str">
        <f>_xlfn.XLOOKUP(F666,tblEmployee[Employee_ID],tblEmployee[Gender],"Not Found")</f>
        <v>Male</v>
      </c>
      <c r="Y666">
        <f>_xlfn.XLOOKUP(F666,tblEmployee[Employee_ID],tblEmployee[Joining_Date],"")</f>
        <v>45092</v>
      </c>
      <c r="Z666">
        <f>_xlfn.XLOOKUP(H666,tblDepartment[Department],tblDepartment[Annual_Budget_INR],"")</f>
        <v>34000000</v>
      </c>
      <c r="AA666" t="str">
        <f>_xlfn.XLOOKUP(H666,tblDepartment[Department],tblDepartment[Monthly_Target],"")</f>
        <v>95% Process Efficiency</v>
      </c>
      <c r="AB666">
        <f>_xlfn.XLOOKUP(H666,tblDepartment[Department],tblDepartment[Average_Salary_INR],"")</f>
        <v>610000</v>
      </c>
      <c r="AC666" t="str">
        <f>_xlfn.XLOOKUP(H666,tblDepartment[Department],tblDepartment[Priority_Level],"")</f>
        <v>High</v>
      </c>
      <c r="AD666" t="str">
        <f>_xlfn.XLOOKUP(H666,tblDepartment[Department],tblDepartment[Key_KPI],"")</f>
        <v>Operational Efficiency</v>
      </c>
      <c r="AE666">
        <f>_xlfn.XLOOKUP(tblMaster[[#This Row],[Shift]],tblShift[Shift_Name],tblShift[Login_Time],"")</f>
        <v>0.91666666666666663</v>
      </c>
      <c r="AF666">
        <f>_xlfn.XLOOKUP(tblMaster[[#This Row],[Shift]],tblShift[Shift_Name],tblShift[Logout_Time]," ")</f>
        <v>0.29166666666666669</v>
      </c>
      <c r="AG666">
        <f>_xlfn.XLOOKUP(tblMaster[[#This Row],[Shift]],tblShift[Shift_Name],tblShift[Standard_Working_Hours],"")</f>
        <v>8</v>
      </c>
      <c r="AH666" t="str">
        <f>_xlfn.XLOOKUP(tblMaster[[#This Row],[Attendance_Date]],tblHoliday[Holiday_Date],tblHoliday[Holiday_Name],"Working Day")</f>
        <v>Working Day</v>
      </c>
      <c r="AI666" t="str">
        <f>_xlfn.XLOOKUP(tblMaster[[#This Row],[Attendance_Date]],tblHoliday[Holiday_Date],tblHoliday[Holiday_Type],"Working Day ")</f>
        <v xml:space="preserve">Working Day </v>
      </c>
    </row>
    <row r="667" spans="1:35" x14ac:dyDescent="0.3">
      <c r="A667" t="s">
        <v>856</v>
      </c>
      <c r="B667" s="1">
        <v>45727</v>
      </c>
      <c r="C667" t="s">
        <v>71</v>
      </c>
      <c r="D667" t="s">
        <v>50</v>
      </c>
      <c r="E667" t="s">
        <v>87</v>
      </c>
      <c r="F667" t="s">
        <v>309</v>
      </c>
      <c r="G667" t="s">
        <v>310</v>
      </c>
      <c r="H667" t="s">
        <v>28</v>
      </c>
      <c r="I667" t="s">
        <v>29</v>
      </c>
      <c r="J667" t="s">
        <v>43</v>
      </c>
      <c r="K667" t="s">
        <v>31</v>
      </c>
      <c r="L667" s="2">
        <v>0.375</v>
      </c>
      <c r="M667" s="2">
        <v>0.75</v>
      </c>
      <c r="N667">
        <v>8</v>
      </c>
      <c r="O667">
        <v>0</v>
      </c>
      <c r="P667" t="s">
        <v>32</v>
      </c>
      <c r="R667">
        <v>4</v>
      </c>
      <c r="S667" t="s">
        <v>67</v>
      </c>
      <c r="T667" t="s">
        <v>34</v>
      </c>
      <c r="U667" t="str">
        <f>_xlfn.XLOOKUP(tblMaster[[#This Row],[Employee_ID]],tblEmployee[Employee_ID],tblEmployee[Work_Mode]," ")</f>
        <v>Remote</v>
      </c>
      <c r="V667" t="s">
        <v>35</v>
      </c>
      <c r="W667">
        <f>_xlfn.XLOOKUP(F667,tblEmployee[Employee_ID],tblEmployee[Age],"Not Found")</f>
        <v>39</v>
      </c>
      <c r="X667" t="str">
        <f>_xlfn.XLOOKUP(F667,tblEmployee[Employee_ID],tblEmployee[Gender],"Not Found")</f>
        <v>Male</v>
      </c>
      <c r="Y667">
        <f>_xlfn.XLOOKUP(F667,tblEmployee[Employee_ID],tblEmployee[Joining_Date],"")</f>
        <v>43449</v>
      </c>
      <c r="Z667">
        <f>_xlfn.XLOOKUP(H667,tblDepartment[Department],tblDepartment[Annual_Budget_INR],"")</f>
        <v>24000000</v>
      </c>
      <c r="AA667" t="str">
        <f>_xlfn.XLOOKUP(H667,tblDepartment[Department],tblDepartment[Monthly_Target],"")</f>
        <v>90% Customer Satisfaction</v>
      </c>
      <c r="AB667">
        <f>_xlfn.XLOOKUP(H667,tblDepartment[Department],tblDepartment[Average_Salary_INR],"")</f>
        <v>520000</v>
      </c>
      <c r="AC667" t="str">
        <f>_xlfn.XLOOKUP(H667,tblDepartment[Department],tblDepartment[Priority_Level],"")</f>
        <v>High</v>
      </c>
      <c r="AD667" t="str">
        <f>_xlfn.XLOOKUP(H667,tblDepartment[Department],tblDepartment[Key_KPI],"")</f>
        <v>Customer Satisfaction</v>
      </c>
      <c r="AE667">
        <f>_xlfn.XLOOKUP(tblMaster[[#This Row],[Shift]],tblShift[Shift_Name],tblShift[Login_Time],"")</f>
        <v>0.25</v>
      </c>
      <c r="AF667">
        <f>_xlfn.XLOOKUP(tblMaster[[#This Row],[Shift]],tblShift[Shift_Name],tblShift[Logout_Time]," ")</f>
        <v>0.625</v>
      </c>
      <c r="AG667">
        <f>_xlfn.XLOOKUP(tblMaster[[#This Row],[Shift]],tblShift[Shift_Name],tblShift[Standard_Working_Hours],"")</f>
        <v>8</v>
      </c>
      <c r="AH667" t="str">
        <f>_xlfn.XLOOKUP(tblMaster[[#This Row],[Attendance_Date]],tblHoliday[Holiday_Date],tblHoliday[Holiday_Name],"Working Day")</f>
        <v>Working Day</v>
      </c>
      <c r="AI667" t="str">
        <f>_xlfn.XLOOKUP(tblMaster[[#This Row],[Attendance_Date]],tblHoliday[Holiday_Date],tblHoliday[Holiday_Type],"Working Day ")</f>
        <v xml:space="preserve">Working Day </v>
      </c>
    </row>
    <row r="668" spans="1:35" hidden="1" x14ac:dyDescent="0.3">
      <c r="A668" t="s">
        <v>857</v>
      </c>
      <c r="B668" s="3">
        <v>45718</v>
      </c>
      <c r="C668" t="s">
        <v>71</v>
      </c>
      <c r="D668" t="s">
        <v>50</v>
      </c>
      <c r="E668" t="s">
        <v>103</v>
      </c>
      <c r="F668" t="s">
        <v>309</v>
      </c>
      <c r="G668" t="s">
        <v>310</v>
      </c>
      <c r="H668" t="s">
        <v>28</v>
      </c>
      <c r="I668" t="s">
        <v>29</v>
      </c>
      <c r="J668" t="s">
        <v>43</v>
      </c>
      <c r="K668" t="s">
        <v>31</v>
      </c>
      <c r="L668" s="2">
        <v>0.375</v>
      </c>
      <c r="M668" s="2">
        <v>0.75</v>
      </c>
      <c r="N668">
        <v>8</v>
      </c>
      <c r="O668">
        <v>0</v>
      </c>
      <c r="P668" t="s">
        <v>32</v>
      </c>
      <c r="R668">
        <v>3</v>
      </c>
      <c r="S668" t="s">
        <v>92</v>
      </c>
      <c r="T668" t="s">
        <v>34</v>
      </c>
      <c r="U668" t="s">
        <v>47</v>
      </c>
      <c r="V668" t="s">
        <v>35</v>
      </c>
      <c r="W668">
        <f>_xlfn.XLOOKUP(F668,tblEmployee[Employee_ID],tblEmployee[Age],"Not Found")</f>
        <v>39</v>
      </c>
      <c r="X668" t="str">
        <f>_xlfn.XLOOKUP(F668,tblEmployee[Employee_ID],tblEmployee[Gender],"Not Found")</f>
        <v>Male</v>
      </c>
      <c r="Y668">
        <f>_xlfn.XLOOKUP(F668,tblEmployee[Employee_ID],tblEmployee[Joining_Date],"")</f>
        <v>43449</v>
      </c>
      <c r="Z668">
        <f>_xlfn.XLOOKUP(H668,tblDepartment[Department],tblDepartment[Annual_Budget_INR],"")</f>
        <v>24000000</v>
      </c>
      <c r="AA668" t="str">
        <f>_xlfn.XLOOKUP(H668,tblDepartment[Department],tblDepartment[Monthly_Target],"")</f>
        <v>90% Customer Satisfaction</v>
      </c>
      <c r="AB668">
        <f>_xlfn.XLOOKUP(H668,tblDepartment[Department],tblDepartment[Average_Salary_INR],"")</f>
        <v>520000</v>
      </c>
      <c r="AC668" t="str">
        <f>_xlfn.XLOOKUP(H668,tblDepartment[Department],tblDepartment[Priority_Level],"")</f>
        <v>High</v>
      </c>
      <c r="AD668" t="str">
        <f>_xlfn.XLOOKUP(H668,tblDepartment[Department],tblDepartment[Key_KPI],"")</f>
        <v>Customer Satisfaction</v>
      </c>
      <c r="AE668">
        <f>_xlfn.XLOOKUP(tblMaster[[#This Row],[Shift]],tblShift[Shift_Name],tblShift[Login_Time],"")</f>
        <v>0.25</v>
      </c>
      <c r="AF668">
        <f>_xlfn.XLOOKUP(tblMaster[[#This Row],[Shift]],tblShift[Shift_Name],tblShift[Logout_Time]," ")</f>
        <v>0.625</v>
      </c>
      <c r="AG668">
        <f>_xlfn.XLOOKUP(tblMaster[[#This Row],[Shift]],tblShift[Shift_Name],tblShift[Standard_Working_Hours],"")</f>
        <v>8</v>
      </c>
      <c r="AH668" t="str">
        <f>_xlfn.XLOOKUP(tblMaster[[#This Row],[Attendance_Date]],tblHoliday[Holiday_Date],tblHoliday[Holiday_Name],"Working Day")</f>
        <v>Working Day</v>
      </c>
      <c r="AI668" t="str">
        <f>_xlfn.XLOOKUP(tblMaster[[#This Row],[Attendance_Date]],tblHoliday[Holiday_Date],tblHoliday[Holiday_Type],"Working Day ")</f>
        <v xml:space="preserve">Working Day </v>
      </c>
    </row>
    <row r="669" spans="1:35" x14ac:dyDescent="0.3">
      <c r="A669" t="s">
        <v>858</v>
      </c>
      <c r="B669" s="3">
        <v>45788</v>
      </c>
      <c r="C669" t="s">
        <v>57</v>
      </c>
      <c r="D669" t="s">
        <v>24</v>
      </c>
      <c r="E669" t="s">
        <v>103</v>
      </c>
      <c r="F669" t="s">
        <v>39</v>
      </c>
      <c r="G669" t="s">
        <v>40</v>
      </c>
      <c r="H669" t="s">
        <v>41</v>
      </c>
      <c r="I669" t="s">
        <v>42</v>
      </c>
      <c r="J669" t="s">
        <v>43</v>
      </c>
      <c r="K669" t="s">
        <v>44</v>
      </c>
      <c r="L669" s="2">
        <v>0.375</v>
      </c>
      <c r="M669" s="2">
        <v>0.75</v>
      </c>
      <c r="N669">
        <v>8</v>
      </c>
      <c r="O669">
        <v>0</v>
      </c>
      <c r="P669" t="s">
        <v>32</v>
      </c>
      <c r="R669">
        <v>4</v>
      </c>
      <c r="S669" t="s">
        <v>92</v>
      </c>
      <c r="T669" t="s">
        <v>46</v>
      </c>
      <c r="U669" t="str">
        <f>_xlfn.XLOOKUP(tblMaster[[#This Row],[Employee_ID]],tblEmployee[Employee_ID],tblEmployee[Work_Mode]," ")</f>
        <v>Hybrid</v>
      </c>
      <c r="V669" t="s">
        <v>60</v>
      </c>
      <c r="W669">
        <f>_xlfn.XLOOKUP(F669,tblEmployee[Employee_ID],tblEmployee[Age],"Not Found")</f>
        <v>26</v>
      </c>
      <c r="X669" t="str">
        <f>_xlfn.XLOOKUP(F669,tblEmployee[Employee_ID],tblEmployee[Gender],"Not Found")</f>
        <v>Male</v>
      </c>
      <c r="Y669">
        <f>_xlfn.XLOOKUP(F669,tblEmployee[Employee_ID],tblEmployee[Joining_Date],"")</f>
        <v>45061</v>
      </c>
      <c r="Z669">
        <f>_xlfn.XLOOKUP(H669,tblDepartment[Department],tblDepartment[Annual_Budget_INR],"")</f>
        <v>34000000</v>
      </c>
      <c r="AA669" t="str">
        <f>_xlfn.XLOOKUP(H669,tblDepartment[Department],tblDepartment[Monthly_Target],"")</f>
        <v>95% Process Efficiency</v>
      </c>
      <c r="AB669">
        <f>_xlfn.XLOOKUP(H669,tblDepartment[Department],tblDepartment[Average_Salary_INR],"")</f>
        <v>610000</v>
      </c>
      <c r="AC669" t="str">
        <f>_xlfn.XLOOKUP(H669,tblDepartment[Department],tblDepartment[Priority_Level],"")</f>
        <v>High</v>
      </c>
      <c r="AD669" t="str">
        <f>_xlfn.XLOOKUP(H669,tblDepartment[Department],tblDepartment[Key_KPI],"")</f>
        <v>Operational Efficiency</v>
      </c>
      <c r="AE669">
        <f>_xlfn.XLOOKUP(tblMaster[[#This Row],[Shift]],tblShift[Shift_Name],tblShift[Login_Time],"")</f>
        <v>0.41666666666666669</v>
      </c>
      <c r="AF669">
        <f>_xlfn.XLOOKUP(tblMaster[[#This Row],[Shift]],tblShift[Shift_Name],tblShift[Logout_Time]," ")</f>
        <v>0.79166666666666663</v>
      </c>
      <c r="AG669">
        <f>_xlfn.XLOOKUP(tblMaster[[#This Row],[Shift]],tblShift[Shift_Name],tblShift[Standard_Working_Hours],"")</f>
        <v>8</v>
      </c>
      <c r="AH669" t="str">
        <f>_xlfn.XLOOKUP(tblMaster[[#This Row],[Attendance_Date]],tblHoliday[Holiday_Date],tblHoliday[Holiday_Name],"Working Day")</f>
        <v>Working Day</v>
      </c>
      <c r="AI669" t="str">
        <f>_xlfn.XLOOKUP(tblMaster[[#This Row],[Attendance_Date]],tblHoliday[Holiday_Date],tblHoliday[Holiday_Type],"Working Day ")</f>
        <v xml:space="preserve">Working Day </v>
      </c>
    </row>
    <row r="670" spans="1:35" hidden="1" x14ac:dyDescent="0.3">
      <c r="A670" t="s">
        <v>859</v>
      </c>
      <c r="B670" s="3">
        <v>45801</v>
      </c>
      <c r="C670" t="s">
        <v>57</v>
      </c>
      <c r="D670" t="s">
        <v>24</v>
      </c>
      <c r="E670" t="s">
        <v>38</v>
      </c>
      <c r="F670" t="s">
        <v>215</v>
      </c>
      <c r="G670" t="s">
        <v>216</v>
      </c>
      <c r="H670" t="s">
        <v>79</v>
      </c>
      <c r="I670" t="s">
        <v>80</v>
      </c>
      <c r="J670" t="s">
        <v>30</v>
      </c>
      <c r="K670" t="s">
        <v>75</v>
      </c>
      <c r="L670" s="2">
        <v>0.375</v>
      </c>
      <c r="M670" s="2">
        <v>0.75</v>
      </c>
      <c r="N670">
        <v>8</v>
      </c>
      <c r="O670">
        <v>0</v>
      </c>
      <c r="P670" t="s">
        <v>32</v>
      </c>
      <c r="R670">
        <v>4</v>
      </c>
      <c r="S670" t="s">
        <v>45</v>
      </c>
      <c r="T670" t="s">
        <v>84</v>
      </c>
      <c r="U670" t="s">
        <v>55</v>
      </c>
      <c r="V670" t="s">
        <v>35</v>
      </c>
      <c r="W670">
        <f>_xlfn.XLOOKUP(F670,tblEmployee[Employee_ID],tblEmployee[Age],"Not Found")</f>
        <v>25</v>
      </c>
      <c r="X670" t="str">
        <f>_xlfn.XLOOKUP(F670,tblEmployee[Employee_ID],tblEmployee[Gender],"Not Found")</f>
        <v>Female</v>
      </c>
      <c r="Y670">
        <f>_xlfn.XLOOKUP(F670,tblEmployee[Employee_ID],tblEmployee[Joining_Date],"")</f>
        <v>44666</v>
      </c>
      <c r="Z670">
        <f>_xlfn.XLOOKUP(H670,tblDepartment[Department],tblDepartment[Annual_Budget_INR],"")</f>
        <v>26000000</v>
      </c>
      <c r="AA670" t="str">
        <f>_xlfn.XLOOKUP(H670,tblDepartment[Department],tblDepartment[Monthly_Target],"")</f>
        <v>100% Payroll Accuracy</v>
      </c>
      <c r="AB670">
        <f>_xlfn.XLOOKUP(H670,tblDepartment[Department],tblDepartment[Average_Salary_INR],"")</f>
        <v>640000</v>
      </c>
      <c r="AC670" t="str">
        <f>_xlfn.XLOOKUP(H670,tblDepartment[Department],tblDepartment[Priority_Level],"")</f>
        <v>High</v>
      </c>
      <c r="AD670" t="str">
        <f>_xlfn.XLOOKUP(H670,tblDepartment[Department],tblDepartment[Key_KPI],"")</f>
        <v>Financial Compliance</v>
      </c>
      <c r="AE670">
        <f>_xlfn.XLOOKUP(tblMaster[[#This Row],[Shift]],tblShift[Shift_Name],tblShift[Login_Time],"")</f>
        <v>0.375</v>
      </c>
      <c r="AF670">
        <f>_xlfn.XLOOKUP(tblMaster[[#This Row],[Shift]],tblShift[Shift_Name],tblShift[Logout_Time]," ")</f>
        <v>0.75</v>
      </c>
      <c r="AG670">
        <f>_xlfn.XLOOKUP(tblMaster[[#This Row],[Shift]],tblShift[Shift_Name],tblShift[Standard_Working_Hours],"")</f>
        <v>8</v>
      </c>
      <c r="AH670" t="str">
        <f>_xlfn.XLOOKUP(tblMaster[[#This Row],[Attendance_Date]],tblHoliday[Holiday_Date],tblHoliday[Holiday_Name],"Working Day")</f>
        <v>Working Day</v>
      </c>
      <c r="AI670" t="str">
        <f>_xlfn.XLOOKUP(tblMaster[[#This Row],[Attendance_Date]],tblHoliday[Holiday_Date],tblHoliday[Holiday_Type],"Working Day ")</f>
        <v xml:space="preserve">Working Day </v>
      </c>
    </row>
    <row r="671" spans="1:35" hidden="1" x14ac:dyDescent="0.3">
      <c r="A671" t="s">
        <v>860</v>
      </c>
      <c r="B671" s="3">
        <v>45697</v>
      </c>
      <c r="C671" t="s">
        <v>95</v>
      </c>
      <c r="D671" t="s">
        <v>50</v>
      </c>
      <c r="E671" t="s">
        <v>103</v>
      </c>
      <c r="F671" t="s">
        <v>151</v>
      </c>
      <c r="G671" t="s">
        <v>152</v>
      </c>
      <c r="H671" t="s">
        <v>98</v>
      </c>
      <c r="I671" t="s">
        <v>99</v>
      </c>
      <c r="J671" t="s">
        <v>30</v>
      </c>
      <c r="K671" t="s">
        <v>54</v>
      </c>
      <c r="L671" s="2">
        <v>0.375</v>
      </c>
      <c r="M671" s="2">
        <v>0.75</v>
      </c>
      <c r="N671">
        <v>8</v>
      </c>
      <c r="O671">
        <v>0</v>
      </c>
      <c r="P671" t="s">
        <v>32</v>
      </c>
      <c r="R671">
        <v>4</v>
      </c>
      <c r="S671" t="s">
        <v>45</v>
      </c>
      <c r="T671" t="s">
        <v>101</v>
      </c>
      <c r="U671" t="s">
        <v>85</v>
      </c>
      <c r="V671" t="s">
        <v>69</v>
      </c>
      <c r="W671">
        <f>_xlfn.XLOOKUP(F671,tblEmployee[Employee_ID],tblEmployee[Age],"Not Found")</f>
        <v>38</v>
      </c>
      <c r="X671" t="str">
        <f>_xlfn.XLOOKUP(F671,tblEmployee[Employee_ID],tblEmployee[Gender],"Not Found")</f>
        <v>Female</v>
      </c>
      <c r="Y671">
        <f>_xlfn.XLOOKUP(F671,tblEmployee[Employee_ID],tblEmployee[Joining_Date],"")</f>
        <v>45611</v>
      </c>
      <c r="Z671">
        <f>_xlfn.XLOOKUP(H671,tblDepartment[Department],tblDepartment[Annual_Budget_INR],"")</f>
        <v>22000000</v>
      </c>
      <c r="AA671" t="str">
        <f>_xlfn.XLOOKUP(H671,tblDepartment[Department],tblDepartment[Monthly_Target],"")</f>
        <v>2500 Qualified Leads</v>
      </c>
      <c r="AB671">
        <f>_xlfn.XLOOKUP(H671,tblDepartment[Department],tblDepartment[Average_Salary_INR],"")</f>
        <v>590000</v>
      </c>
      <c r="AC671" t="str">
        <f>_xlfn.XLOOKUP(H671,tblDepartment[Department],tblDepartment[Priority_Level],"")</f>
        <v>Medium</v>
      </c>
      <c r="AD671" t="str">
        <f>_xlfn.XLOOKUP(H671,tblDepartment[Department],tblDepartment[Key_KPI],"")</f>
        <v>Lead Generation</v>
      </c>
      <c r="AE671">
        <f>_xlfn.XLOOKUP(tblMaster[[#This Row],[Shift]],tblShift[Shift_Name],tblShift[Login_Time],"")</f>
        <v>0.58333333333333337</v>
      </c>
      <c r="AF671">
        <f>_xlfn.XLOOKUP(tblMaster[[#This Row],[Shift]],tblShift[Shift_Name],tblShift[Logout_Time]," ")</f>
        <v>0.95833333333333337</v>
      </c>
      <c r="AG671">
        <f>_xlfn.XLOOKUP(tblMaster[[#This Row],[Shift]],tblShift[Shift_Name],tblShift[Standard_Working_Hours],"")</f>
        <v>8</v>
      </c>
      <c r="AH671" t="str">
        <f>_xlfn.XLOOKUP(tblMaster[[#This Row],[Attendance_Date]],tblHoliday[Holiday_Date],tblHoliday[Holiday_Name],"Working Day")</f>
        <v>Working Day</v>
      </c>
      <c r="AI671" t="str">
        <f>_xlfn.XLOOKUP(tblMaster[[#This Row],[Attendance_Date]],tblHoliday[Holiday_Date],tblHoliday[Holiday_Type],"Working Day ")</f>
        <v xml:space="preserve">Working Day </v>
      </c>
    </row>
    <row r="672" spans="1:35" hidden="1" x14ac:dyDescent="0.3">
      <c r="A672" t="s">
        <v>861</v>
      </c>
      <c r="B672" s="3">
        <v>45829</v>
      </c>
      <c r="C672" t="s">
        <v>23</v>
      </c>
      <c r="D672" t="s">
        <v>24</v>
      </c>
      <c r="E672" t="s">
        <v>38</v>
      </c>
      <c r="F672" t="s">
        <v>96</v>
      </c>
      <c r="G672" t="s">
        <v>97</v>
      </c>
      <c r="H672" t="s">
        <v>98</v>
      </c>
      <c r="I672" t="s">
        <v>99</v>
      </c>
      <c r="J672" t="s">
        <v>100</v>
      </c>
      <c r="K672" t="s">
        <v>75</v>
      </c>
      <c r="L672" s="2">
        <v>0.375</v>
      </c>
      <c r="M672" s="2">
        <v>0.75</v>
      </c>
      <c r="N672">
        <v>8</v>
      </c>
      <c r="O672">
        <v>0</v>
      </c>
      <c r="P672" t="s">
        <v>32</v>
      </c>
      <c r="R672">
        <v>4</v>
      </c>
      <c r="S672" t="s">
        <v>67</v>
      </c>
      <c r="T672" t="s">
        <v>101</v>
      </c>
      <c r="U672" t="s">
        <v>47</v>
      </c>
      <c r="V672" t="s">
        <v>69</v>
      </c>
      <c r="W672">
        <f>_xlfn.XLOOKUP(F672,tblEmployee[Employee_ID],tblEmployee[Age],"Not Found")</f>
        <v>34</v>
      </c>
      <c r="X672" t="str">
        <f>_xlfn.XLOOKUP(F672,tblEmployee[Employee_ID],tblEmployee[Gender],"Not Found")</f>
        <v>Female</v>
      </c>
      <c r="Y672">
        <f>_xlfn.XLOOKUP(F672,tblEmployee[Employee_ID],tblEmployee[Joining_Date],"")</f>
        <v>45306</v>
      </c>
      <c r="Z672">
        <f>_xlfn.XLOOKUP(H672,tblDepartment[Department],tblDepartment[Annual_Budget_INR],"")</f>
        <v>22000000</v>
      </c>
      <c r="AA672" t="str">
        <f>_xlfn.XLOOKUP(H672,tblDepartment[Department],tblDepartment[Monthly_Target],"")</f>
        <v>2500 Qualified Leads</v>
      </c>
      <c r="AB672">
        <f>_xlfn.XLOOKUP(H672,tblDepartment[Department],tblDepartment[Average_Salary_INR],"")</f>
        <v>590000</v>
      </c>
      <c r="AC672" t="str">
        <f>_xlfn.XLOOKUP(H672,tblDepartment[Department],tblDepartment[Priority_Level],"")</f>
        <v>Medium</v>
      </c>
      <c r="AD672" t="str">
        <f>_xlfn.XLOOKUP(H672,tblDepartment[Department],tblDepartment[Key_KPI],"")</f>
        <v>Lead Generation</v>
      </c>
      <c r="AE672">
        <f>_xlfn.XLOOKUP(tblMaster[[#This Row],[Shift]],tblShift[Shift_Name],tblShift[Login_Time],"")</f>
        <v>0.375</v>
      </c>
      <c r="AF672">
        <f>_xlfn.XLOOKUP(tblMaster[[#This Row],[Shift]],tblShift[Shift_Name],tblShift[Logout_Time]," ")</f>
        <v>0.75</v>
      </c>
      <c r="AG672">
        <f>_xlfn.XLOOKUP(tblMaster[[#This Row],[Shift]],tblShift[Shift_Name],tblShift[Standard_Working_Hours],"")</f>
        <v>8</v>
      </c>
      <c r="AH672" t="str">
        <f>_xlfn.XLOOKUP(tblMaster[[#This Row],[Attendance_Date]],tblHoliday[Holiday_Date],tblHoliday[Holiday_Name],"Working Day")</f>
        <v>Working Day</v>
      </c>
      <c r="AI672" t="str">
        <f>_xlfn.XLOOKUP(tblMaster[[#This Row],[Attendance_Date]],tblHoliday[Holiday_Date],tblHoliday[Holiday_Type],"Working Day ")</f>
        <v xml:space="preserve">Working Day </v>
      </c>
    </row>
    <row r="673" spans="1:35" hidden="1" x14ac:dyDescent="0.3">
      <c r="A673" t="s">
        <v>862</v>
      </c>
      <c r="B673" s="1">
        <v>45660</v>
      </c>
      <c r="C673" t="s">
        <v>49</v>
      </c>
      <c r="D673" t="s">
        <v>50</v>
      </c>
      <c r="E673" t="s">
        <v>119</v>
      </c>
      <c r="F673" t="s">
        <v>204</v>
      </c>
      <c r="G673" t="s">
        <v>205</v>
      </c>
      <c r="H673" t="s">
        <v>90</v>
      </c>
      <c r="I673" t="s">
        <v>91</v>
      </c>
      <c r="J673" t="s">
        <v>74</v>
      </c>
      <c r="K673" t="s">
        <v>44</v>
      </c>
      <c r="L673" s="2">
        <v>0.375</v>
      </c>
      <c r="M673" s="2">
        <v>0.75</v>
      </c>
      <c r="N673">
        <v>8</v>
      </c>
      <c r="O673">
        <v>0</v>
      </c>
      <c r="P673" t="s">
        <v>32</v>
      </c>
      <c r="R673">
        <v>5</v>
      </c>
      <c r="S673" t="s">
        <v>45</v>
      </c>
      <c r="T673" t="s">
        <v>93</v>
      </c>
      <c r="U673" t="s">
        <v>85</v>
      </c>
      <c r="V673" t="s">
        <v>69</v>
      </c>
      <c r="W673">
        <f>_xlfn.XLOOKUP(F673,tblEmployee[Employee_ID],tblEmployee[Age],"Not Found")</f>
        <v>24</v>
      </c>
      <c r="X673" t="str">
        <f>_xlfn.XLOOKUP(F673,tblEmployee[Employee_ID],tblEmployee[Gender],"Not Found")</f>
        <v>Female</v>
      </c>
      <c r="Y673">
        <f>_xlfn.XLOOKUP(F673,tblEmployee[Employee_ID],tblEmployee[Joining_Date],"")</f>
        <v>43905</v>
      </c>
      <c r="Z673">
        <f>_xlfn.XLOOKUP(H673,tblDepartment[Department],tblDepartment[Annual_Budget_INR],"")</f>
        <v>18000000</v>
      </c>
      <c r="AA673" t="str">
        <f>_xlfn.XLOOKUP(H673,tblDepartment[Department],tblDepartment[Monthly_Target],"")</f>
        <v>&lt;30 Days Hiring Cycle</v>
      </c>
      <c r="AB673">
        <f>_xlfn.XLOOKUP(H673,tblDepartment[Department],tblDepartment[Average_Salary_INR],"")</f>
        <v>560000</v>
      </c>
      <c r="AC673" t="str">
        <f>_xlfn.XLOOKUP(H673,tblDepartment[Department],tblDepartment[Priority_Level],"")</f>
        <v>Medium</v>
      </c>
      <c r="AD673" t="str">
        <f>_xlfn.XLOOKUP(H673,tblDepartment[Department],tblDepartment[Key_KPI],"")</f>
        <v>Hiring &amp; Retention</v>
      </c>
      <c r="AE673">
        <f>_xlfn.XLOOKUP(tblMaster[[#This Row],[Shift]],tblShift[Shift_Name],tblShift[Login_Time],"")</f>
        <v>0.41666666666666669</v>
      </c>
      <c r="AF673">
        <f>_xlfn.XLOOKUP(tblMaster[[#This Row],[Shift]],tblShift[Shift_Name],tblShift[Logout_Time]," ")</f>
        <v>0.79166666666666663</v>
      </c>
      <c r="AG673">
        <f>_xlfn.XLOOKUP(tblMaster[[#This Row],[Shift]],tblShift[Shift_Name],tblShift[Standard_Working_Hours],"")</f>
        <v>8</v>
      </c>
      <c r="AH673" t="str">
        <f>_xlfn.XLOOKUP(tblMaster[[#This Row],[Attendance_Date]],tblHoliday[Holiday_Date],tblHoliday[Holiday_Name],"Working Day")</f>
        <v>Working Day</v>
      </c>
      <c r="AI673" t="str">
        <f>_xlfn.XLOOKUP(tblMaster[[#This Row],[Attendance_Date]],tblHoliday[Holiday_Date],tblHoliday[Holiday_Type],"Working Day ")</f>
        <v xml:space="preserve">Working Day </v>
      </c>
    </row>
    <row r="674" spans="1:35" hidden="1" x14ac:dyDescent="0.3">
      <c r="A674" t="s">
        <v>863</v>
      </c>
      <c r="B674" s="3">
        <v>45796</v>
      </c>
      <c r="C674" t="s">
        <v>57</v>
      </c>
      <c r="D674" t="s">
        <v>24</v>
      </c>
      <c r="E674" t="s">
        <v>109</v>
      </c>
      <c r="F674" t="s">
        <v>166</v>
      </c>
      <c r="G674" t="s">
        <v>167</v>
      </c>
      <c r="H674" t="s">
        <v>41</v>
      </c>
      <c r="I674" t="s">
        <v>42</v>
      </c>
      <c r="J674" t="s">
        <v>100</v>
      </c>
      <c r="K674" t="s">
        <v>81</v>
      </c>
      <c r="L674" s="2">
        <v>0.91666666666666663</v>
      </c>
      <c r="M674" s="2">
        <v>0.29166666666666669</v>
      </c>
      <c r="N674">
        <v>9</v>
      </c>
      <c r="O674">
        <v>1</v>
      </c>
      <c r="P674" t="s">
        <v>32</v>
      </c>
      <c r="R674">
        <v>5</v>
      </c>
      <c r="S674" t="s">
        <v>67</v>
      </c>
      <c r="T674" t="s">
        <v>46</v>
      </c>
      <c r="U674" t="s">
        <v>47</v>
      </c>
      <c r="V674" t="s">
        <v>60</v>
      </c>
      <c r="W674">
        <f>_xlfn.XLOOKUP(F674,tblEmployee[Employee_ID],tblEmployee[Age],"Not Found")</f>
        <v>37</v>
      </c>
      <c r="X674" t="str">
        <f>_xlfn.XLOOKUP(F674,tblEmployee[Employee_ID],tblEmployee[Gender],"Not Found")</f>
        <v>Male</v>
      </c>
      <c r="Y674">
        <f>_xlfn.XLOOKUP(F674,tblEmployee[Employee_ID],tblEmployee[Joining_Date],"")</f>
        <v>45214</v>
      </c>
      <c r="Z674">
        <f>_xlfn.XLOOKUP(H674,tblDepartment[Department],tblDepartment[Annual_Budget_INR],"")</f>
        <v>34000000</v>
      </c>
      <c r="AA674" t="str">
        <f>_xlfn.XLOOKUP(H674,tblDepartment[Department],tblDepartment[Monthly_Target],"")</f>
        <v>95% Process Efficiency</v>
      </c>
      <c r="AB674">
        <f>_xlfn.XLOOKUP(H674,tblDepartment[Department],tblDepartment[Average_Salary_INR],"")</f>
        <v>610000</v>
      </c>
      <c r="AC674" t="str">
        <f>_xlfn.XLOOKUP(H674,tblDepartment[Department],tblDepartment[Priority_Level],"")</f>
        <v>High</v>
      </c>
      <c r="AD674" t="str">
        <f>_xlfn.XLOOKUP(H674,tblDepartment[Department],tblDepartment[Key_KPI],"")</f>
        <v>Operational Efficiency</v>
      </c>
      <c r="AE674">
        <f>_xlfn.XLOOKUP(tblMaster[[#This Row],[Shift]],tblShift[Shift_Name],tblShift[Login_Time],"")</f>
        <v>0.91666666666666663</v>
      </c>
      <c r="AF674">
        <f>_xlfn.XLOOKUP(tblMaster[[#This Row],[Shift]],tblShift[Shift_Name],tblShift[Logout_Time]," ")</f>
        <v>0.29166666666666669</v>
      </c>
      <c r="AG674">
        <f>_xlfn.XLOOKUP(tblMaster[[#This Row],[Shift]],tblShift[Shift_Name],tblShift[Standard_Working_Hours],"")</f>
        <v>8</v>
      </c>
      <c r="AH674" t="str">
        <f>_xlfn.XLOOKUP(tblMaster[[#This Row],[Attendance_Date]],tblHoliday[Holiday_Date],tblHoliday[Holiday_Name],"Working Day")</f>
        <v>Working Day</v>
      </c>
      <c r="AI674" t="str">
        <f>_xlfn.XLOOKUP(tblMaster[[#This Row],[Attendance_Date]],tblHoliday[Holiday_Date],tblHoliday[Holiday_Type],"Working Day ")</f>
        <v xml:space="preserve">Working Day </v>
      </c>
    </row>
    <row r="675" spans="1:35" x14ac:dyDescent="0.3">
      <c r="A675" t="s">
        <v>864</v>
      </c>
      <c r="B675" s="3">
        <v>45755</v>
      </c>
      <c r="C675" t="s">
        <v>37</v>
      </c>
      <c r="D675" t="s">
        <v>24</v>
      </c>
      <c r="E675" t="s">
        <v>87</v>
      </c>
      <c r="F675" t="s">
        <v>243</v>
      </c>
      <c r="G675" t="s">
        <v>244</v>
      </c>
      <c r="H675" t="s">
        <v>90</v>
      </c>
      <c r="I675" t="s">
        <v>91</v>
      </c>
      <c r="J675" t="s">
        <v>30</v>
      </c>
      <c r="K675" t="s">
        <v>44</v>
      </c>
      <c r="L675" s="2">
        <v>0.375</v>
      </c>
      <c r="M675" s="2">
        <v>0.75</v>
      </c>
      <c r="N675">
        <v>8</v>
      </c>
      <c r="O675">
        <v>0</v>
      </c>
      <c r="P675" t="s">
        <v>32</v>
      </c>
      <c r="S675" t="s">
        <v>45</v>
      </c>
      <c r="T675" t="s">
        <v>93</v>
      </c>
      <c r="U675" t="str">
        <f>_xlfn.XLOOKUP(tblMaster[[#This Row],[Employee_ID]],tblEmployee[Employee_ID],tblEmployee[Work_Mode]," ")</f>
        <v>Remote</v>
      </c>
      <c r="V675" t="s">
        <v>69</v>
      </c>
      <c r="W675">
        <f>_xlfn.XLOOKUP(F675,tblEmployee[Employee_ID],tblEmployee[Age],"Not Found")</f>
        <v>30</v>
      </c>
      <c r="X675" t="str">
        <f>_xlfn.XLOOKUP(F675,tblEmployee[Employee_ID],tblEmployee[Gender],"Not Found")</f>
        <v>Female</v>
      </c>
      <c r="Y675">
        <f>_xlfn.XLOOKUP(F675,tblEmployee[Employee_ID],tblEmployee[Joining_Date],"")</f>
        <v>44089</v>
      </c>
      <c r="Z675">
        <f>_xlfn.XLOOKUP(H675,tblDepartment[Department],tblDepartment[Annual_Budget_INR],"")</f>
        <v>18000000</v>
      </c>
      <c r="AA675" t="str">
        <f>_xlfn.XLOOKUP(H675,tblDepartment[Department],tblDepartment[Monthly_Target],"")</f>
        <v>&lt;30 Days Hiring Cycle</v>
      </c>
      <c r="AB675">
        <f>_xlfn.XLOOKUP(H675,tblDepartment[Department],tblDepartment[Average_Salary_INR],"")</f>
        <v>560000</v>
      </c>
      <c r="AC675" t="str">
        <f>_xlfn.XLOOKUP(H675,tblDepartment[Department],tblDepartment[Priority_Level],"")</f>
        <v>Medium</v>
      </c>
      <c r="AD675" t="str">
        <f>_xlfn.XLOOKUP(H675,tblDepartment[Department],tblDepartment[Key_KPI],"")</f>
        <v>Hiring &amp; Retention</v>
      </c>
      <c r="AE675">
        <f>_xlfn.XLOOKUP(tblMaster[[#This Row],[Shift]],tblShift[Shift_Name],tblShift[Login_Time],"")</f>
        <v>0.41666666666666669</v>
      </c>
      <c r="AF675">
        <f>_xlfn.XLOOKUP(tblMaster[[#This Row],[Shift]],tblShift[Shift_Name],tblShift[Logout_Time]," ")</f>
        <v>0.79166666666666663</v>
      </c>
      <c r="AG675">
        <f>_xlfn.XLOOKUP(tblMaster[[#This Row],[Shift]],tblShift[Shift_Name],tblShift[Standard_Working_Hours],"")</f>
        <v>8</v>
      </c>
      <c r="AH675" t="str">
        <f>_xlfn.XLOOKUP(tblMaster[[#This Row],[Attendance_Date]],tblHoliday[Holiday_Date],tblHoliday[Holiday_Name],"Working Day")</f>
        <v>Working Day</v>
      </c>
      <c r="AI675" t="str">
        <f>_xlfn.XLOOKUP(tblMaster[[#This Row],[Attendance_Date]],tblHoliday[Holiday_Date],tblHoliday[Holiday_Type],"Working Day ")</f>
        <v xml:space="preserve">Working Day </v>
      </c>
    </row>
    <row r="676" spans="1:35" x14ac:dyDescent="0.3">
      <c r="A676" t="s">
        <v>865</v>
      </c>
      <c r="B676" s="3">
        <v>45747</v>
      </c>
      <c r="C676" t="s">
        <v>71</v>
      </c>
      <c r="D676" t="s">
        <v>50</v>
      </c>
      <c r="E676" t="s">
        <v>109</v>
      </c>
      <c r="F676" t="s">
        <v>159</v>
      </c>
      <c r="G676" t="s">
        <v>160</v>
      </c>
      <c r="H676" t="s">
        <v>64</v>
      </c>
      <c r="I676" t="s">
        <v>65</v>
      </c>
      <c r="J676" t="s">
        <v>100</v>
      </c>
      <c r="K676" t="s">
        <v>31</v>
      </c>
      <c r="L676" s="2">
        <v>0.375</v>
      </c>
      <c r="M676" s="2">
        <v>0.75</v>
      </c>
      <c r="N676">
        <v>9</v>
      </c>
      <c r="O676">
        <v>1</v>
      </c>
      <c r="P676" t="s">
        <v>32</v>
      </c>
      <c r="S676" t="s">
        <v>92</v>
      </c>
      <c r="T676" t="s">
        <v>68</v>
      </c>
      <c r="U676" t="str">
        <f>_xlfn.XLOOKUP(tblMaster[[#This Row],[Employee_ID]],tblEmployee[Employee_ID],tblEmployee[Work_Mode]," ")</f>
        <v>Remote</v>
      </c>
      <c r="V676" t="s">
        <v>60</v>
      </c>
      <c r="W676">
        <f>_xlfn.XLOOKUP(F676,tblEmployee[Employee_ID],tblEmployee[Age],"Not Found")</f>
        <v>30</v>
      </c>
      <c r="X676" t="str">
        <f>_xlfn.XLOOKUP(F676,tblEmployee[Employee_ID],tblEmployee[Gender],"Not Found")</f>
        <v>Female</v>
      </c>
      <c r="Y676">
        <f>_xlfn.XLOOKUP(F676,tblEmployee[Employee_ID],tblEmployee[Joining_Date],"")</f>
        <v>43723</v>
      </c>
      <c r="Z676">
        <f>_xlfn.XLOOKUP(H676,tblDepartment[Department],tblDepartment[Annual_Budget_INR],"")</f>
        <v>85000000</v>
      </c>
      <c r="AA676" t="str">
        <f>_xlfn.XLOOKUP(H676,tblDepartment[Department],tblDepartment[Monthly_Target],"")</f>
        <v>99.5% System Uptime</v>
      </c>
      <c r="AB676">
        <f>_xlfn.XLOOKUP(H676,tblDepartment[Department],tblDepartment[Average_Salary_INR],"")</f>
        <v>720000</v>
      </c>
      <c r="AC676" t="str">
        <f>_xlfn.XLOOKUP(H676,tblDepartment[Department],tblDepartment[Priority_Level],"")</f>
        <v>High</v>
      </c>
      <c r="AD676" t="str">
        <f>_xlfn.XLOOKUP(H676,tblDepartment[Department],tblDepartment[Key_KPI],"")</f>
        <v>Project Delivery</v>
      </c>
      <c r="AE676">
        <f>_xlfn.XLOOKUP(tblMaster[[#This Row],[Shift]],tblShift[Shift_Name],tblShift[Login_Time],"")</f>
        <v>0.25</v>
      </c>
      <c r="AF676">
        <f>_xlfn.XLOOKUP(tblMaster[[#This Row],[Shift]],tblShift[Shift_Name],tblShift[Logout_Time]," ")</f>
        <v>0.625</v>
      </c>
      <c r="AG676">
        <f>_xlfn.XLOOKUP(tblMaster[[#This Row],[Shift]],tblShift[Shift_Name],tblShift[Standard_Working_Hours],"")</f>
        <v>8</v>
      </c>
      <c r="AH676" t="str">
        <f>_xlfn.XLOOKUP(tblMaster[[#This Row],[Attendance_Date]],tblHoliday[Holiday_Date],tblHoliday[Holiday_Name],"Working Day")</f>
        <v>Working Day</v>
      </c>
      <c r="AI676" t="str">
        <f>_xlfn.XLOOKUP(tblMaster[[#This Row],[Attendance_Date]],tblHoliday[Holiday_Date],tblHoliday[Holiday_Type],"Working Day ")</f>
        <v xml:space="preserve">Working Day </v>
      </c>
    </row>
    <row r="677" spans="1:35" hidden="1" x14ac:dyDescent="0.3">
      <c r="A677" t="s">
        <v>866</v>
      </c>
      <c r="B677" s="3">
        <v>45659</v>
      </c>
      <c r="C677" t="s">
        <v>49</v>
      </c>
      <c r="D677" t="s">
        <v>50</v>
      </c>
      <c r="E677" t="s">
        <v>25</v>
      </c>
      <c r="F677" t="s">
        <v>201</v>
      </c>
      <c r="G677" t="s">
        <v>202</v>
      </c>
      <c r="H677" t="s">
        <v>112</v>
      </c>
      <c r="I677" t="s">
        <v>113</v>
      </c>
      <c r="J677" t="s">
        <v>66</v>
      </c>
      <c r="K677" t="s">
        <v>44</v>
      </c>
      <c r="L677" s="2">
        <v>0.375</v>
      </c>
      <c r="M677" s="2">
        <v>0.75</v>
      </c>
      <c r="N677">
        <v>8</v>
      </c>
      <c r="O677">
        <v>0</v>
      </c>
      <c r="P677" t="s">
        <v>32</v>
      </c>
      <c r="S677" t="s">
        <v>92</v>
      </c>
      <c r="T677" t="s">
        <v>114</v>
      </c>
      <c r="U677" t="s">
        <v>47</v>
      </c>
      <c r="W677">
        <f>_xlfn.XLOOKUP(F677,tblEmployee[Employee_ID],tblEmployee[Age],"Not Found")</f>
        <v>35</v>
      </c>
      <c r="X677" t="str">
        <f>_xlfn.XLOOKUP(F677,tblEmployee[Employee_ID],tblEmployee[Gender],"Not Found")</f>
        <v>Male</v>
      </c>
      <c r="Y677">
        <f>_xlfn.XLOOKUP(F677,tblEmployee[Employee_ID],tblEmployee[Joining_Date],"")</f>
        <v>44423</v>
      </c>
      <c r="Z677">
        <f>_xlfn.XLOOKUP(H677,tblDepartment[Department],tblDepartment[Annual_Budget_INR],"")</f>
        <v>42000000</v>
      </c>
      <c r="AA677" t="str">
        <f>_xlfn.XLOOKUP(H677,tblDepartment[Department],tblDepartment[Monthly_Target],"")</f>
        <v>₹2.5 Cr Monthly Sales</v>
      </c>
      <c r="AB677">
        <f>_xlfn.XLOOKUP(H677,tblDepartment[Department],tblDepartment[Average_Salary_INR],"")</f>
        <v>680000</v>
      </c>
      <c r="AC677" t="str">
        <f>_xlfn.XLOOKUP(H677,tblDepartment[Department],tblDepartment[Priority_Level],"")</f>
        <v>High</v>
      </c>
      <c r="AD677" t="str">
        <f>_xlfn.XLOOKUP(H677,tblDepartment[Department],tblDepartment[Key_KPI],"")</f>
        <v>Revenue Achievement</v>
      </c>
      <c r="AE677">
        <f>_xlfn.XLOOKUP(tblMaster[[#This Row],[Shift]],tblShift[Shift_Name],tblShift[Login_Time],"")</f>
        <v>0.41666666666666669</v>
      </c>
      <c r="AF677">
        <f>_xlfn.XLOOKUP(tblMaster[[#This Row],[Shift]],tblShift[Shift_Name],tblShift[Logout_Time]," ")</f>
        <v>0.79166666666666663</v>
      </c>
      <c r="AG677">
        <f>_xlfn.XLOOKUP(tblMaster[[#This Row],[Shift]],tblShift[Shift_Name],tblShift[Standard_Working_Hours],"")</f>
        <v>8</v>
      </c>
      <c r="AH677" t="str">
        <f>_xlfn.XLOOKUP(tblMaster[[#This Row],[Attendance_Date]],tblHoliday[Holiday_Date],tblHoliday[Holiday_Name],"Working Day")</f>
        <v>Working Day</v>
      </c>
      <c r="AI677" t="str">
        <f>_xlfn.XLOOKUP(tblMaster[[#This Row],[Attendance_Date]],tblHoliday[Holiday_Date],tblHoliday[Holiday_Type],"Working Day ")</f>
        <v xml:space="preserve">Working Day </v>
      </c>
    </row>
    <row r="678" spans="1:35" hidden="1" x14ac:dyDescent="0.3">
      <c r="A678" t="s">
        <v>867</v>
      </c>
      <c r="B678" s="3">
        <v>45754</v>
      </c>
      <c r="C678" t="s">
        <v>37</v>
      </c>
      <c r="D678" t="s">
        <v>24</v>
      </c>
      <c r="E678" t="s">
        <v>109</v>
      </c>
      <c r="F678" t="s">
        <v>207</v>
      </c>
      <c r="G678" t="s">
        <v>208</v>
      </c>
      <c r="H678" t="s">
        <v>64</v>
      </c>
      <c r="I678" t="s">
        <v>65</v>
      </c>
      <c r="J678" t="s">
        <v>30</v>
      </c>
      <c r="K678" t="s">
        <v>44</v>
      </c>
      <c r="M678" s="2">
        <v>0.75</v>
      </c>
      <c r="N678">
        <v>8.5</v>
      </c>
      <c r="O678">
        <v>0.5</v>
      </c>
      <c r="P678" t="s">
        <v>32</v>
      </c>
      <c r="R678">
        <v>5</v>
      </c>
      <c r="S678" t="s">
        <v>67</v>
      </c>
      <c r="T678" t="s">
        <v>68</v>
      </c>
      <c r="U678" t="s">
        <v>55</v>
      </c>
      <c r="V678" t="s">
        <v>35</v>
      </c>
      <c r="W678">
        <f>_xlfn.XLOOKUP(F678,tblEmployee[Employee_ID],tblEmployee[Age],"Not Found")</f>
        <v>33</v>
      </c>
      <c r="X678" t="str">
        <f>_xlfn.XLOOKUP(F678,tblEmployee[Employee_ID],tblEmployee[Gender],"Not Found")</f>
        <v>Male</v>
      </c>
      <c r="Y678">
        <f>_xlfn.XLOOKUP(F678,tblEmployee[Employee_ID],tblEmployee[Joining_Date],"")</f>
        <v>43631</v>
      </c>
      <c r="Z678">
        <f>_xlfn.XLOOKUP(H678,tblDepartment[Department],tblDepartment[Annual_Budget_INR],"")</f>
        <v>85000000</v>
      </c>
      <c r="AA678" t="str">
        <f>_xlfn.XLOOKUP(H678,tblDepartment[Department],tblDepartment[Monthly_Target],"")</f>
        <v>99.5% System Uptime</v>
      </c>
      <c r="AB678">
        <f>_xlfn.XLOOKUP(H678,tblDepartment[Department],tblDepartment[Average_Salary_INR],"")</f>
        <v>720000</v>
      </c>
      <c r="AC678" t="str">
        <f>_xlfn.XLOOKUP(H678,tblDepartment[Department],tblDepartment[Priority_Level],"")</f>
        <v>High</v>
      </c>
      <c r="AD678" t="str">
        <f>_xlfn.XLOOKUP(H678,tblDepartment[Department],tblDepartment[Key_KPI],"")</f>
        <v>Project Delivery</v>
      </c>
      <c r="AE678">
        <f>_xlfn.XLOOKUP(tblMaster[[#This Row],[Shift]],tblShift[Shift_Name],tblShift[Login_Time],"")</f>
        <v>0.41666666666666669</v>
      </c>
      <c r="AF678">
        <f>_xlfn.XLOOKUP(tblMaster[[#This Row],[Shift]],tblShift[Shift_Name],tblShift[Logout_Time]," ")</f>
        <v>0.79166666666666663</v>
      </c>
      <c r="AG678">
        <f>_xlfn.XLOOKUP(tblMaster[[#This Row],[Shift]],tblShift[Shift_Name],tblShift[Standard_Working_Hours],"")</f>
        <v>8</v>
      </c>
      <c r="AH678" t="str">
        <f>_xlfn.XLOOKUP(tblMaster[[#This Row],[Attendance_Date]],tblHoliday[Holiday_Date],tblHoliday[Holiday_Name],"Working Day")</f>
        <v>Working Day</v>
      </c>
      <c r="AI678" t="str">
        <f>_xlfn.XLOOKUP(tblMaster[[#This Row],[Attendance_Date]],tblHoliday[Holiday_Date],tblHoliday[Holiday_Type],"Working Day ")</f>
        <v xml:space="preserve">Working Day </v>
      </c>
    </row>
    <row r="679" spans="1:35" x14ac:dyDescent="0.3">
      <c r="A679" t="s">
        <v>868</v>
      </c>
      <c r="B679" s="1">
        <v>45743</v>
      </c>
      <c r="C679" t="s">
        <v>71</v>
      </c>
      <c r="D679" t="s">
        <v>50</v>
      </c>
      <c r="E679" t="s">
        <v>25</v>
      </c>
      <c r="F679" t="s">
        <v>354</v>
      </c>
      <c r="G679" t="s">
        <v>355</v>
      </c>
      <c r="H679" t="s">
        <v>28</v>
      </c>
      <c r="I679" t="s">
        <v>29</v>
      </c>
      <c r="J679" t="s">
        <v>100</v>
      </c>
      <c r="K679" t="s">
        <v>54</v>
      </c>
      <c r="L679" s="2">
        <v>0.375</v>
      </c>
      <c r="M679" s="2">
        <v>0.75</v>
      </c>
      <c r="N679">
        <v>8</v>
      </c>
      <c r="O679">
        <v>0</v>
      </c>
      <c r="P679" t="s">
        <v>32</v>
      </c>
      <c r="R679">
        <v>4</v>
      </c>
      <c r="S679" t="s">
        <v>67</v>
      </c>
      <c r="T679" t="s">
        <v>34</v>
      </c>
      <c r="U679" t="str">
        <f>_xlfn.XLOOKUP(tblMaster[[#This Row],[Employee_ID]],tblEmployee[Employee_ID],tblEmployee[Work_Mode]," ")</f>
        <v>Hybrid</v>
      </c>
      <c r="V679" t="s">
        <v>35</v>
      </c>
      <c r="W679">
        <f>_xlfn.XLOOKUP(F679,tblEmployee[Employee_ID],tblEmployee[Age],"Not Found")</f>
        <v>32</v>
      </c>
      <c r="X679" t="str">
        <f>_xlfn.XLOOKUP(F679,tblEmployee[Employee_ID],tblEmployee[Gender],"Not Found")</f>
        <v>Female</v>
      </c>
      <c r="Y679">
        <f>_xlfn.XLOOKUP(F679,tblEmployee[Employee_ID],tblEmployee[Joining_Date],"")</f>
        <v>43235</v>
      </c>
      <c r="Z679">
        <f>_xlfn.XLOOKUP(H679,tblDepartment[Department],tblDepartment[Annual_Budget_INR],"")</f>
        <v>24000000</v>
      </c>
      <c r="AA679" t="str">
        <f>_xlfn.XLOOKUP(H679,tblDepartment[Department],tblDepartment[Monthly_Target],"")</f>
        <v>90% Customer Satisfaction</v>
      </c>
      <c r="AB679">
        <f>_xlfn.XLOOKUP(H679,tblDepartment[Department],tblDepartment[Average_Salary_INR],"")</f>
        <v>520000</v>
      </c>
      <c r="AC679" t="str">
        <f>_xlfn.XLOOKUP(H679,tblDepartment[Department],tblDepartment[Priority_Level],"")</f>
        <v>High</v>
      </c>
      <c r="AD679" t="str">
        <f>_xlfn.XLOOKUP(H679,tblDepartment[Department],tblDepartment[Key_KPI],"")</f>
        <v>Customer Satisfaction</v>
      </c>
      <c r="AE679">
        <f>_xlfn.XLOOKUP(tblMaster[[#This Row],[Shift]],tblShift[Shift_Name],tblShift[Login_Time],"")</f>
        <v>0.58333333333333337</v>
      </c>
      <c r="AF679">
        <f>_xlfn.XLOOKUP(tblMaster[[#This Row],[Shift]],tblShift[Shift_Name],tblShift[Logout_Time]," ")</f>
        <v>0.95833333333333337</v>
      </c>
      <c r="AG679">
        <f>_xlfn.XLOOKUP(tblMaster[[#This Row],[Shift]],tblShift[Shift_Name],tblShift[Standard_Working_Hours],"")</f>
        <v>8</v>
      </c>
      <c r="AH679" t="str">
        <f>_xlfn.XLOOKUP(tblMaster[[#This Row],[Attendance_Date]],tblHoliday[Holiday_Date],tblHoliday[Holiday_Name],"Working Day")</f>
        <v>Working Day</v>
      </c>
      <c r="AI679" t="str">
        <f>_xlfn.XLOOKUP(tblMaster[[#This Row],[Attendance_Date]],tblHoliday[Holiday_Date],tblHoliday[Holiday_Type],"Working Day ")</f>
        <v xml:space="preserve">Working Day </v>
      </c>
    </row>
    <row r="680" spans="1:35" hidden="1" x14ac:dyDescent="0.3">
      <c r="A680" t="s">
        <v>869</v>
      </c>
      <c r="B680" s="1">
        <v>45757</v>
      </c>
      <c r="C680" t="s">
        <v>37</v>
      </c>
      <c r="D680" t="s">
        <v>24</v>
      </c>
      <c r="E680" t="s">
        <v>25</v>
      </c>
      <c r="F680" t="s">
        <v>204</v>
      </c>
      <c r="G680" t="s">
        <v>205</v>
      </c>
      <c r="H680" t="s">
        <v>90</v>
      </c>
      <c r="I680" t="s">
        <v>91</v>
      </c>
      <c r="J680" t="s">
        <v>74</v>
      </c>
      <c r="K680" t="s">
        <v>75</v>
      </c>
      <c r="L680" s="2">
        <v>0.375</v>
      </c>
      <c r="M680" s="2">
        <v>0.75</v>
      </c>
      <c r="N680">
        <v>8</v>
      </c>
      <c r="O680">
        <v>0</v>
      </c>
      <c r="P680" t="s">
        <v>32</v>
      </c>
      <c r="R680">
        <v>4</v>
      </c>
      <c r="S680" t="s">
        <v>67</v>
      </c>
      <c r="T680" t="s">
        <v>93</v>
      </c>
      <c r="U680" t="s">
        <v>47</v>
      </c>
      <c r="V680" t="s">
        <v>60</v>
      </c>
      <c r="W680">
        <f>_xlfn.XLOOKUP(F680,tblEmployee[Employee_ID],tblEmployee[Age],"Not Found")</f>
        <v>24</v>
      </c>
      <c r="X680" t="str">
        <f>_xlfn.XLOOKUP(F680,tblEmployee[Employee_ID],tblEmployee[Gender],"Not Found")</f>
        <v>Female</v>
      </c>
      <c r="Y680">
        <f>_xlfn.XLOOKUP(F680,tblEmployee[Employee_ID],tblEmployee[Joining_Date],"")</f>
        <v>43905</v>
      </c>
      <c r="Z680">
        <f>_xlfn.XLOOKUP(H680,tblDepartment[Department],tblDepartment[Annual_Budget_INR],"")</f>
        <v>18000000</v>
      </c>
      <c r="AA680" t="str">
        <f>_xlfn.XLOOKUP(H680,tblDepartment[Department],tblDepartment[Monthly_Target],"")</f>
        <v>&lt;30 Days Hiring Cycle</v>
      </c>
      <c r="AB680">
        <f>_xlfn.XLOOKUP(H680,tblDepartment[Department],tblDepartment[Average_Salary_INR],"")</f>
        <v>560000</v>
      </c>
      <c r="AC680" t="str">
        <f>_xlfn.XLOOKUP(H680,tblDepartment[Department],tblDepartment[Priority_Level],"")</f>
        <v>Medium</v>
      </c>
      <c r="AD680" t="str">
        <f>_xlfn.XLOOKUP(H680,tblDepartment[Department],tblDepartment[Key_KPI],"")</f>
        <v>Hiring &amp; Retention</v>
      </c>
      <c r="AE680">
        <f>_xlfn.XLOOKUP(tblMaster[[#This Row],[Shift]],tblShift[Shift_Name],tblShift[Login_Time],"")</f>
        <v>0.375</v>
      </c>
      <c r="AF680">
        <f>_xlfn.XLOOKUP(tblMaster[[#This Row],[Shift]],tblShift[Shift_Name],tblShift[Logout_Time]," ")</f>
        <v>0.75</v>
      </c>
      <c r="AG680">
        <f>_xlfn.XLOOKUP(tblMaster[[#This Row],[Shift]],tblShift[Shift_Name],tblShift[Standard_Working_Hours],"")</f>
        <v>8</v>
      </c>
      <c r="AH680" t="str">
        <f>_xlfn.XLOOKUP(tblMaster[[#This Row],[Attendance_Date]],tblHoliday[Holiday_Date],tblHoliday[Holiday_Name],"Working Day")</f>
        <v>Working Day</v>
      </c>
      <c r="AI680" t="str">
        <f>_xlfn.XLOOKUP(tblMaster[[#This Row],[Attendance_Date]],tblHoliday[Holiday_Date],tblHoliday[Holiday_Type],"Working Day ")</f>
        <v xml:space="preserve">Working Day </v>
      </c>
    </row>
    <row r="681" spans="1:35" hidden="1" x14ac:dyDescent="0.3">
      <c r="A681" t="s">
        <v>870</v>
      </c>
      <c r="B681" s="3">
        <v>45745</v>
      </c>
      <c r="C681" t="s">
        <v>71</v>
      </c>
      <c r="D681" t="s">
        <v>50</v>
      </c>
      <c r="E681" t="s">
        <v>38</v>
      </c>
      <c r="F681" t="s">
        <v>170</v>
      </c>
      <c r="G681" t="s">
        <v>171</v>
      </c>
      <c r="H681" t="s">
        <v>64</v>
      </c>
      <c r="I681" t="s">
        <v>65</v>
      </c>
      <c r="J681" t="s">
        <v>43</v>
      </c>
      <c r="K681" t="s">
        <v>81</v>
      </c>
      <c r="L681" s="2">
        <v>0.91666666666666663</v>
      </c>
      <c r="M681" s="2">
        <v>0.29166666666666669</v>
      </c>
      <c r="N681">
        <v>8.5</v>
      </c>
      <c r="O681">
        <v>0.5</v>
      </c>
      <c r="P681" t="s">
        <v>32</v>
      </c>
      <c r="R681">
        <v>5</v>
      </c>
      <c r="S681" t="s">
        <v>67</v>
      </c>
      <c r="T681" t="s">
        <v>68</v>
      </c>
      <c r="U681" t="s">
        <v>47</v>
      </c>
      <c r="W681">
        <f>_xlfn.XLOOKUP(F681,tblEmployee[Employee_ID],tblEmployee[Age],"Not Found")</f>
        <v>36</v>
      </c>
      <c r="X681" t="str">
        <f>_xlfn.XLOOKUP(F681,tblEmployee[Employee_ID],tblEmployee[Gender],"Not Found")</f>
        <v>Female</v>
      </c>
      <c r="Y681">
        <f>_xlfn.XLOOKUP(F681,tblEmployee[Employee_ID],tblEmployee[Joining_Date],"")</f>
        <v>43539</v>
      </c>
      <c r="Z681">
        <f>_xlfn.XLOOKUP(H681,tblDepartment[Department],tblDepartment[Annual_Budget_INR],"")</f>
        <v>85000000</v>
      </c>
      <c r="AA681" t="str">
        <f>_xlfn.XLOOKUP(H681,tblDepartment[Department],tblDepartment[Monthly_Target],"")</f>
        <v>99.5% System Uptime</v>
      </c>
      <c r="AB681">
        <f>_xlfn.XLOOKUP(H681,tblDepartment[Department],tblDepartment[Average_Salary_INR],"")</f>
        <v>720000</v>
      </c>
      <c r="AC681" t="str">
        <f>_xlfn.XLOOKUP(H681,tblDepartment[Department],tblDepartment[Priority_Level],"")</f>
        <v>High</v>
      </c>
      <c r="AD681" t="str">
        <f>_xlfn.XLOOKUP(H681,tblDepartment[Department],tblDepartment[Key_KPI],"")</f>
        <v>Project Delivery</v>
      </c>
      <c r="AE681">
        <f>_xlfn.XLOOKUP(tblMaster[[#This Row],[Shift]],tblShift[Shift_Name],tblShift[Login_Time],"")</f>
        <v>0.91666666666666663</v>
      </c>
      <c r="AF681">
        <f>_xlfn.XLOOKUP(tblMaster[[#This Row],[Shift]],tblShift[Shift_Name],tblShift[Logout_Time]," ")</f>
        <v>0.29166666666666669</v>
      </c>
      <c r="AG681">
        <f>_xlfn.XLOOKUP(tblMaster[[#This Row],[Shift]],tblShift[Shift_Name],tblShift[Standard_Working_Hours],"")</f>
        <v>8</v>
      </c>
      <c r="AH681" t="str">
        <f>_xlfn.XLOOKUP(tblMaster[[#This Row],[Attendance_Date]],tblHoliday[Holiday_Date],tblHoliday[Holiday_Name],"Working Day")</f>
        <v>Working Day</v>
      </c>
      <c r="AI681" t="str">
        <f>_xlfn.XLOOKUP(tblMaster[[#This Row],[Attendance_Date]],tblHoliday[Holiday_Date],tblHoliday[Holiday_Type],"Working Day ")</f>
        <v xml:space="preserve">Working Day </v>
      </c>
    </row>
    <row r="682" spans="1:35" hidden="1" x14ac:dyDescent="0.3">
      <c r="A682" t="s">
        <v>871</v>
      </c>
      <c r="B682" s="1">
        <v>45658</v>
      </c>
      <c r="C682" t="s">
        <v>49</v>
      </c>
      <c r="D682" t="s">
        <v>50</v>
      </c>
      <c r="E682" t="s">
        <v>51</v>
      </c>
      <c r="F682" t="s">
        <v>104</v>
      </c>
      <c r="G682" t="s">
        <v>105</v>
      </c>
      <c r="H682" t="s">
        <v>28</v>
      </c>
      <c r="I682" t="s">
        <v>29</v>
      </c>
      <c r="J682" t="s">
        <v>30</v>
      </c>
      <c r="K682" t="s">
        <v>44</v>
      </c>
      <c r="L682" s="2">
        <v>0.375</v>
      </c>
      <c r="M682" s="2">
        <v>0.75</v>
      </c>
      <c r="N682">
        <v>8</v>
      </c>
      <c r="O682">
        <v>0</v>
      </c>
      <c r="P682" t="s">
        <v>32</v>
      </c>
      <c r="R682">
        <v>4</v>
      </c>
      <c r="S682" t="s">
        <v>33</v>
      </c>
      <c r="T682" t="s">
        <v>34</v>
      </c>
      <c r="U682" t="s">
        <v>55</v>
      </c>
      <c r="V682" t="s">
        <v>60</v>
      </c>
      <c r="W682">
        <f>_xlfn.XLOOKUP(F682,tblEmployee[Employee_ID],tblEmployee[Age],"Not Found")</f>
        <v>35</v>
      </c>
      <c r="X682" t="str">
        <f>_xlfn.XLOOKUP(F682,tblEmployee[Employee_ID],tblEmployee[Gender],"Not Found")</f>
        <v>Male</v>
      </c>
      <c r="Y682">
        <f>_xlfn.XLOOKUP(F682,tblEmployee[Employee_ID],tblEmployee[Joining_Date],"")</f>
        <v>43146</v>
      </c>
      <c r="Z682">
        <f>_xlfn.XLOOKUP(H682,tblDepartment[Department],tblDepartment[Annual_Budget_INR],"")</f>
        <v>24000000</v>
      </c>
      <c r="AA682" t="str">
        <f>_xlfn.XLOOKUP(H682,tblDepartment[Department],tblDepartment[Monthly_Target],"")</f>
        <v>90% Customer Satisfaction</v>
      </c>
      <c r="AB682">
        <f>_xlfn.XLOOKUP(H682,tblDepartment[Department],tblDepartment[Average_Salary_INR],"")</f>
        <v>520000</v>
      </c>
      <c r="AC682" t="str">
        <f>_xlfn.XLOOKUP(H682,tblDepartment[Department],tblDepartment[Priority_Level],"")</f>
        <v>High</v>
      </c>
      <c r="AD682" t="str">
        <f>_xlfn.XLOOKUP(H682,tblDepartment[Department],tblDepartment[Key_KPI],"")</f>
        <v>Customer Satisfaction</v>
      </c>
      <c r="AE682">
        <f>_xlfn.XLOOKUP(tblMaster[[#This Row],[Shift]],tblShift[Shift_Name],tblShift[Login_Time],"")</f>
        <v>0.41666666666666669</v>
      </c>
      <c r="AF682">
        <f>_xlfn.XLOOKUP(tblMaster[[#This Row],[Shift]],tblShift[Shift_Name],tblShift[Logout_Time]," ")</f>
        <v>0.79166666666666663</v>
      </c>
      <c r="AG682">
        <f>_xlfn.XLOOKUP(tblMaster[[#This Row],[Shift]],tblShift[Shift_Name],tblShift[Standard_Working_Hours],"")</f>
        <v>8</v>
      </c>
      <c r="AH682" t="str">
        <f>_xlfn.XLOOKUP(tblMaster[[#This Row],[Attendance_Date]],tblHoliday[Holiday_Date],tblHoliday[Holiday_Name],"Working Day")</f>
        <v>New Year's Day</v>
      </c>
      <c r="AI682" t="str">
        <f>_xlfn.XLOOKUP(tblMaster[[#This Row],[Attendance_Date]],tblHoliday[Holiday_Date],tblHoliday[Holiday_Type],"Working Day ")</f>
        <v>National</v>
      </c>
    </row>
    <row r="683" spans="1:35" hidden="1" x14ac:dyDescent="0.3">
      <c r="A683" t="s">
        <v>872</v>
      </c>
      <c r="B683" s="3">
        <v>45760</v>
      </c>
      <c r="C683" t="s">
        <v>37</v>
      </c>
      <c r="D683" t="s">
        <v>24</v>
      </c>
      <c r="E683" t="s">
        <v>103</v>
      </c>
      <c r="F683" t="s">
        <v>231</v>
      </c>
      <c r="G683" t="s">
        <v>232</v>
      </c>
      <c r="H683" t="s">
        <v>98</v>
      </c>
      <c r="I683" t="s">
        <v>99</v>
      </c>
      <c r="J683" t="s">
        <v>74</v>
      </c>
      <c r="K683" t="s">
        <v>31</v>
      </c>
      <c r="L683" s="2">
        <v>0.375</v>
      </c>
      <c r="M683" s="2">
        <v>0.75</v>
      </c>
      <c r="N683">
        <v>8</v>
      </c>
      <c r="O683">
        <v>0</v>
      </c>
      <c r="P683" t="s">
        <v>32</v>
      </c>
      <c r="R683">
        <v>3</v>
      </c>
      <c r="S683" t="s">
        <v>45</v>
      </c>
      <c r="T683" t="s">
        <v>101</v>
      </c>
      <c r="U683" t="s">
        <v>55</v>
      </c>
      <c r="V683" t="s">
        <v>69</v>
      </c>
      <c r="W683">
        <f>_xlfn.XLOOKUP(F683,tblEmployee[Employee_ID],tblEmployee[Age],"Not Found")</f>
        <v>31</v>
      </c>
      <c r="X683" t="str">
        <f>_xlfn.XLOOKUP(F683,tblEmployee[Employee_ID],tblEmployee[Gender],"Not Found")</f>
        <v>Male</v>
      </c>
      <c r="Y683">
        <f>_xlfn.XLOOKUP(F683,tblEmployee[Employee_ID],tblEmployee[Joining_Date],"")</f>
        <v>45397</v>
      </c>
      <c r="Z683">
        <f>_xlfn.XLOOKUP(H683,tblDepartment[Department],tblDepartment[Annual_Budget_INR],"")</f>
        <v>22000000</v>
      </c>
      <c r="AA683" t="str">
        <f>_xlfn.XLOOKUP(H683,tblDepartment[Department],tblDepartment[Monthly_Target],"")</f>
        <v>2500 Qualified Leads</v>
      </c>
      <c r="AB683">
        <f>_xlfn.XLOOKUP(H683,tblDepartment[Department],tblDepartment[Average_Salary_INR],"")</f>
        <v>590000</v>
      </c>
      <c r="AC683" t="str">
        <f>_xlfn.XLOOKUP(H683,tblDepartment[Department],tblDepartment[Priority_Level],"")</f>
        <v>Medium</v>
      </c>
      <c r="AD683" t="str">
        <f>_xlfn.XLOOKUP(H683,tblDepartment[Department],tblDepartment[Key_KPI],"")</f>
        <v>Lead Generation</v>
      </c>
      <c r="AE683">
        <f>_xlfn.XLOOKUP(tblMaster[[#This Row],[Shift]],tblShift[Shift_Name],tblShift[Login_Time],"")</f>
        <v>0.25</v>
      </c>
      <c r="AF683">
        <f>_xlfn.XLOOKUP(tblMaster[[#This Row],[Shift]],tblShift[Shift_Name],tblShift[Logout_Time]," ")</f>
        <v>0.625</v>
      </c>
      <c r="AG683">
        <f>_xlfn.XLOOKUP(tblMaster[[#This Row],[Shift]],tblShift[Shift_Name],tblShift[Standard_Working_Hours],"")</f>
        <v>8</v>
      </c>
      <c r="AH683" t="str">
        <f>_xlfn.XLOOKUP(tblMaster[[#This Row],[Attendance_Date]],tblHoliday[Holiday_Date],tblHoliday[Holiday_Name],"Working Day")</f>
        <v>Working Day</v>
      </c>
      <c r="AI683" t="str">
        <f>_xlfn.XLOOKUP(tblMaster[[#This Row],[Attendance_Date]],tblHoliday[Holiday_Date],tblHoliday[Holiday_Type],"Working Day ")</f>
        <v xml:space="preserve">Working Day </v>
      </c>
    </row>
    <row r="684" spans="1:35" hidden="1" x14ac:dyDescent="0.3">
      <c r="A684" t="s">
        <v>873</v>
      </c>
      <c r="B684" s="3">
        <v>45755</v>
      </c>
      <c r="C684" t="s">
        <v>37</v>
      </c>
      <c r="D684" t="s">
        <v>24</v>
      </c>
      <c r="E684" t="s">
        <v>87</v>
      </c>
      <c r="F684" t="s">
        <v>192</v>
      </c>
      <c r="G684" t="s">
        <v>193</v>
      </c>
      <c r="H684" t="s">
        <v>79</v>
      </c>
      <c r="I684" t="s">
        <v>80</v>
      </c>
      <c r="J684" t="s">
        <v>66</v>
      </c>
      <c r="K684" t="s">
        <v>31</v>
      </c>
      <c r="L684" s="2">
        <v>0.375</v>
      </c>
      <c r="M684" s="2">
        <v>0.75</v>
      </c>
      <c r="N684">
        <v>8</v>
      </c>
      <c r="O684">
        <v>0</v>
      </c>
      <c r="P684" t="s">
        <v>32</v>
      </c>
      <c r="R684">
        <v>5</v>
      </c>
      <c r="S684" t="s">
        <v>45</v>
      </c>
      <c r="T684" t="s">
        <v>84</v>
      </c>
      <c r="U684" t="s">
        <v>85</v>
      </c>
      <c r="W684">
        <f>_xlfn.XLOOKUP(F684,tblEmployee[Employee_ID],tblEmployee[Age],"Not Found")</f>
        <v>32</v>
      </c>
      <c r="X684" t="str">
        <f>_xlfn.XLOOKUP(F684,tblEmployee[Employee_ID],tblEmployee[Gender],"Not Found")</f>
        <v>Female</v>
      </c>
      <c r="Y684">
        <f>_xlfn.XLOOKUP(F684,tblEmployee[Employee_ID],tblEmployee[Joining_Date],"")</f>
        <v>44880</v>
      </c>
      <c r="Z684">
        <f>_xlfn.XLOOKUP(H684,tblDepartment[Department],tblDepartment[Annual_Budget_INR],"")</f>
        <v>26000000</v>
      </c>
      <c r="AA684" t="str">
        <f>_xlfn.XLOOKUP(H684,tblDepartment[Department],tblDepartment[Monthly_Target],"")</f>
        <v>100% Payroll Accuracy</v>
      </c>
      <c r="AB684">
        <f>_xlfn.XLOOKUP(H684,tblDepartment[Department],tblDepartment[Average_Salary_INR],"")</f>
        <v>640000</v>
      </c>
      <c r="AC684" t="str">
        <f>_xlfn.XLOOKUP(H684,tblDepartment[Department],tblDepartment[Priority_Level],"")</f>
        <v>High</v>
      </c>
      <c r="AD684" t="str">
        <f>_xlfn.XLOOKUP(H684,tblDepartment[Department],tblDepartment[Key_KPI],"")</f>
        <v>Financial Compliance</v>
      </c>
      <c r="AE684">
        <f>_xlfn.XLOOKUP(tblMaster[[#This Row],[Shift]],tblShift[Shift_Name],tblShift[Login_Time],"")</f>
        <v>0.25</v>
      </c>
      <c r="AF684">
        <f>_xlfn.XLOOKUP(tblMaster[[#This Row],[Shift]],tblShift[Shift_Name],tblShift[Logout_Time]," ")</f>
        <v>0.625</v>
      </c>
      <c r="AG684">
        <f>_xlfn.XLOOKUP(tblMaster[[#This Row],[Shift]],tblShift[Shift_Name],tblShift[Standard_Working_Hours],"")</f>
        <v>8</v>
      </c>
      <c r="AH684" t="str">
        <f>_xlfn.XLOOKUP(tblMaster[[#This Row],[Attendance_Date]],tblHoliday[Holiday_Date],tblHoliday[Holiday_Name],"Working Day")</f>
        <v>Working Day</v>
      </c>
      <c r="AI684" t="str">
        <f>_xlfn.XLOOKUP(tblMaster[[#This Row],[Attendance_Date]],tblHoliday[Holiday_Date],tblHoliday[Holiday_Type],"Working Day ")</f>
        <v xml:space="preserve">Working Day </v>
      </c>
    </row>
    <row r="685" spans="1:35" x14ac:dyDescent="0.3">
      <c r="A685" t="s">
        <v>874</v>
      </c>
      <c r="B685" s="3">
        <v>45712</v>
      </c>
      <c r="C685" t="s">
        <v>95</v>
      </c>
      <c r="D685" t="s">
        <v>50</v>
      </c>
      <c r="E685" t="s">
        <v>109</v>
      </c>
      <c r="F685" t="s">
        <v>127</v>
      </c>
      <c r="G685" t="s">
        <v>128</v>
      </c>
      <c r="H685" t="s">
        <v>90</v>
      </c>
      <c r="I685" t="s">
        <v>91</v>
      </c>
      <c r="J685" t="s">
        <v>66</v>
      </c>
      <c r="K685" t="s">
        <v>81</v>
      </c>
      <c r="L685" s="2">
        <v>0.91666666666666663</v>
      </c>
      <c r="M685" s="2">
        <v>0.29166666666666669</v>
      </c>
      <c r="N685">
        <v>9.5</v>
      </c>
      <c r="O685">
        <v>1.5</v>
      </c>
      <c r="P685" t="s">
        <v>32</v>
      </c>
      <c r="R685">
        <v>5</v>
      </c>
      <c r="S685" t="s">
        <v>45</v>
      </c>
      <c r="T685" t="s">
        <v>93</v>
      </c>
      <c r="U685" t="str">
        <f>_xlfn.XLOOKUP(tblMaster[[#This Row],[Employee_ID]],tblEmployee[Employee_ID],tblEmployee[Work_Mode]," ")</f>
        <v>Hybrid</v>
      </c>
      <c r="W685">
        <f>_xlfn.XLOOKUP(F685,tblEmployee[Employee_ID],tblEmployee[Age],"Not Found")</f>
        <v>38</v>
      </c>
      <c r="X685" t="str">
        <f>_xlfn.XLOOKUP(F685,tblEmployee[Employee_ID],tblEmployee[Gender],"Not Found")</f>
        <v>Female</v>
      </c>
      <c r="Y685">
        <f>_xlfn.XLOOKUP(F685,tblEmployee[Employee_ID],tblEmployee[Joining_Date],"")</f>
        <v>43966</v>
      </c>
      <c r="Z685">
        <f>_xlfn.XLOOKUP(H685,tblDepartment[Department],tblDepartment[Annual_Budget_INR],"")</f>
        <v>18000000</v>
      </c>
      <c r="AA685" t="str">
        <f>_xlfn.XLOOKUP(H685,tblDepartment[Department],tblDepartment[Monthly_Target],"")</f>
        <v>&lt;30 Days Hiring Cycle</v>
      </c>
      <c r="AB685">
        <f>_xlfn.XLOOKUP(H685,tblDepartment[Department],tblDepartment[Average_Salary_INR],"")</f>
        <v>560000</v>
      </c>
      <c r="AC685" t="str">
        <f>_xlfn.XLOOKUP(H685,tblDepartment[Department],tblDepartment[Priority_Level],"")</f>
        <v>Medium</v>
      </c>
      <c r="AD685" t="str">
        <f>_xlfn.XLOOKUP(H685,tblDepartment[Department],tblDepartment[Key_KPI],"")</f>
        <v>Hiring &amp; Retention</v>
      </c>
      <c r="AE685">
        <f>_xlfn.XLOOKUP(tblMaster[[#This Row],[Shift]],tblShift[Shift_Name],tblShift[Login_Time],"")</f>
        <v>0.91666666666666663</v>
      </c>
      <c r="AF685">
        <f>_xlfn.XLOOKUP(tblMaster[[#This Row],[Shift]],tblShift[Shift_Name],tblShift[Logout_Time]," ")</f>
        <v>0.29166666666666669</v>
      </c>
      <c r="AG685">
        <f>_xlfn.XLOOKUP(tblMaster[[#This Row],[Shift]],tblShift[Shift_Name],tblShift[Standard_Working_Hours],"")</f>
        <v>8</v>
      </c>
      <c r="AH685" t="str">
        <f>_xlfn.XLOOKUP(tblMaster[[#This Row],[Attendance_Date]],tblHoliday[Holiday_Date],tblHoliday[Holiday_Name],"Working Day")</f>
        <v>Working Day</v>
      </c>
      <c r="AI685" t="str">
        <f>_xlfn.XLOOKUP(tblMaster[[#This Row],[Attendance_Date]],tblHoliday[Holiday_Date],tblHoliday[Holiday_Type],"Working Day ")</f>
        <v xml:space="preserve">Working Day </v>
      </c>
    </row>
    <row r="686" spans="1:35" hidden="1" x14ac:dyDescent="0.3">
      <c r="A686" t="s">
        <v>875</v>
      </c>
      <c r="B686" s="3">
        <v>45712</v>
      </c>
      <c r="C686" t="s">
        <v>95</v>
      </c>
      <c r="D686" t="s">
        <v>50</v>
      </c>
      <c r="E686" t="s">
        <v>109</v>
      </c>
      <c r="F686" t="s">
        <v>26</v>
      </c>
      <c r="G686" t="s">
        <v>27</v>
      </c>
      <c r="H686" t="s">
        <v>28</v>
      </c>
      <c r="I686" t="s">
        <v>29</v>
      </c>
      <c r="J686" t="s">
        <v>30</v>
      </c>
      <c r="K686" t="s">
        <v>31</v>
      </c>
      <c r="L686" s="2">
        <v>0.375</v>
      </c>
      <c r="M686" s="2">
        <v>0.75</v>
      </c>
      <c r="N686">
        <v>8</v>
      </c>
      <c r="O686">
        <v>0</v>
      </c>
      <c r="P686" t="s">
        <v>32</v>
      </c>
      <c r="S686" t="s">
        <v>45</v>
      </c>
      <c r="T686" t="s">
        <v>34</v>
      </c>
      <c r="U686" t="s">
        <v>85</v>
      </c>
      <c r="W686">
        <f>_xlfn.XLOOKUP(F686,tblEmployee[Employee_ID],tblEmployee[Age],"Not Found")</f>
        <v>36</v>
      </c>
      <c r="X686" t="str">
        <f>_xlfn.XLOOKUP(F686,tblEmployee[Employee_ID],tblEmployee[Gender],"Not Found")</f>
        <v>Female</v>
      </c>
      <c r="Y686">
        <f>_xlfn.XLOOKUP(F686,tblEmployee[Employee_ID],tblEmployee[Joining_Date],"")</f>
        <v>43174</v>
      </c>
      <c r="Z686">
        <f>_xlfn.XLOOKUP(H686,tblDepartment[Department],tblDepartment[Annual_Budget_INR],"")</f>
        <v>24000000</v>
      </c>
      <c r="AA686" t="str">
        <f>_xlfn.XLOOKUP(H686,tblDepartment[Department],tblDepartment[Monthly_Target],"")</f>
        <v>90% Customer Satisfaction</v>
      </c>
      <c r="AB686">
        <f>_xlfn.XLOOKUP(H686,tblDepartment[Department],tblDepartment[Average_Salary_INR],"")</f>
        <v>520000</v>
      </c>
      <c r="AC686" t="str">
        <f>_xlfn.XLOOKUP(H686,tblDepartment[Department],tblDepartment[Priority_Level],"")</f>
        <v>High</v>
      </c>
      <c r="AD686" t="str">
        <f>_xlfn.XLOOKUP(H686,tblDepartment[Department],tblDepartment[Key_KPI],"")</f>
        <v>Customer Satisfaction</v>
      </c>
      <c r="AE686">
        <f>_xlfn.XLOOKUP(tblMaster[[#This Row],[Shift]],tblShift[Shift_Name],tblShift[Login_Time],"")</f>
        <v>0.25</v>
      </c>
      <c r="AF686">
        <f>_xlfn.XLOOKUP(tblMaster[[#This Row],[Shift]],tblShift[Shift_Name],tblShift[Logout_Time]," ")</f>
        <v>0.625</v>
      </c>
      <c r="AG686">
        <f>_xlfn.XLOOKUP(tblMaster[[#This Row],[Shift]],tblShift[Shift_Name],tblShift[Standard_Working_Hours],"")</f>
        <v>8</v>
      </c>
      <c r="AH686" t="str">
        <f>_xlfn.XLOOKUP(tblMaster[[#This Row],[Attendance_Date]],tblHoliday[Holiday_Date],tblHoliday[Holiday_Name],"Working Day")</f>
        <v>Working Day</v>
      </c>
      <c r="AI686" t="str">
        <f>_xlfn.XLOOKUP(tblMaster[[#This Row],[Attendance_Date]],tblHoliday[Holiday_Date],tblHoliday[Holiday_Type],"Working Day ")</f>
        <v xml:space="preserve">Working Day </v>
      </c>
    </row>
    <row r="687" spans="1:35" hidden="1" x14ac:dyDescent="0.3">
      <c r="A687" t="s">
        <v>876</v>
      </c>
      <c r="B687" s="1">
        <v>45728</v>
      </c>
      <c r="C687" t="s">
        <v>71</v>
      </c>
      <c r="D687" t="s">
        <v>50</v>
      </c>
      <c r="E687" t="s">
        <v>51</v>
      </c>
      <c r="F687" t="s">
        <v>288</v>
      </c>
      <c r="G687" t="s">
        <v>289</v>
      </c>
      <c r="H687" t="s">
        <v>28</v>
      </c>
      <c r="I687" t="s">
        <v>29</v>
      </c>
      <c r="J687" t="s">
        <v>74</v>
      </c>
      <c r="K687" t="s">
        <v>75</v>
      </c>
      <c r="P687" t="s">
        <v>82</v>
      </c>
      <c r="Q687" t="s">
        <v>225</v>
      </c>
      <c r="S687" t="s">
        <v>33</v>
      </c>
      <c r="T687" t="s">
        <v>34</v>
      </c>
      <c r="U687" t="s">
        <v>55</v>
      </c>
      <c r="V687" t="s">
        <v>69</v>
      </c>
      <c r="W687">
        <f>_xlfn.XLOOKUP(F687,tblEmployee[Employee_ID],tblEmployee[Age],"Not Found")</f>
        <v>29</v>
      </c>
      <c r="X687" t="str">
        <f>_xlfn.XLOOKUP(F687,tblEmployee[Employee_ID],tblEmployee[Gender],"Not Found")</f>
        <v>Male</v>
      </c>
      <c r="Y687">
        <f>_xlfn.XLOOKUP(F687,tblEmployee[Employee_ID],tblEmployee[Joining_Date],"")</f>
        <v>43327</v>
      </c>
      <c r="Z687">
        <f>_xlfn.XLOOKUP(H687,tblDepartment[Department],tblDepartment[Annual_Budget_INR],"")</f>
        <v>24000000</v>
      </c>
      <c r="AA687" t="str">
        <f>_xlfn.XLOOKUP(H687,tblDepartment[Department],tblDepartment[Monthly_Target],"")</f>
        <v>90% Customer Satisfaction</v>
      </c>
      <c r="AB687">
        <f>_xlfn.XLOOKUP(H687,tblDepartment[Department],tblDepartment[Average_Salary_INR],"")</f>
        <v>520000</v>
      </c>
      <c r="AC687" t="str">
        <f>_xlfn.XLOOKUP(H687,tblDepartment[Department],tblDepartment[Priority_Level],"")</f>
        <v>High</v>
      </c>
      <c r="AD687" t="str">
        <f>_xlfn.XLOOKUP(H687,tblDepartment[Department],tblDepartment[Key_KPI],"")</f>
        <v>Customer Satisfaction</v>
      </c>
      <c r="AE687">
        <f>_xlfn.XLOOKUP(tblMaster[[#This Row],[Shift]],tblShift[Shift_Name],tblShift[Login_Time],"")</f>
        <v>0.375</v>
      </c>
      <c r="AF687">
        <f>_xlfn.XLOOKUP(tblMaster[[#This Row],[Shift]],tblShift[Shift_Name],tblShift[Logout_Time]," ")</f>
        <v>0.75</v>
      </c>
      <c r="AG687">
        <f>_xlfn.XLOOKUP(tblMaster[[#This Row],[Shift]],tblShift[Shift_Name],tblShift[Standard_Working_Hours],"")</f>
        <v>8</v>
      </c>
      <c r="AH687" t="str">
        <f>_xlfn.XLOOKUP(tblMaster[[#This Row],[Attendance_Date]],tblHoliday[Holiday_Date],tblHoliday[Holiday_Name],"Working Day")</f>
        <v>Working Day</v>
      </c>
      <c r="AI687" t="str">
        <f>_xlfn.XLOOKUP(tblMaster[[#This Row],[Attendance_Date]],tblHoliday[Holiday_Date],tblHoliday[Holiday_Type],"Working Day ")</f>
        <v xml:space="preserve">Working Day </v>
      </c>
    </row>
    <row r="688" spans="1:35" x14ac:dyDescent="0.3">
      <c r="A688" t="s">
        <v>877</v>
      </c>
      <c r="B688" s="3">
        <v>45674</v>
      </c>
      <c r="C688" t="s">
        <v>49</v>
      </c>
      <c r="D688" t="s">
        <v>50</v>
      </c>
      <c r="E688" t="s">
        <v>119</v>
      </c>
      <c r="F688" t="s">
        <v>110</v>
      </c>
      <c r="G688" t="s">
        <v>111</v>
      </c>
      <c r="H688" t="s">
        <v>112</v>
      </c>
      <c r="I688" t="s">
        <v>113</v>
      </c>
      <c r="J688" t="s">
        <v>43</v>
      </c>
      <c r="K688" t="s">
        <v>75</v>
      </c>
      <c r="L688" s="2">
        <v>0.375</v>
      </c>
      <c r="M688" s="2">
        <v>0.75</v>
      </c>
      <c r="N688">
        <v>8</v>
      </c>
      <c r="O688">
        <v>0</v>
      </c>
      <c r="P688" t="s">
        <v>32</v>
      </c>
      <c r="R688">
        <v>3</v>
      </c>
      <c r="S688" t="s">
        <v>67</v>
      </c>
      <c r="T688" t="s">
        <v>114</v>
      </c>
      <c r="U688" t="str">
        <f>_xlfn.XLOOKUP(tblMaster[[#This Row],[Employee_ID]],tblEmployee[Employee_ID],tblEmployee[Work_Mode]," ")</f>
        <v>Hybrid</v>
      </c>
      <c r="V688" t="s">
        <v>35</v>
      </c>
      <c r="W688">
        <f>_xlfn.XLOOKUP(F688,tblEmployee[Employee_ID],tblEmployee[Age],"Not Found")</f>
        <v>32</v>
      </c>
      <c r="X688" t="str">
        <f>_xlfn.XLOOKUP(F688,tblEmployee[Employee_ID],tblEmployee[Gender],"Not Found")</f>
        <v>Female</v>
      </c>
      <c r="Y688">
        <f>_xlfn.XLOOKUP(F688,tblEmployee[Employee_ID],tblEmployee[Joining_Date],"")</f>
        <v>44515</v>
      </c>
      <c r="Z688">
        <f>_xlfn.XLOOKUP(H688,tblDepartment[Department],tblDepartment[Annual_Budget_INR],"")</f>
        <v>42000000</v>
      </c>
      <c r="AA688" t="str">
        <f>_xlfn.XLOOKUP(H688,tblDepartment[Department],tblDepartment[Monthly_Target],"")</f>
        <v>₹2.5 Cr Monthly Sales</v>
      </c>
      <c r="AB688">
        <f>_xlfn.XLOOKUP(H688,tblDepartment[Department],tblDepartment[Average_Salary_INR],"")</f>
        <v>680000</v>
      </c>
      <c r="AC688" t="str">
        <f>_xlfn.XLOOKUP(H688,tblDepartment[Department],tblDepartment[Priority_Level],"")</f>
        <v>High</v>
      </c>
      <c r="AD688" t="str">
        <f>_xlfn.XLOOKUP(H688,tblDepartment[Department],tblDepartment[Key_KPI],"")</f>
        <v>Revenue Achievement</v>
      </c>
      <c r="AE688">
        <f>_xlfn.XLOOKUP(tblMaster[[#This Row],[Shift]],tblShift[Shift_Name],tblShift[Login_Time],"")</f>
        <v>0.375</v>
      </c>
      <c r="AF688">
        <f>_xlfn.XLOOKUP(tblMaster[[#This Row],[Shift]],tblShift[Shift_Name],tblShift[Logout_Time]," ")</f>
        <v>0.75</v>
      </c>
      <c r="AG688">
        <f>_xlfn.XLOOKUP(tblMaster[[#This Row],[Shift]],tblShift[Shift_Name],tblShift[Standard_Working_Hours],"")</f>
        <v>8</v>
      </c>
      <c r="AH688" t="str">
        <f>_xlfn.XLOOKUP(tblMaster[[#This Row],[Attendance_Date]],tblHoliday[Holiday_Date],tblHoliday[Holiday_Name],"Working Day")</f>
        <v>Working Day</v>
      </c>
      <c r="AI688" t="str">
        <f>_xlfn.XLOOKUP(tblMaster[[#This Row],[Attendance_Date]],tblHoliday[Holiday_Date],tblHoliday[Holiday_Type],"Working Day ")</f>
        <v xml:space="preserve">Working Day </v>
      </c>
    </row>
    <row r="689" spans="1:35" x14ac:dyDescent="0.3">
      <c r="A689" t="s">
        <v>878</v>
      </c>
      <c r="B689" s="3">
        <v>45824</v>
      </c>
      <c r="C689" t="s">
        <v>23</v>
      </c>
      <c r="D689" t="s">
        <v>24</v>
      </c>
      <c r="E689" t="s">
        <v>109</v>
      </c>
      <c r="F689" t="s">
        <v>305</v>
      </c>
      <c r="G689" t="s">
        <v>306</v>
      </c>
      <c r="H689" t="s">
        <v>79</v>
      </c>
      <c r="I689" t="s">
        <v>80</v>
      </c>
      <c r="J689" t="s">
        <v>74</v>
      </c>
      <c r="K689" t="s">
        <v>75</v>
      </c>
      <c r="L689" s="2">
        <v>0.375</v>
      </c>
      <c r="M689" s="2">
        <v>0.75</v>
      </c>
      <c r="N689">
        <v>8</v>
      </c>
      <c r="O689">
        <v>0</v>
      </c>
      <c r="P689" t="s">
        <v>32</v>
      </c>
      <c r="S689" t="s">
        <v>45</v>
      </c>
      <c r="T689" t="s">
        <v>84</v>
      </c>
      <c r="U689" t="str">
        <f>_xlfn.XLOOKUP(tblMaster[[#This Row],[Employee_ID]],tblEmployee[Employee_ID],tblEmployee[Work_Mode]," ")</f>
        <v>Remote</v>
      </c>
      <c r="V689" t="s">
        <v>69</v>
      </c>
      <c r="W689">
        <f>_xlfn.XLOOKUP(F689,tblEmployee[Employee_ID],tblEmployee[Age],"Not Found")</f>
        <v>36</v>
      </c>
      <c r="X689" t="str">
        <f>_xlfn.XLOOKUP(F689,tblEmployee[Employee_ID],tblEmployee[Gender],"Not Found")</f>
        <v>Female</v>
      </c>
      <c r="Y689">
        <f>_xlfn.XLOOKUP(F689,tblEmployee[Employee_ID],tblEmployee[Joining_Date],"")</f>
        <v>44819</v>
      </c>
      <c r="Z689">
        <f>_xlfn.XLOOKUP(H689,tblDepartment[Department],tblDepartment[Annual_Budget_INR],"")</f>
        <v>26000000</v>
      </c>
      <c r="AA689" t="str">
        <f>_xlfn.XLOOKUP(H689,tblDepartment[Department],tblDepartment[Monthly_Target],"")</f>
        <v>100% Payroll Accuracy</v>
      </c>
      <c r="AB689">
        <f>_xlfn.XLOOKUP(H689,tblDepartment[Department],tblDepartment[Average_Salary_INR],"")</f>
        <v>640000</v>
      </c>
      <c r="AC689" t="str">
        <f>_xlfn.XLOOKUP(H689,tblDepartment[Department],tblDepartment[Priority_Level],"")</f>
        <v>High</v>
      </c>
      <c r="AD689" t="str">
        <f>_xlfn.XLOOKUP(H689,tblDepartment[Department],tblDepartment[Key_KPI],"")</f>
        <v>Financial Compliance</v>
      </c>
      <c r="AE689">
        <f>_xlfn.XLOOKUP(tblMaster[[#This Row],[Shift]],tblShift[Shift_Name],tblShift[Login_Time],"")</f>
        <v>0.375</v>
      </c>
      <c r="AF689">
        <f>_xlfn.XLOOKUP(tblMaster[[#This Row],[Shift]],tblShift[Shift_Name],tblShift[Logout_Time]," ")</f>
        <v>0.75</v>
      </c>
      <c r="AG689">
        <f>_xlfn.XLOOKUP(tblMaster[[#This Row],[Shift]],tblShift[Shift_Name],tblShift[Standard_Working_Hours],"")</f>
        <v>8</v>
      </c>
      <c r="AH689" t="str">
        <f>_xlfn.XLOOKUP(tblMaster[[#This Row],[Attendance_Date]],tblHoliday[Holiday_Date],tblHoliday[Holiday_Name],"Working Day")</f>
        <v>Working Day</v>
      </c>
      <c r="AI689" t="str">
        <f>_xlfn.XLOOKUP(tblMaster[[#This Row],[Attendance_Date]],tblHoliday[Holiday_Date],tblHoliday[Holiday_Type],"Working Day ")</f>
        <v xml:space="preserve">Working Day </v>
      </c>
    </row>
    <row r="690" spans="1:35" hidden="1" x14ac:dyDescent="0.3">
      <c r="A690" t="s">
        <v>879</v>
      </c>
      <c r="B690" s="3">
        <v>45775</v>
      </c>
      <c r="C690" t="s">
        <v>37</v>
      </c>
      <c r="D690" t="s">
        <v>24</v>
      </c>
      <c r="E690" t="s">
        <v>109</v>
      </c>
      <c r="F690" t="s">
        <v>231</v>
      </c>
      <c r="G690" t="s">
        <v>232</v>
      </c>
      <c r="H690" t="s">
        <v>98</v>
      </c>
      <c r="I690" t="s">
        <v>99</v>
      </c>
      <c r="J690" t="s">
        <v>74</v>
      </c>
      <c r="K690" t="s">
        <v>81</v>
      </c>
      <c r="L690" s="2">
        <v>0.91666666666666663</v>
      </c>
      <c r="M690" s="2">
        <v>0.29166666666666669</v>
      </c>
      <c r="N690">
        <v>8.5</v>
      </c>
      <c r="O690">
        <v>0.5</v>
      </c>
      <c r="P690" t="s">
        <v>32</v>
      </c>
      <c r="R690">
        <v>4</v>
      </c>
      <c r="S690" t="s">
        <v>92</v>
      </c>
      <c r="T690" t="s">
        <v>101</v>
      </c>
      <c r="U690" t="s">
        <v>55</v>
      </c>
      <c r="V690" t="s">
        <v>60</v>
      </c>
      <c r="W690">
        <f>_xlfn.XLOOKUP(F690,tblEmployee[Employee_ID],tblEmployee[Age],"Not Found")</f>
        <v>31</v>
      </c>
      <c r="X690" t="str">
        <f>_xlfn.XLOOKUP(F690,tblEmployee[Employee_ID],tblEmployee[Gender],"Not Found")</f>
        <v>Male</v>
      </c>
      <c r="Y690">
        <f>_xlfn.XLOOKUP(F690,tblEmployee[Employee_ID],tblEmployee[Joining_Date],"")</f>
        <v>45397</v>
      </c>
      <c r="Z690">
        <f>_xlfn.XLOOKUP(H690,tblDepartment[Department],tblDepartment[Annual_Budget_INR],"")</f>
        <v>22000000</v>
      </c>
      <c r="AA690" t="str">
        <f>_xlfn.XLOOKUP(H690,tblDepartment[Department],tblDepartment[Monthly_Target],"")</f>
        <v>2500 Qualified Leads</v>
      </c>
      <c r="AB690">
        <f>_xlfn.XLOOKUP(H690,tblDepartment[Department],tblDepartment[Average_Salary_INR],"")</f>
        <v>590000</v>
      </c>
      <c r="AC690" t="str">
        <f>_xlfn.XLOOKUP(H690,tblDepartment[Department],tblDepartment[Priority_Level],"")</f>
        <v>Medium</v>
      </c>
      <c r="AD690" t="str">
        <f>_xlfn.XLOOKUP(H690,tblDepartment[Department],tblDepartment[Key_KPI],"")</f>
        <v>Lead Generation</v>
      </c>
      <c r="AE690">
        <f>_xlfn.XLOOKUP(tblMaster[[#This Row],[Shift]],tblShift[Shift_Name],tblShift[Login_Time],"")</f>
        <v>0.91666666666666663</v>
      </c>
      <c r="AF690">
        <f>_xlfn.XLOOKUP(tblMaster[[#This Row],[Shift]],tblShift[Shift_Name],tblShift[Logout_Time]," ")</f>
        <v>0.29166666666666669</v>
      </c>
      <c r="AG690">
        <f>_xlfn.XLOOKUP(tblMaster[[#This Row],[Shift]],tblShift[Shift_Name],tblShift[Standard_Working_Hours],"")</f>
        <v>8</v>
      </c>
      <c r="AH690" t="str">
        <f>_xlfn.XLOOKUP(tblMaster[[#This Row],[Attendance_Date]],tblHoliday[Holiday_Date],tblHoliday[Holiday_Name],"Working Day")</f>
        <v>Working Day</v>
      </c>
      <c r="AI690" t="str">
        <f>_xlfn.XLOOKUP(tblMaster[[#This Row],[Attendance_Date]],tblHoliday[Holiday_Date],tblHoliday[Holiday_Type],"Working Day ")</f>
        <v xml:space="preserve">Working Day </v>
      </c>
    </row>
    <row r="691" spans="1:35" hidden="1" x14ac:dyDescent="0.3">
      <c r="A691" t="s">
        <v>880</v>
      </c>
      <c r="B691" s="3">
        <v>45725</v>
      </c>
      <c r="C691" t="s">
        <v>71</v>
      </c>
      <c r="D691" t="s">
        <v>50</v>
      </c>
      <c r="E691" t="s">
        <v>103</v>
      </c>
      <c r="F691" t="s">
        <v>207</v>
      </c>
      <c r="G691" t="s">
        <v>208</v>
      </c>
      <c r="H691" t="s">
        <v>64</v>
      </c>
      <c r="I691" t="s">
        <v>65</v>
      </c>
      <c r="J691" t="s">
        <v>30</v>
      </c>
      <c r="K691" t="s">
        <v>81</v>
      </c>
      <c r="L691" s="2">
        <v>0.91666666666666663</v>
      </c>
      <c r="N691">
        <v>9.5</v>
      </c>
      <c r="O691">
        <v>1.5</v>
      </c>
      <c r="P691" t="s">
        <v>32</v>
      </c>
      <c r="R691">
        <v>5</v>
      </c>
      <c r="S691" t="s">
        <v>67</v>
      </c>
      <c r="T691" t="s">
        <v>68</v>
      </c>
      <c r="U691" t="s">
        <v>47</v>
      </c>
      <c r="W691">
        <f>_xlfn.XLOOKUP(F691,tblEmployee[Employee_ID],tblEmployee[Age],"Not Found")</f>
        <v>33</v>
      </c>
      <c r="X691" t="str">
        <f>_xlfn.XLOOKUP(F691,tblEmployee[Employee_ID],tblEmployee[Gender],"Not Found")</f>
        <v>Male</v>
      </c>
      <c r="Y691">
        <f>_xlfn.XLOOKUP(F691,tblEmployee[Employee_ID],tblEmployee[Joining_Date],"")</f>
        <v>43631</v>
      </c>
      <c r="Z691">
        <f>_xlfn.XLOOKUP(H691,tblDepartment[Department],tblDepartment[Annual_Budget_INR],"")</f>
        <v>85000000</v>
      </c>
      <c r="AA691" t="str">
        <f>_xlfn.XLOOKUP(H691,tblDepartment[Department],tblDepartment[Monthly_Target],"")</f>
        <v>99.5% System Uptime</v>
      </c>
      <c r="AB691">
        <f>_xlfn.XLOOKUP(H691,tblDepartment[Department],tblDepartment[Average_Salary_INR],"")</f>
        <v>720000</v>
      </c>
      <c r="AC691" t="str">
        <f>_xlfn.XLOOKUP(H691,tblDepartment[Department],tblDepartment[Priority_Level],"")</f>
        <v>High</v>
      </c>
      <c r="AD691" t="str">
        <f>_xlfn.XLOOKUP(H691,tblDepartment[Department],tblDepartment[Key_KPI],"")</f>
        <v>Project Delivery</v>
      </c>
      <c r="AE691">
        <f>_xlfn.XLOOKUP(tblMaster[[#This Row],[Shift]],tblShift[Shift_Name],tblShift[Login_Time],"")</f>
        <v>0.91666666666666663</v>
      </c>
      <c r="AF691">
        <f>_xlfn.XLOOKUP(tblMaster[[#This Row],[Shift]],tblShift[Shift_Name],tblShift[Logout_Time]," ")</f>
        <v>0.29166666666666669</v>
      </c>
      <c r="AG691">
        <f>_xlfn.XLOOKUP(tblMaster[[#This Row],[Shift]],tblShift[Shift_Name],tblShift[Standard_Working_Hours],"")</f>
        <v>8</v>
      </c>
      <c r="AH691" t="str">
        <f>_xlfn.XLOOKUP(tblMaster[[#This Row],[Attendance_Date]],tblHoliday[Holiday_Date],tblHoliday[Holiday_Name],"Working Day")</f>
        <v>Working Day</v>
      </c>
      <c r="AI691" t="str">
        <f>_xlfn.XLOOKUP(tblMaster[[#This Row],[Attendance_Date]],tblHoliday[Holiday_Date],tblHoliday[Holiday_Type],"Working Day ")</f>
        <v xml:space="preserve">Working Day </v>
      </c>
    </row>
    <row r="692" spans="1:35" hidden="1" x14ac:dyDescent="0.3">
      <c r="A692" t="s">
        <v>881</v>
      </c>
      <c r="B692" s="1">
        <v>45823</v>
      </c>
      <c r="C692" t="s">
        <v>23</v>
      </c>
      <c r="D692" t="s">
        <v>24</v>
      </c>
      <c r="E692" t="s">
        <v>103</v>
      </c>
      <c r="F692" t="s">
        <v>258</v>
      </c>
      <c r="G692" t="s">
        <v>259</v>
      </c>
      <c r="H692" t="s">
        <v>112</v>
      </c>
      <c r="I692" t="s">
        <v>113</v>
      </c>
      <c r="J692" t="s">
        <v>74</v>
      </c>
      <c r="K692" t="s">
        <v>54</v>
      </c>
      <c r="P692" t="s">
        <v>135</v>
      </c>
      <c r="S692" t="s">
        <v>92</v>
      </c>
      <c r="T692" t="s">
        <v>114</v>
      </c>
      <c r="U692" t="s">
        <v>55</v>
      </c>
      <c r="V692" t="s">
        <v>35</v>
      </c>
      <c r="W692">
        <f>_xlfn.XLOOKUP(F692,tblEmployee[Employee_ID],tblEmployee[Age],"Not Found")</f>
        <v>39</v>
      </c>
      <c r="X692" t="str">
        <f>_xlfn.XLOOKUP(F692,tblEmployee[Employee_ID],tblEmployee[Gender],"Not Found")</f>
        <v>Male</v>
      </c>
      <c r="Y692">
        <f>_xlfn.XLOOKUP(F692,tblEmployee[Employee_ID],tblEmployee[Joining_Date],"")</f>
        <v>44362</v>
      </c>
      <c r="Z692">
        <f>_xlfn.XLOOKUP(H692,tblDepartment[Department],tblDepartment[Annual_Budget_INR],"")</f>
        <v>42000000</v>
      </c>
      <c r="AA692" t="str">
        <f>_xlfn.XLOOKUP(H692,tblDepartment[Department],tblDepartment[Monthly_Target],"")</f>
        <v>₹2.5 Cr Monthly Sales</v>
      </c>
      <c r="AB692">
        <f>_xlfn.XLOOKUP(H692,tblDepartment[Department],tblDepartment[Average_Salary_INR],"")</f>
        <v>680000</v>
      </c>
      <c r="AC692" t="str">
        <f>_xlfn.XLOOKUP(H692,tblDepartment[Department],tblDepartment[Priority_Level],"")</f>
        <v>High</v>
      </c>
      <c r="AD692" t="str">
        <f>_xlfn.XLOOKUP(H692,tblDepartment[Department],tblDepartment[Key_KPI],"")</f>
        <v>Revenue Achievement</v>
      </c>
      <c r="AE692">
        <f>_xlfn.XLOOKUP(tblMaster[[#This Row],[Shift]],tblShift[Shift_Name],tblShift[Login_Time],"")</f>
        <v>0.58333333333333337</v>
      </c>
      <c r="AF692">
        <f>_xlfn.XLOOKUP(tblMaster[[#This Row],[Shift]],tblShift[Shift_Name],tblShift[Logout_Time]," ")</f>
        <v>0.95833333333333337</v>
      </c>
      <c r="AG692">
        <f>_xlfn.XLOOKUP(tblMaster[[#This Row],[Shift]],tblShift[Shift_Name],tblShift[Standard_Working_Hours],"")</f>
        <v>8</v>
      </c>
      <c r="AH692" t="str">
        <f>_xlfn.XLOOKUP(tblMaster[[#This Row],[Attendance_Date]],tblHoliday[Holiday_Date],tblHoliday[Holiday_Name],"Working Day")</f>
        <v>Working Day</v>
      </c>
      <c r="AI692" t="str">
        <f>_xlfn.XLOOKUP(tblMaster[[#This Row],[Attendance_Date]],tblHoliday[Holiday_Date],tblHoliday[Holiday_Type],"Working Day ")</f>
        <v xml:space="preserve">Working Day </v>
      </c>
    </row>
    <row r="693" spans="1:35" hidden="1" x14ac:dyDescent="0.3">
      <c r="A693" t="s">
        <v>882</v>
      </c>
      <c r="B693" s="1">
        <v>45757</v>
      </c>
      <c r="C693" t="s">
        <v>37</v>
      </c>
      <c r="D693" t="s">
        <v>24</v>
      </c>
      <c r="E693" t="s">
        <v>25</v>
      </c>
      <c r="F693" t="s">
        <v>305</v>
      </c>
      <c r="G693" t="s">
        <v>306</v>
      </c>
      <c r="H693" t="s">
        <v>79</v>
      </c>
      <c r="I693" t="s">
        <v>80</v>
      </c>
      <c r="J693" t="s">
        <v>74</v>
      </c>
      <c r="K693" t="s">
        <v>75</v>
      </c>
      <c r="P693" t="s">
        <v>135</v>
      </c>
      <c r="S693" t="s">
        <v>33</v>
      </c>
      <c r="T693" t="s">
        <v>84</v>
      </c>
      <c r="U693" t="s">
        <v>55</v>
      </c>
      <c r="V693" t="s">
        <v>69</v>
      </c>
      <c r="W693">
        <f>_xlfn.XLOOKUP(F693,tblEmployee[Employee_ID],tblEmployee[Age],"Not Found")</f>
        <v>36</v>
      </c>
      <c r="X693" t="str">
        <f>_xlfn.XLOOKUP(F693,tblEmployee[Employee_ID],tblEmployee[Gender],"Not Found")</f>
        <v>Female</v>
      </c>
      <c r="Y693">
        <f>_xlfn.XLOOKUP(F693,tblEmployee[Employee_ID],tblEmployee[Joining_Date],"")</f>
        <v>44819</v>
      </c>
      <c r="Z693">
        <f>_xlfn.XLOOKUP(H693,tblDepartment[Department],tblDepartment[Annual_Budget_INR],"")</f>
        <v>26000000</v>
      </c>
      <c r="AA693" t="str">
        <f>_xlfn.XLOOKUP(H693,tblDepartment[Department],tblDepartment[Monthly_Target],"")</f>
        <v>100% Payroll Accuracy</v>
      </c>
      <c r="AB693">
        <f>_xlfn.XLOOKUP(H693,tblDepartment[Department],tblDepartment[Average_Salary_INR],"")</f>
        <v>640000</v>
      </c>
      <c r="AC693" t="str">
        <f>_xlfn.XLOOKUP(H693,tblDepartment[Department],tblDepartment[Priority_Level],"")</f>
        <v>High</v>
      </c>
      <c r="AD693" t="str">
        <f>_xlfn.XLOOKUP(H693,tblDepartment[Department],tblDepartment[Key_KPI],"")</f>
        <v>Financial Compliance</v>
      </c>
      <c r="AE693">
        <f>_xlfn.XLOOKUP(tblMaster[[#This Row],[Shift]],tblShift[Shift_Name],tblShift[Login_Time],"")</f>
        <v>0.375</v>
      </c>
      <c r="AF693">
        <f>_xlfn.XLOOKUP(tblMaster[[#This Row],[Shift]],tblShift[Shift_Name],tblShift[Logout_Time]," ")</f>
        <v>0.75</v>
      </c>
      <c r="AG693">
        <f>_xlfn.XLOOKUP(tblMaster[[#This Row],[Shift]],tblShift[Shift_Name],tblShift[Standard_Working_Hours],"")</f>
        <v>8</v>
      </c>
      <c r="AH693" t="str">
        <f>_xlfn.XLOOKUP(tblMaster[[#This Row],[Attendance_Date]],tblHoliday[Holiday_Date],tblHoliday[Holiday_Name],"Working Day")</f>
        <v>Working Day</v>
      </c>
      <c r="AI693" t="str">
        <f>_xlfn.XLOOKUP(tblMaster[[#This Row],[Attendance_Date]],tblHoliday[Holiday_Date],tblHoliday[Holiday_Type],"Working Day ")</f>
        <v xml:space="preserve">Working Day </v>
      </c>
    </row>
    <row r="694" spans="1:35" x14ac:dyDescent="0.3">
      <c r="A694" t="s">
        <v>883</v>
      </c>
      <c r="B694" s="3">
        <v>45838</v>
      </c>
      <c r="C694" t="s">
        <v>23</v>
      </c>
      <c r="D694" t="s">
        <v>24</v>
      </c>
      <c r="E694" t="s">
        <v>109</v>
      </c>
      <c r="F694" t="s">
        <v>110</v>
      </c>
      <c r="G694" t="s">
        <v>111</v>
      </c>
      <c r="H694" t="s">
        <v>112</v>
      </c>
      <c r="I694" t="s">
        <v>113</v>
      </c>
      <c r="J694" t="s">
        <v>43</v>
      </c>
      <c r="K694" t="s">
        <v>75</v>
      </c>
      <c r="L694" s="2">
        <v>0.39930555555555558</v>
      </c>
      <c r="M694" s="2">
        <v>0.75</v>
      </c>
      <c r="N694">
        <v>8</v>
      </c>
      <c r="O694">
        <v>0</v>
      </c>
      <c r="P694" t="s">
        <v>32</v>
      </c>
      <c r="S694" t="s">
        <v>45</v>
      </c>
      <c r="T694" t="s">
        <v>114</v>
      </c>
      <c r="U694" t="str">
        <f>_xlfn.XLOOKUP(tblMaster[[#This Row],[Employee_ID]],tblEmployee[Employee_ID],tblEmployee[Work_Mode]," ")</f>
        <v>Hybrid</v>
      </c>
      <c r="V694" t="s">
        <v>35</v>
      </c>
      <c r="W694">
        <f>_xlfn.XLOOKUP(F694,tblEmployee[Employee_ID],tblEmployee[Age],"Not Found")</f>
        <v>32</v>
      </c>
      <c r="X694" t="str">
        <f>_xlfn.XLOOKUP(F694,tblEmployee[Employee_ID],tblEmployee[Gender],"Not Found")</f>
        <v>Female</v>
      </c>
      <c r="Y694">
        <f>_xlfn.XLOOKUP(F694,tblEmployee[Employee_ID],tblEmployee[Joining_Date],"")</f>
        <v>44515</v>
      </c>
      <c r="Z694">
        <f>_xlfn.XLOOKUP(H694,tblDepartment[Department],tblDepartment[Annual_Budget_INR],"")</f>
        <v>42000000</v>
      </c>
      <c r="AA694" t="str">
        <f>_xlfn.XLOOKUP(H694,tblDepartment[Department],tblDepartment[Monthly_Target],"")</f>
        <v>₹2.5 Cr Monthly Sales</v>
      </c>
      <c r="AB694">
        <f>_xlfn.XLOOKUP(H694,tblDepartment[Department],tblDepartment[Average_Salary_INR],"")</f>
        <v>680000</v>
      </c>
      <c r="AC694" t="str">
        <f>_xlfn.XLOOKUP(H694,tblDepartment[Department],tblDepartment[Priority_Level],"")</f>
        <v>High</v>
      </c>
      <c r="AD694" t="str">
        <f>_xlfn.XLOOKUP(H694,tblDepartment[Department],tblDepartment[Key_KPI],"")</f>
        <v>Revenue Achievement</v>
      </c>
      <c r="AE694">
        <f>_xlfn.XLOOKUP(tblMaster[[#This Row],[Shift]],tblShift[Shift_Name],tblShift[Login_Time],"")</f>
        <v>0.375</v>
      </c>
      <c r="AF694">
        <f>_xlfn.XLOOKUP(tblMaster[[#This Row],[Shift]],tblShift[Shift_Name],tblShift[Logout_Time]," ")</f>
        <v>0.75</v>
      </c>
      <c r="AG694">
        <f>_xlfn.XLOOKUP(tblMaster[[#This Row],[Shift]],tblShift[Shift_Name],tblShift[Standard_Working_Hours],"")</f>
        <v>8</v>
      </c>
      <c r="AH694" t="str">
        <f>_xlfn.XLOOKUP(tblMaster[[#This Row],[Attendance_Date]],tblHoliday[Holiday_Date],tblHoliday[Holiday_Name],"Working Day")</f>
        <v>Working Day</v>
      </c>
      <c r="AI694" t="str">
        <f>_xlfn.XLOOKUP(tblMaster[[#This Row],[Attendance_Date]],tblHoliday[Holiday_Date],tblHoliday[Holiday_Type],"Working Day ")</f>
        <v xml:space="preserve">Working Day </v>
      </c>
    </row>
    <row r="695" spans="1:35" x14ac:dyDescent="0.3">
      <c r="A695" t="s">
        <v>884</v>
      </c>
      <c r="B695" s="3">
        <v>45699</v>
      </c>
      <c r="C695" t="s">
        <v>95</v>
      </c>
      <c r="D695" t="s">
        <v>50</v>
      </c>
      <c r="E695" t="s">
        <v>87</v>
      </c>
      <c r="F695" t="s">
        <v>247</v>
      </c>
      <c r="G695" t="s">
        <v>248</v>
      </c>
      <c r="H695" t="s">
        <v>64</v>
      </c>
      <c r="I695" t="s">
        <v>65</v>
      </c>
      <c r="J695" t="s">
        <v>66</v>
      </c>
      <c r="K695" t="s">
        <v>54</v>
      </c>
      <c r="L695" s="2">
        <v>0.375</v>
      </c>
      <c r="M695" s="2">
        <v>0.75</v>
      </c>
      <c r="N695">
        <v>9.5</v>
      </c>
      <c r="O695">
        <v>1.5</v>
      </c>
      <c r="P695" t="s">
        <v>32</v>
      </c>
      <c r="R695">
        <v>3</v>
      </c>
      <c r="S695" t="s">
        <v>45</v>
      </c>
      <c r="T695" t="s">
        <v>68</v>
      </c>
      <c r="U695" t="str">
        <f>_xlfn.XLOOKUP(tblMaster[[#This Row],[Employee_ID]],tblEmployee[Employee_ID],tblEmployee[Work_Mode]," ")</f>
        <v>Office</v>
      </c>
      <c r="W695">
        <f>_xlfn.XLOOKUP(F695,tblEmployee[Employee_ID],tblEmployee[Age],"Not Found")</f>
        <v>22</v>
      </c>
      <c r="X695" t="str">
        <f>_xlfn.XLOOKUP(F695,tblEmployee[Employee_ID],tblEmployee[Gender],"Not Found")</f>
        <v>Male</v>
      </c>
      <c r="Y695">
        <f>_xlfn.XLOOKUP(F695,tblEmployee[Employee_ID],tblEmployee[Joining_Date],"")</f>
        <v>43480</v>
      </c>
      <c r="Z695">
        <f>_xlfn.XLOOKUP(H695,tblDepartment[Department],tblDepartment[Annual_Budget_INR],"")</f>
        <v>85000000</v>
      </c>
      <c r="AA695" t="str">
        <f>_xlfn.XLOOKUP(H695,tblDepartment[Department],tblDepartment[Monthly_Target],"")</f>
        <v>99.5% System Uptime</v>
      </c>
      <c r="AB695">
        <f>_xlfn.XLOOKUP(H695,tblDepartment[Department],tblDepartment[Average_Salary_INR],"")</f>
        <v>720000</v>
      </c>
      <c r="AC695" t="str">
        <f>_xlfn.XLOOKUP(H695,tblDepartment[Department],tblDepartment[Priority_Level],"")</f>
        <v>High</v>
      </c>
      <c r="AD695" t="str">
        <f>_xlfn.XLOOKUP(H695,tblDepartment[Department],tblDepartment[Key_KPI],"")</f>
        <v>Project Delivery</v>
      </c>
      <c r="AE695">
        <f>_xlfn.XLOOKUP(tblMaster[[#This Row],[Shift]],tblShift[Shift_Name],tblShift[Login_Time],"")</f>
        <v>0.58333333333333337</v>
      </c>
      <c r="AF695">
        <f>_xlfn.XLOOKUP(tblMaster[[#This Row],[Shift]],tblShift[Shift_Name],tblShift[Logout_Time]," ")</f>
        <v>0.95833333333333337</v>
      </c>
      <c r="AG695">
        <f>_xlfn.XLOOKUP(tblMaster[[#This Row],[Shift]],tblShift[Shift_Name],tblShift[Standard_Working_Hours],"")</f>
        <v>8</v>
      </c>
      <c r="AH695" t="str">
        <f>_xlfn.XLOOKUP(tblMaster[[#This Row],[Attendance_Date]],tblHoliday[Holiday_Date],tblHoliday[Holiday_Name],"Working Day")</f>
        <v>Working Day</v>
      </c>
      <c r="AI695" t="str">
        <f>_xlfn.XLOOKUP(tblMaster[[#This Row],[Attendance_Date]],tblHoliday[Holiday_Date],tblHoliday[Holiday_Type],"Working Day ")</f>
        <v xml:space="preserve">Working Day </v>
      </c>
    </row>
    <row r="696" spans="1:35" hidden="1" x14ac:dyDescent="0.3">
      <c r="A696" t="s">
        <v>885</v>
      </c>
      <c r="B696" s="3">
        <v>45705</v>
      </c>
      <c r="C696" t="s">
        <v>95</v>
      </c>
      <c r="D696" t="s">
        <v>50</v>
      </c>
      <c r="E696" t="s">
        <v>109</v>
      </c>
      <c r="F696" t="s">
        <v>182</v>
      </c>
      <c r="G696" t="s">
        <v>183</v>
      </c>
      <c r="H696" t="s">
        <v>112</v>
      </c>
      <c r="I696" t="s">
        <v>113</v>
      </c>
      <c r="J696" t="s">
        <v>30</v>
      </c>
      <c r="K696" t="s">
        <v>54</v>
      </c>
      <c r="L696" s="2">
        <v>0.375</v>
      </c>
      <c r="M696" s="2">
        <v>0.75</v>
      </c>
      <c r="N696">
        <v>8</v>
      </c>
      <c r="O696">
        <v>0</v>
      </c>
      <c r="P696" t="s">
        <v>32</v>
      </c>
      <c r="S696" t="s">
        <v>92</v>
      </c>
      <c r="T696" t="s">
        <v>114</v>
      </c>
      <c r="U696" t="s">
        <v>55</v>
      </c>
      <c r="V696" t="s">
        <v>69</v>
      </c>
      <c r="W696">
        <f>_xlfn.XLOOKUP(F696,tblEmployee[Employee_ID],tblEmployee[Age],"Not Found")</f>
        <v>28</v>
      </c>
      <c r="X696" t="str">
        <f>_xlfn.XLOOKUP(F696,tblEmployee[Employee_ID],tblEmployee[Gender],"Not Found")</f>
        <v>Male</v>
      </c>
      <c r="Y696">
        <f>_xlfn.XLOOKUP(F696,tblEmployee[Employee_ID],tblEmployee[Joining_Date],"")</f>
        <v>44211</v>
      </c>
      <c r="Z696">
        <f>_xlfn.XLOOKUP(H696,tblDepartment[Department],tblDepartment[Annual_Budget_INR],"")</f>
        <v>42000000</v>
      </c>
      <c r="AA696" t="str">
        <f>_xlfn.XLOOKUP(H696,tblDepartment[Department],tblDepartment[Monthly_Target],"")</f>
        <v>₹2.5 Cr Monthly Sales</v>
      </c>
      <c r="AB696">
        <f>_xlfn.XLOOKUP(H696,tblDepartment[Department],tblDepartment[Average_Salary_INR],"")</f>
        <v>680000</v>
      </c>
      <c r="AC696" t="str">
        <f>_xlfn.XLOOKUP(H696,tblDepartment[Department],tblDepartment[Priority_Level],"")</f>
        <v>High</v>
      </c>
      <c r="AD696" t="str">
        <f>_xlfn.XLOOKUP(H696,tblDepartment[Department],tblDepartment[Key_KPI],"")</f>
        <v>Revenue Achievement</v>
      </c>
      <c r="AE696">
        <f>_xlfn.XLOOKUP(tblMaster[[#This Row],[Shift]],tblShift[Shift_Name],tblShift[Login_Time],"")</f>
        <v>0.58333333333333337</v>
      </c>
      <c r="AF696">
        <f>_xlfn.XLOOKUP(tblMaster[[#This Row],[Shift]],tblShift[Shift_Name],tblShift[Logout_Time]," ")</f>
        <v>0.95833333333333337</v>
      </c>
      <c r="AG696">
        <f>_xlfn.XLOOKUP(tblMaster[[#This Row],[Shift]],tblShift[Shift_Name],tblShift[Standard_Working_Hours],"")</f>
        <v>8</v>
      </c>
      <c r="AH696" t="str">
        <f>_xlfn.XLOOKUP(tblMaster[[#This Row],[Attendance_Date]],tblHoliday[Holiday_Date],tblHoliday[Holiday_Name],"Working Day")</f>
        <v>Working Day</v>
      </c>
      <c r="AI696" t="str">
        <f>_xlfn.XLOOKUP(tblMaster[[#This Row],[Attendance_Date]],tblHoliday[Holiday_Date],tblHoliday[Holiday_Type],"Working Day ")</f>
        <v xml:space="preserve">Working Day </v>
      </c>
    </row>
    <row r="697" spans="1:35" hidden="1" x14ac:dyDescent="0.3">
      <c r="A697" t="s">
        <v>886</v>
      </c>
      <c r="B697" s="3">
        <v>45697</v>
      </c>
      <c r="C697" t="s">
        <v>95</v>
      </c>
      <c r="D697" t="s">
        <v>50</v>
      </c>
      <c r="E697" t="s">
        <v>103</v>
      </c>
      <c r="F697" t="s">
        <v>26</v>
      </c>
      <c r="G697" t="s">
        <v>27</v>
      </c>
      <c r="H697" t="s">
        <v>28</v>
      </c>
      <c r="I697" t="s">
        <v>29</v>
      </c>
      <c r="J697" t="s">
        <v>30</v>
      </c>
      <c r="K697" t="s">
        <v>75</v>
      </c>
      <c r="L697" s="2">
        <v>0.375</v>
      </c>
      <c r="M697" s="2">
        <v>0.75</v>
      </c>
      <c r="N697">
        <v>8</v>
      </c>
      <c r="O697">
        <v>0</v>
      </c>
      <c r="P697" t="s">
        <v>32</v>
      </c>
      <c r="R697">
        <v>4</v>
      </c>
      <c r="S697" t="s">
        <v>45</v>
      </c>
      <c r="T697" t="s">
        <v>34</v>
      </c>
      <c r="U697" t="s">
        <v>47</v>
      </c>
      <c r="V697" t="s">
        <v>69</v>
      </c>
      <c r="W697">
        <f>_xlfn.XLOOKUP(F697,tblEmployee[Employee_ID],tblEmployee[Age],"Not Found")</f>
        <v>36</v>
      </c>
      <c r="X697" t="str">
        <f>_xlfn.XLOOKUP(F697,tblEmployee[Employee_ID],tblEmployee[Gender],"Not Found")</f>
        <v>Female</v>
      </c>
      <c r="Y697">
        <f>_xlfn.XLOOKUP(F697,tblEmployee[Employee_ID],tblEmployee[Joining_Date],"")</f>
        <v>43174</v>
      </c>
      <c r="Z697">
        <f>_xlfn.XLOOKUP(H697,tblDepartment[Department],tblDepartment[Annual_Budget_INR],"")</f>
        <v>24000000</v>
      </c>
      <c r="AA697" t="str">
        <f>_xlfn.XLOOKUP(H697,tblDepartment[Department],tblDepartment[Monthly_Target],"")</f>
        <v>90% Customer Satisfaction</v>
      </c>
      <c r="AB697">
        <f>_xlfn.XLOOKUP(H697,tblDepartment[Department],tblDepartment[Average_Salary_INR],"")</f>
        <v>520000</v>
      </c>
      <c r="AC697" t="str">
        <f>_xlfn.XLOOKUP(H697,tblDepartment[Department],tblDepartment[Priority_Level],"")</f>
        <v>High</v>
      </c>
      <c r="AD697" t="str">
        <f>_xlfn.XLOOKUP(H697,tblDepartment[Department],tblDepartment[Key_KPI],"")</f>
        <v>Customer Satisfaction</v>
      </c>
      <c r="AE697">
        <f>_xlfn.XLOOKUP(tblMaster[[#This Row],[Shift]],tblShift[Shift_Name],tblShift[Login_Time],"")</f>
        <v>0.375</v>
      </c>
      <c r="AF697">
        <f>_xlfn.XLOOKUP(tblMaster[[#This Row],[Shift]],tblShift[Shift_Name],tblShift[Logout_Time]," ")</f>
        <v>0.75</v>
      </c>
      <c r="AG697">
        <f>_xlfn.XLOOKUP(tblMaster[[#This Row],[Shift]],tblShift[Shift_Name],tblShift[Standard_Working_Hours],"")</f>
        <v>8</v>
      </c>
      <c r="AH697" t="str">
        <f>_xlfn.XLOOKUP(tblMaster[[#This Row],[Attendance_Date]],tblHoliday[Holiday_Date],tblHoliday[Holiday_Name],"Working Day")</f>
        <v>Working Day</v>
      </c>
      <c r="AI697" t="str">
        <f>_xlfn.XLOOKUP(tblMaster[[#This Row],[Attendance_Date]],tblHoliday[Holiday_Date],tblHoliday[Holiday_Type],"Working Day ")</f>
        <v xml:space="preserve">Working Day </v>
      </c>
    </row>
    <row r="698" spans="1:35" x14ac:dyDescent="0.3">
      <c r="A698" t="s">
        <v>887</v>
      </c>
      <c r="B698" s="3">
        <v>45718</v>
      </c>
      <c r="C698" t="s">
        <v>71</v>
      </c>
      <c r="D698" t="s">
        <v>50</v>
      </c>
      <c r="E698" t="s">
        <v>103</v>
      </c>
      <c r="F698" t="s">
        <v>215</v>
      </c>
      <c r="G698" t="s">
        <v>216</v>
      </c>
      <c r="H698" t="s">
        <v>79</v>
      </c>
      <c r="I698" t="s">
        <v>80</v>
      </c>
      <c r="J698" t="s">
        <v>30</v>
      </c>
      <c r="K698" t="s">
        <v>44</v>
      </c>
      <c r="L698" s="2">
        <v>0.375</v>
      </c>
      <c r="M698" s="2">
        <v>0.75</v>
      </c>
      <c r="N698">
        <v>8</v>
      </c>
      <c r="O698">
        <v>0</v>
      </c>
      <c r="P698" t="s">
        <v>32</v>
      </c>
      <c r="R698">
        <v>4</v>
      </c>
      <c r="S698" t="s">
        <v>33</v>
      </c>
      <c r="T698" t="s">
        <v>84</v>
      </c>
      <c r="U698" t="str">
        <f>_xlfn.XLOOKUP(tblMaster[[#This Row],[Employee_ID]],tblEmployee[Employee_ID],tblEmployee[Work_Mode]," ")</f>
        <v>Office</v>
      </c>
      <c r="W698">
        <f>_xlfn.XLOOKUP(F698,tblEmployee[Employee_ID],tblEmployee[Age],"Not Found")</f>
        <v>25</v>
      </c>
      <c r="X698" t="str">
        <f>_xlfn.XLOOKUP(F698,tblEmployee[Employee_ID],tblEmployee[Gender],"Not Found")</f>
        <v>Female</v>
      </c>
      <c r="Y698">
        <f>_xlfn.XLOOKUP(F698,tblEmployee[Employee_ID],tblEmployee[Joining_Date],"")</f>
        <v>44666</v>
      </c>
      <c r="Z698">
        <f>_xlfn.XLOOKUP(H698,tblDepartment[Department],tblDepartment[Annual_Budget_INR],"")</f>
        <v>26000000</v>
      </c>
      <c r="AA698" t="str">
        <f>_xlfn.XLOOKUP(H698,tblDepartment[Department],tblDepartment[Monthly_Target],"")</f>
        <v>100% Payroll Accuracy</v>
      </c>
      <c r="AB698">
        <f>_xlfn.XLOOKUP(H698,tblDepartment[Department],tblDepartment[Average_Salary_INR],"")</f>
        <v>640000</v>
      </c>
      <c r="AC698" t="str">
        <f>_xlfn.XLOOKUP(H698,tblDepartment[Department],tblDepartment[Priority_Level],"")</f>
        <v>High</v>
      </c>
      <c r="AD698" t="str">
        <f>_xlfn.XLOOKUP(H698,tblDepartment[Department],tblDepartment[Key_KPI],"")</f>
        <v>Financial Compliance</v>
      </c>
      <c r="AE698">
        <f>_xlfn.XLOOKUP(tblMaster[[#This Row],[Shift]],tblShift[Shift_Name],tblShift[Login_Time],"")</f>
        <v>0.41666666666666669</v>
      </c>
      <c r="AF698">
        <f>_xlfn.XLOOKUP(tblMaster[[#This Row],[Shift]],tblShift[Shift_Name],tblShift[Logout_Time]," ")</f>
        <v>0.79166666666666663</v>
      </c>
      <c r="AG698">
        <f>_xlfn.XLOOKUP(tblMaster[[#This Row],[Shift]],tblShift[Shift_Name],tblShift[Standard_Working_Hours],"")</f>
        <v>8</v>
      </c>
      <c r="AH698" t="str">
        <f>_xlfn.XLOOKUP(tblMaster[[#This Row],[Attendance_Date]],tblHoliday[Holiday_Date],tblHoliday[Holiday_Name],"Working Day")</f>
        <v>Working Day</v>
      </c>
      <c r="AI698" t="str">
        <f>_xlfn.XLOOKUP(tblMaster[[#This Row],[Attendance_Date]],tblHoliday[Holiday_Date],tblHoliday[Holiday_Type],"Working Day ")</f>
        <v xml:space="preserve">Working Day </v>
      </c>
    </row>
    <row r="699" spans="1:35" hidden="1" x14ac:dyDescent="0.3">
      <c r="A699" t="s">
        <v>888</v>
      </c>
      <c r="B699" s="1">
        <v>45660</v>
      </c>
      <c r="C699" t="s">
        <v>49</v>
      </c>
      <c r="D699" t="s">
        <v>50</v>
      </c>
      <c r="E699" t="s">
        <v>119</v>
      </c>
      <c r="F699" t="s">
        <v>62</v>
      </c>
      <c r="G699" t="s">
        <v>63</v>
      </c>
      <c r="H699" t="s">
        <v>64</v>
      </c>
      <c r="I699" t="s">
        <v>65</v>
      </c>
      <c r="J699" t="s">
        <v>66</v>
      </c>
      <c r="K699" t="s">
        <v>31</v>
      </c>
      <c r="P699" t="s">
        <v>135</v>
      </c>
      <c r="S699" t="s">
        <v>67</v>
      </c>
      <c r="T699" t="s">
        <v>68</v>
      </c>
      <c r="U699" t="s">
        <v>55</v>
      </c>
      <c r="V699" t="s">
        <v>69</v>
      </c>
      <c r="W699">
        <f>_xlfn.XLOOKUP(F699,tblEmployee[Employee_ID],tblEmployee[Age],"Not Found")</f>
        <v>23</v>
      </c>
      <c r="X699" t="str">
        <f>_xlfn.XLOOKUP(F699,tblEmployee[Employee_ID],tblEmployee[Gender],"Not Found")</f>
        <v>Male</v>
      </c>
      <c r="Y699">
        <f>_xlfn.XLOOKUP(F699,tblEmployee[Employee_ID],tblEmployee[Joining_Date],"")</f>
        <v>43511</v>
      </c>
      <c r="Z699">
        <f>_xlfn.XLOOKUP(H699,tblDepartment[Department],tblDepartment[Annual_Budget_INR],"")</f>
        <v>85000000</v>
      </c>
      <c r="AA699" t="str">
        <f>_xlfn.XLOOKUP(H699,tblDepartment[Department],tblDepartment[Monthly_Target],"")</f>
        <v>99.5% System Uptime</v>
      </c>
      <c r="AB699">
        <f>_xlfn.XLOOKUP(H699,tblDepartment[Department],tblDepartment[Average_Salary_INR],"")</f>
        <v>720000</v>
      </c>
      <c r="AC699" t="str">
        <f>_xlfn.XLOOKUP(H699,tblDepartment[Department],tblDepartment[Priority_Level],"")</f>
        <v>High</v>
      </c>
      <c r="AD699" t="str">
        <f>_xlfn.XLOOKUP(H699,tblDepartment[Department],tblDepartment[Key_KPI],"")</f>
        <v>Project Delivery</v>
      </c>
      <c r="AE699">
        <f>_xlfn.XLOOKUP(tblMaster[[#This Row],[Shift]],tblShift[Shift_Name],tblShift[Login_Time],"")</f>
        <v>0.25</v>
      </c>
      <c r="AF699">
        <f>_xlfn.XLOOKUP(tblMaster[[#This Row],[Shift]],tblShift[Shift_Name],tblShift[Logout_Time]," ")</f>
        <v>0.625</v>
      </c>
      <c r="AG699">
        <f>_xlfn.XLOOKUP(tblMaster[[#This Row],[Shift]],tblShift[Shift_Name],tblShift[Standard_Working_Hours],"")</f>
        <v>8</v>
      </c>
      <c r="AH699" t="str">
        <f>_xlfn.XLOOKUP(tblMaster[[#This Row],[Attendance_Date]],tblHoliday[Holiday_Date],tblHoliday[Holiday_Name],"Working Day")</f>
        <v>Working Day</v>
      </c>
      <c r="AI699" t="str">
        <f>_xlfn.XLOOKUP(tblMaster[[#This Row],[Attendance_Date]],tblHoliday[Holiday_Date],tblHoliday[Holiday_Type],"Working Day ")</f>
        <v xml:space="preserve">Working Day </v>
      </c>
    </row>
    <row r="700" spans="1:35" hidden="1" x14ac:dyDescent="0.3">
      <c r="A700" t="s">
        <v>889</v>
      </c>
      <c r="B700" s="3">
        <v>45720</v>
      </c>
      <c r="C700" t="s">
        <v>71</v>
      </c>
      <c r="D700" t="s">
        <v>50</v>
      </c>
      <c r="E700" t="s">
        <v>87</v>
      </c>
      <c r="F700" t="s">
        <v>201</v>
      </c>
      <c r="G700" t="s">
        <v>202</v>
      </c>
      <c r="H700" t="s">
        <v>112</v>
      </c>
      <c r="I700" t="s">
        <v>113</v>
      </c>
      <c r="J700" t="s">
        <v>66</v>
      </c>
      <c r="K700" t="s">
        <v>81</v>
      </c>
      <c r="L700" s="2">
        <v>0.3888888888888889</v>
      </c>
      <c r="M700" s="2">
        <v>0.29166666666666669</v>
      </c>
      <c r="N700">
        <v>10</v>
      </c>
      <c r="O700">
        <v>2</v>
      </c>
      <c r="P700" t="s">
        <v>32</v>
      </c>
      <c r="S700" t="s">
        <v>92</v>
      </c>
      <c r="T700" t="s">
        <v>114</v>
      </c>
      <c r="U700" t="s">
        <v>55</v>
      </c>
      <c r="V700" t="s">
        <v>60</v>
      </c>
      <c r="W700">
        <f>_xlfn.XLOOKUP(F700,tblEmployee[Employee_ID],tblEmployee[Age],"Not Found")</f>
        <v>35</v>
      </c>
      <c r="X700" t="str">
        <f>_xlfn.XLOOKUP(F700,tblEmployee[Employee_ID],tblEmployee[Gender],"Not Found")</f>
        <v>Male</v>
      </c>
      <c r="Y700">
        <f>_xlfn.XLOOKUP(F700,tblEmployee[Employee_ID],tblEmployee[Joining_Date],"")</f>
        <v>44423</v>
      </c>
      <c r="Z700">
        <f>_xlfn.XLOOKUP(H700,tblDepartment[Department],tblDepartment[Annual_Budget_INR],"")</f>
        <v>42000000</v>
      </c>
      <c r="AA700" t="str">
        <f>_xlfn.XLOOKUP(H700,tblDepartment[Department],tblDepartment[Monthly_Target],"")</f>
        <v>₹2.5 Cr Monthly Sales</v>
      </c>
      <c r="AB700">
        <f>_xlfn.XLOOKUP(H700,tblDepartment[Department],tblDepartment[Average_Salary_INR],"")</f>
        <v>680000</v>
      </c>
      <c r="AC700" t="str">
        <f>_xlfn.XLOOKUP(H700,tblDepartment[Department],tblDepartment[Priority_Level],"")</f>
        <v>High</v>
      </c>
      <c r="AD700" t="str">
        <f>_xlfn.XLOOKUP(H700,tblDepartment[Department],tblDepartment[Key_KPI],"")</f>
        <v>Revenue Achievement</v>
      </c>
      <c r="AE700">
        <f>_xlfn.XLOOKUP(tblMaster[[#This Row],[Shift]],tblShift[Shift_Name],tblShift[Login_Time],"")</f>
        <v>0.91666666666666663</v>
      </c>
      <c r="AF700">
        <f>_xlfn.XLOOKUP(tblMaster[[#This Row],[Shift]],tblShift[Shift_Name],tblShift[Logout_Time]," ")</f>
        <v>0.29166666666666669</v>
      </c>
      <c r="AG700">
        <f>_xlfn.XLOOKUP(tblMaster[[#This Row],[Shift]],tblShift[Shift_Name],tblShift[Standard_Working_Hours],"")</f>
        <v>8</v>
      </c>
      <c r="AH700" t="str">
        <f>_xlfn.XLOOKUP(tblMaster[[#This Row],[Attendance_Date]],tblHoliday[Holiday_Date],tblHoliday[Holiday_Name],"Working Day")</f>
        <v>Working Day</v>
      </c>
      <c r="AI700" t="str">
        <f>_xlfn.XLOOKUP(tblMaster[[#This Row],[Attendance_Date]],tblHoliday[Holiday_Date],tblHoliday[Holiday_Type],"Working Day ")</f>
        <v xml:space="preserve">Working Day </v>
      </c>
    </row>
    <row r="701" spans="1:35" x14ac:dyDescent="0.3">
      <c r="A701" t="s">
        <v>890</v>
      </c>
      <c r="B701" s="3">
        <v>45765</v>
      </c>
      <c r="C701" t="s">
        <v>37</v>
      </c>
      <c r="D701" t="s">
        <v>24</v>
      </c>
      <c r="E701" t="s">
        <v>119</v>
      </c>
      <c r="F701" t="s">
        <v>266</v>
      </c>
      <c r="G701" t="s">
        <v>267</v>
      </c>
      <c r="H701" t="s">
        <v>98</v>
      </c>
      <c r="I701" t="s">
        <v>99</v>
      </c>
      <c r="J701" t="s">
        <v>66</v>
      </c>
      <c r="K701" t="s">
        <v>75</v>
      </c>
      <c r="L701" s="2">
        <v>0.375</v>
      </c>
      <c r="M701" s="2">
        <v>0.75</v>
      </c>
      <c r="N701">
        <v>8</v>
      </c>
      <c r="O701">
        <v>0</v>
      </c>
      <c r="P701" t="s">
        <v>32</v>
      </c>
      <c r="R701">
        <v>5</v>
      </c>
      <c r="S701" t="s">
        <v>92</v>
      </c>
      <c r="T701" t="s">
        <v>101</v>
      </c>
      <c r="U701" t="str">
        <f>_xlfn.XLOOKUP(tblMaster[[#This Row],[Employee_ID]],tblEmployee[Employee_ID],tblEmployee[Work_Mode]," ")</f>
        <v>Office</v>
      </c>
      <c r="V701" t="s">
        <v>35</v>
      </c>
      <c r="W701">
        <f>_xlfn.XLOOKUP(F701,tblEmployee[Employee_ID],tblEmployee[Age],"Not Found")</f>
        <v>28</v>
      </c>
      <c r="X701" t="str">
        <f>_xlfn.XLOOKUP(F701,tblEmployee[Employee_ID],tblEmployee[Gender],"Not Found")</f>
        <v>Female</v>
      </c>
      <c r="Y701">
        <f>_xlfn.XLOOKUP(F701,tblEmployee[Employee_ID],tblEmployee[Joining_Date],"")</f>
        <v>45488</v>
      </c>
      <c r="Z701">
        <f>_xlfn.XLOOKUP(H701,tblDepartment[Department],tblDepartment[Annual_Budget_INR],"")</f>
        <v>22000000</v>
      </c>
      <c r="AA701" t="str">
        <f>_xlfn.XLOOKUP(H701,tblDepartment[Department],tblDepartment[Monthly_Target],"")</f>
        <v>2500 Qualified Leads</v>
      </c>
      <c r="AB701">
        <f>_xlfn.XLOOKUP(H701,tblDepartment[Department],tblDepartment[Average_Salary_INR],"")</f>
        <v>590000</v>
      </c>
      <c r="AC701" t="str">
        <f>_xlfn.XLOOKUP(H701,tblDepartment[Department],tblDepartment[Priority_Level],"")</f>
        <v>Medium</v>
      </c>
      <c r="AD701" t="str">
        <f>_xlfn.XLOOKUP(H701,tblDepartment[Department],tblDepartment[Key_KPI],"")</f>
        <v>Lead Generation</v>
      </c>
      <c r="AE701">
        <f>_xlfn.XLOOKUP(tblMaster[[#This Row],[Shift]],tblShift[Shift_Name],tblShift[Login_Time],"")</f>
        <v>0.375</v>
      </c>
      <c r="AF701">
        <f>_xlfn.XLOOKUP(tblMaster[[#This Row],[Shift]],tblShift[Shift_Name],tblShift[Logout_Time]," ")</f>
        <v>0.75</v>
      </c>
      <c r="AG701">
        <f>_xlfn.XLOOKUP(tblMaster[[#This Row],[Shift]],tblShift[Shift_Name],tblShift[Standard_Working_Hours],"")</f>
        <v>8</v>
      </c>
      <c r="AH701" t="str">
        <f>_xlfn.XLOOKUP(tblMaster[[#This Row],[Attendance_Date]],tblHoliday[Holiday_Date],tblHoliday[Holiday_Name],"Working Day")</f>
        <v>Good Friday</v>
      </c>
      <c r="AI701" t="str">
        <f>_xlfn.XLOOKUP(tblMaster[[#This Row],[Attendance_Date]],tblHoliday[Holiday_Date],tblHoliday[Holiday_Type],"Working Day ")</f>
        <v>Restricted</v>
      </c>
    </row>
    <row r="702" spans="1:35" hidden="1" x14ac:dyDescent="0.3">
      <c r="A702" t="s">
        <v>891</v>
      </c>
      <c r="B702" s="3">
        <v>45781</v>
      </c>
      <c r="C702" t="s">
        <v>57</v>
      </c>
      <c r="D702" t="s">
        <v>24</v>
      </c>
      <c r="E702" t="s">
        <v>103</v>
      </c>
      <c r="F702" t="s">
        <v>288</v>
      </c>
      <c r="G702" t="s">
        <v>289</v>
      </c>
      <c r="H702" t="s">
        <v>28</v>
      </c>
      <c r="I702" t="s">
        <v>29</v>
      </c>
      <c r="J702" t="s">
        <v>74</v>
      </c>
      <c r="K702" t="s">
        <v>44</v>
      </c>
      <c r="M702" s="2">
        <v>0.75</v>
      </c>
      <c r="N702">
        <v>8</v>
      </c>
      <c r="O702">
        <v>0</v>
      </c>
      <c r="P702" t="s">
        <v>32</v>
      </c>
      <c r="R702">
        <v>4</v>
      </c>
      <c r="S702" t="s">
        <v>92</v>
      </c>
      <c r="T702" t="s">
        <v>34</v>
      </c>
      <c r="U702" t="s">
        <v>55</v>
      </c>
      <c r="V702" t="s">
        <v>69</v>
      </c>
      <c r="W702">
        <f>_xlfn.XLOOKUP(F702,tblEmployee[Employee_ID],tblEmployee[Age],"Not Found")</f>
        <v>29</v>
      </c>
      <c r="X702" t="str">
        <f>_xlfn.XLOOKUP(F702,tblEmployee[Employee_ID],tblEmployee[Gender],"Not Found")</f>
        <v>Male</v>
      </c>
      <c r="Y702">
        <f>_xlfn.XLOOKUP(F702,tblEmployee[Employee_ID],tblEmployee[Joining_Date],"")</f>
        <v>43327</v>
      </c>
      <c r="Z702">
        <f>_xlfn.XLOOKUP(H702,tblDepartment[Department],tblDepartment[Annual_Budget_INR],"")</f>
        <v>24000000</v>
      </c>
      <c r="AA702" t="str">
        <f>_xlfn.XLOOKUP(H702,tblDepartment[Department],tblDepartment[Monthly_Target],"")</f>
        <v>90% Customer Satisfaction</v>
      </c>
      <c r="AB702">
        <f>_xlfn.XLOOKUP(H702,tblDepartment[Department],tblDepartment[Average_Salary_INR],"")</f>
        <v>520000</v>
      </c>
      <c r="AC702" t="str">
        <f>_xlfn.XLOOKUP(H702,tblDepartment[Department],tblDepartment[Priority_Level],"")</f>
        <v>High</v>
      </c>
      <c r="AD702" t="str">
        <f>_xlfn.XLOOKUP(H702,tblDepartment[Department],tblDepartment[Key_KPI],"")</f>
        <v>Customer Satisfaction</v>
      </c>
      <c r="AE702">
        <f>_xlfn.XLOOKUP(tblMaster[[#This Row],[Shift]],tblShift[Shift_Name],tblShift[Login_Time],"")</f>
        <v>0.41666666666666669</v>
      </c>
      <c r="AF702">
        <f>_xlfn.XLOOKUP(tblMaster[[#This Row],[Shift]],tblShift[Shift_Name],tblShift[Logout_Time]," ")</f>
        <v>0.79166666666666663</v>
      </c>
      <c r="AG702">
        <f>_xlfn.XLOOKUP(tblMaster[[#This Row],[Shift]],tblShift[Shift_Name],tblShift[Standard_Working_Hours],"")</f>
        <v>8</v>
      </c>
      <c r="AH702" t="str">
        <f>_xlfn.XLOOKUP(tblMaster[[#This Row],[Attendance_Date]],tblHoliday[Holiday_Date],tblHoliday[Holiday_Name],"Working Day")</f>
        <v>Working Day</v>
      </c>
      <c r="AI702" t="str">
        <f>_xlfn.XLOOKUP(tblMaster[[#This Row],[Attendance_Date]],tblHoliday[Holiday_Date],tblHoliday[Holiday_Type],"Working Day ")</f>
        <v xml:space="preserve">Working Day </v>
      </c>
    </row>
    <row r="703" spans="1:35" x14ac:dyDescent="0.3">
      <c r="A703" t="s">
        <v>892</v>
      </c>
      <c r="B703" s="3">
        <v>45814</v>
      </c>
      <c r="C703" t="s">
        <v>23</v>
      </c>
      <c r="D703" t="s">
        <v>24</v>
      </c>
      <c r="E703" t="s">
        <v>119</v>
      </c>
      <c r="F703" t="s">
        <v>309</v>
      </c>
      <c r="G703" t="s">
        <v>310</v>
      </c>
      <c r="H703" t="s">
        <v>28</v>
      </c>
      <c r="I703" t="s">
        <v>29</v>
      </c>
      <c r="J703" t="s">
        <v>43</v>
      </c>
      <c r="K703" t="s">
        <v>75</v>
      </c>
      <c r="L703" s="2">
        <v>0.375</v>
      </c>
      <c r="M703" s="2">
        <v>0.75</v>
      </c>
      <c r="N703">
        <v>8</v>
      </c>
      <c r="O703">
        <v>0</v>
      </c>
      <c r="P703" t="s">
        <v>32</v>
      </c>
      <c r="R703">
        <v>4</v>
      </c>
      <c r="S703" t="s">
        <v>67</v>
      </c>
      <c r="T703" t="s">
        <v>34</v>
      </c>
      <c r="U703" t="str">
        <f>_xlfn.XLOOKUP(tblMaster[[#This Row],[Employee_ID]],tblEmployee[Employee_ID],tblEmployee[Work_Mode]," ")</f>
        <v>Remote</v>
      </c>
      <c r="V703" t="s">
        <v>60</v>
      </c>
      <c r="W703">
        <f>_xlfn.XLOOKUP(F703,tblEmployee[Employee_ID],tblEmployee[Age],"Not Found")</f>
        <v>39</v>
      </c>
      <c r="X703" t="str">
        <f>_xlfn.XLOOKUP(F703,tblEmployee[Employee_ID],tblEmployee[Gender],"Not Found")</f>
        <v>Male</v>
      </c>
      <c r="Y703">
        <f>_xlfn.XLOOKUP(F703,tblEmployee[Employee_ID],tblEmployee[Joining_Date],"")</f>
        <v>43449</v>
      </c>
      <c r="Z703">
        <f>_xlfn.XLOOKUP(H703,tblDepartment[Department],tblDepartment[Annual_Budget_INR],"")</f>
        <v>24000000</v>
      </c>
      <c r="AA703" t="str">
        <f>_xlfn.XLOOKUP(H703,tblDepartment[Department],tblDepartment[Monthly_Target],"")</f>
        <v>90% Customer Satisfaction</v>
      </c>
      <c r="AB703">
        <f>_xlfn.XLOOKUP(H703,tblDepartment[Department],tblDepartment[Average_Salary_INR],"")</f>
        <v>520000</v>
      </c>
      <c r="AC703" t="str">
        <f>_xlfn.XLOOKUP(H703,tblDepartment[Department],tblDepartment[Priority_Level],"")</f>
        <v>High</v>
      </c>
      <c r="AD703" t="str">
        <f>_xlfn.XLOOKUP(H703,tblDepartment[Department],tblDepartment[Key_KPI],"")</f>
        <v>Customer Satisfaction</v>
      </c>
      <c r="AE703">
        <f>_xlfn.XLOOKUP(tblMaster[[#This Row],[Shift]],tblShift[Shift_Name],tblShift[Login_Time],"")</f>
        <v>0.375</v>
      </c>
      <c r="AF703">
        <f>_xlfn.XLOOKUP(tblMaster[[#This Row],[Shift]],tblShift[Shift_Name],tblShift[Logout_Time]," ")</f>
        <v>0.75</v>
      </c>
      <c r="AG703">
        <f>_xlfn.XLOOKUP(tblMaster[[#This Row],[Shift]],tblShift[Shift_Name],tblShift[Standard_Working_Hours],"")</f>
        <v>8</v>
      </c>
      <c r="AH703" t="str">
        <f>_xlfn.XLOOKUP(tblMaster[[#This Row],[Attendance_Date]],tblHoliday[Holiday_Date],tblHoliday[Holiday_Name],"Working Day")</f>
        <v>Working Day</v>
      </c>
      <c r="AI703" t="str">
        <f>_xlfn.XLOOKUP(tblMaster[[#This Row],[Attendance_Date]],tblHoliday[Holiday_Date],tblHoliday[Holiday_Type],"Working Day ")</f>
        <v xml:space="preserve">Working Day </v>
      </c>
    </row>
    <row r="704" spans="1:35" hidden="1" x14ac:dyDescent="0.3">
      <c r="A704" t="s">
        <v>893</v>
      </c>
      <c r="B704" s="1">
        <v>45831</v>
      </c>
      <c r="C704" t="s">
        <v>23</v>
      </c>
      <c r="D704" t="s">
        <v>24</v>
      </c>
      <c r="E704" t="s">
        <v>109</v>
      </c>
      <c r="F704" t="s">
        <v>170</v>
      </c>
      <c r="G704" t="s">
        <v>171</v>
      </c>
      <c r="H704" t="s">
        <v>64</v>
      </c>
      <c r="I704" t="s">
        <v>65</v>
      </c>
      <c r="J704" t="s">
        <v>43</v>
      </c>
      <c r="K704" t="s">
        <v>31</v>
      </c>
      <c r="P704" t="s">
        <v>135</v>
      </c>
      <c r="S704" t="s">
        <v>67</v>
      </c>
      <c r="T704" t="s">
        <v>68</v>
      </c>
      <c r="U704" t="s">
        <v>47</v>
      </c>
      <c r="V704" t="s">
        <v>35</v>
      </c>
      <c r="W704">
        <f>_xlfn.XLOOKUP(F704,tblEmployee[Employee_ID],tblEmployee[Age],"Not Found")</f>
        <v>36</v>
      </c>
      <c r="X704" t="str">
        <f>_xlfn.XLOOKUP(F704,tblEmployee[Employee_ID],tblEmployee[Gender],"Not Found")</f>
        <v>Female</v>
      </c>
      <c r="Y704">
        <f>_xlfn.XLOOKUP(F704,tblEmployee[Employee_ID],tblEmployee[Joining_Date],"")</f>
        <v>43539</v>
      </c>
      <c r="Z704">
        <f>_xlfn.XLOOKUP(H704,tblDepartment[Department],tblDepartment[Annual_Budget_INR],"")</f>
        <v>85000000</v>
      </c>
      <c r="AA704" t="str">
        <f>_xlfn.XLOOKUP(H704,tblDepartment[Department],tblDepartment[Monthly_Target],"")</f>
        <v>99.5% System Uptime</v>
      </c>
      <c r="AB704">
        <f>_xlfn.XLOOKUP(H704,tblDepartment[Department],tblDepartment[Average_Salary_INR],"")</f>
        <v>720000</v>
      </c>
      <c r="AC704" t="str">
        <f>_xlfn.XLOOKUP(H704,tblDepartment[Department],tblDepartment[Priority_Level],"")</f>
        <v>High</v>
      </c>
      <c r="AD704" t="str">
        <f>_xlfn.XLOOKUP(H704,tblDepartment[Department],tblDepartment[Key_KPI],"")</f>
        <v>Project Delivery</v>
      </c>
      <c r="AE704">
        <f>_xlfn.XLOOKUP(tblMaster[[#This Row],[Shift]],tblShift[Shift_Name],tblShift[Login_Time],"")</f>
        <v>0.25</v>
      </c>
      <c r="AF704">
        <f>_xlfn.XLOOKUP(tblMaster[[#This Row],[Shift]],tblShift[Shift_Name],tblShift[Logout_Time]," ")</f>
        <v>0.625</v>
      </c>
      <c r="AG704">
        <f>_xlfn.XLOOKUP(tblMaster[[#This Row],[Shift]],tblShift[Shift_Name],tblShift[Standard_Working_Hours],"")</f>
        <v>8</v>
      </c>
      <c r="AH704" t="str">
        <f>_xlfn.XLOOKUP(tblMaster[[#This Row],[Attendance_Date]],tblHoliday[Holiday_Date],tblHoliday[Holiday_Name],"Working Day")</f>
        <v>Working Day</v>
      </c>
      <c r="AI704" t="str">
        <f>_xlfn.XLOOKUP(tblMaster[[#This Row],[Attendance_Date]],tblHoliday[Holiday_Date],tblHoliday[Holiday_Type],"Working Day ")</f>
        <v xml:space="preserve">Working Day </v>
      </c>
    </row>
    <row r="705" spans="1:35" hidden="1" x14ac:dyDescent="0.3">
      <c r="A705" t="s">
        <v>894</v>
      </c>
      <c r="B705" s="3">
        <v>45827</v>
      </c>
      <c r="C705" t="s">
        <v>23</v>
      </c>
      <c r="D705" t="s">
        <v>24</v>
      </c>
      <c r="E705" t="s">
        <v>25</v>
      </c>
      <c r="F705" t="s">
        <v>211</v>
      </c>
      <c r="G705" t="s">
        <v>212</v>
      </c>
      <c r="H705" t="s">
        <v>64</v>
      </c>
      <c r="I705" t="s">
        <v>65</v>
      </c>
      <c r="J705" t="s">
        <v>74</v>
      </c>
      <c r="K705" t="s">
        <v>75</v>
      </c>
      <c r="L705" s="2">
        <v>0.375</v>
      </c>
      <c r="M705" s="2">
        <v>0.75</v>
      </c>
      <c r="N705">
        <v>8</v>
      </c>
      <c r="O705">
        <v>0</v>
      </c>
      <c r="P705" t="s">
        <v>32</v>
      </c>
      <c r="R705">
        <v>4</v>
      </c>
      <c r="S705" t="s">
        <v>45</v>
      </c>
      <c r="T705" t="s">
        <v>68</v>
      </c>
      <c r="U705" t="s">
        <v>85</v>
      </c>
      <c r="V705" t="s">
        <v>60</v>
      </c>
      <c r="W705">
        <f>_xlfn.XLOOKUP(F705,tblEmployee[Employee_ID],tblEmployee[Age],"Not Found")</f>
        <v>26</v>
      </c>
      <c r="X705" t="str">
        <f>_xlfn.XLOOKUP(F705,tblEmployee[Employee_ID],tblEmployee[Gender],"Not Found")</f>
        <v>Female</v>
      </c>
      <c r="Y705">
        <f>_xlfn.XLOOKUP(F705,tblEmployee[Employee_ID],tblEmployee[Joining_Date],"")</f>
        <v>43784</v>
      </c>
      <c r="Z705">
        <f>_xlfn.XLOOKUP(H705,tblDepartment[Department],tblDepartment[Annual_Budget_INR],"")</f>
        <v>85000000</v>
      </c>
      <c r="AA705" t="str">
        <f>_xlfn.XLOOKUP(H705,tblDepartment[Department],tblDepartment[Monthly_Target],"")</f>
        <v>99.5% System Uptime</v>
      </c>
      <c r="AB705">
        <f>_xlfn.XLOOKUP(H705,tblDepartment[Department],tblDepartment[Average_Salary_INR],"")</f>
        <v>720000</v>
      </c>
      <c r="AC705" t="str">
        <f>_xlfn.XLOOKUP(H705,tblDepartment[Department],tblDepartment[Priority_Level],"")</f>
        <v>High</v>
      </c>
      <c r="AD705" t="str">
        <f>_xlfn.XLOOKUP(H705,tblDepartment[Department],tblDepartment[Key_KPI],"")</f>
        <v>Project Delivery</v>
      </c>
      <c r="AE705">
        <f>_xlfn.XLOOKUP(tblMaster[[#This Row],[Shift]],tblShift[Shift_Name],tblShift[Login_Time],"")</f>
        <v>0.375</v>
      </c>
      <c r="AF705">
        <f>_xlfn.XLOOKUP(tblMaster[[#This Row],[Shift]],tblShift[Shift_Name],tblShift[Logout_Time]," ")</f>
        <v>0.75</v>
      </c>
      <c r="AG705">
        <f>_xlfn.XLOOKUP(tblMaster[[#This Row],[Shift]],tblShift[Shift_Name],tblShift[Standard_Working_Hours],"")</f>
        <v>8</v>
      </c>
      <c r="AH705" t="str">
        <f>_xlfn.XLOOKUP(tblMaster[[#This Row],[Attendance_Date]],tblHoliday[Holiday_Date],tblHoliday[Holiday_Name],"Working Day")</f>
        <v>Working Day</v>
      </c>
      <c r="AI705" t="str">
        <f>_xlfn.XLOOKUP(tblMaster[[#This Row],[Attendance_Date]],tblHoliday[Holiday_Date],tblHoliday[Holiday_Type],"Working Day ")</f>
        <v xml:space="preserve">Working Day </v>
      </c>
    </row>
    <row r="706" spans="1:35" hidden="1" x14ac:dyDescent="0.3">
      <c r="A706" t="s">
        <v>895</v>
      </c>
      <c r="B706" s="1">
        <v>45728</v>
      </c>
      <c r="C706" t="s">
        <v>71</v>
      </c>
      <c r="D706" t="s">
        <v>50</v>
      </c>
      <c r="E706" t="s">
        <v>51</v>
      </c>
      <c r="F706" t="s">
        <v>151</v>
      </c>
      <c r="G706" t="s">
        <v>152</v>
      </c>
      <c r="H706" t="s">
        <v>98</v>
      </c>
      <c r="I706" t="s">
        <v>99</v>
      </c>
      <c r="J706" t="s">
        <v>30</v>
      </c>
      <c r="K706" t="s">
        <v>31</v>
      </c>
      <c r="L706" s="2">
        <v>0.375</v>
      </c>
      <c r="M706" s="2">
        <v>0.75</v>
      </c>
      <c r="N706">
        <v>8</v>
      </c>
      <c r="O706">
        <v>0</v>
      </c>
      <c r="P706" t="s">
        <v>32</v>
      </c>
      <c r="R706">
        <v>4</v>
      </c>
      <c r="S706" t="s">
        <v>33</v>
      </c>
      <c r="T706" t="s">
        <v>101</v>
      </c>
      <c r="U706" t="s">
        <v>47</v>
      </c>
      <c r="V706" t="s">
        <v>69</v>
      </c>
      <c r="W706">
        <f>_xlfn.XLOOKUP(F706,tblEmployee[Employee_ID],tblEmployee[Age],"Not Found")</f>
        <v>38</v>
      </c>
      <c r="X706" t="str">
        <f>_xlfn.XLOOKUP(F706,tblEmployee[Employee_ID],tblEmployee[Gender],"Not Found")</f>
        <v>Female</v>
      </c>
      <c r="Y706">
        <f>_xlfn.XLOOKUP(F706,tblEmployee[Employee_ID],tblEmployee[Joining_Date],"")</f>
        <v>45611</v>
      </c>
      <c r="Z706">
        <f>_xlfn.XLOOKUP(H706,tblDepartment[Department],tblDepartment[Annual_Budget_INR],"")</f>
        <v>22000000</v>
      </c>
      <c r="AA706" t="str">
        <f>_xlfn.XLOOKUP(H706,tblDepartment[Department],tblDepartment[Monthly_Target],"")</f>
        <v>2500 Qualified Leads</v>
      </c>
      <c r="AB706">
        <f>_xlfn.XLOOKUP(H706,tblDepartment[Department],tblDepartment[Average_Salary_INR],"")</f>
        <v>590000</v>
      </c>
      <c r="AC706" t="str">
        <f>_xlfn.XLOOKUP(H706,tblDepartment[Department],tblDepartment[Priority_Level],"")</f>
        <v>Medium</v>
      </c>
      <c r="AD706" t="str">
        <f>_xlfn.XLOOKUP(H706,tblDepartment[Department],tblDepartment[Key_KPI],"")</f>
        <v>Lead Generation</v>
      </c>
      <c r="AE706">
        <f>_xlfn.XLOOKUP(tblMaster[[#This Row],[Shift]],tblShift[Shift_Name],tblShift[Login_Time],"")</f>
        <v>0.25</v>
      </c>
      <c r="AF706">
        <f>_xlfn.XLOOKUP(tblMaster[[#This Row],[Shift]],tblShift[Shift_Name],tblShift[Logout_Time]," ")</f>
        <v>0.625</v>
      </c>
      <c r="AG706">
        <f>_xlfn.XLOOKUP(tblMaster[[#This Row],[Shift]],tblShift[Shift_Name],tblShift[Standard_Working_Hours],"")</f>
        <v>8</v>
      </c>
      <c r="AH706" t="str">
        <f>_xlfn.XLOOKUP(tblMaster[[#This Row],[Attendance_Date]],tblHoliday[Holiday_Date],tblHoliday[Holiday_Name],"Working Day")</f>
        <v>Working Day</v>
      </c>
      <c r="AI706" t="str">
        <f>_xlfn.XLOOKUP(tblMaster[[#This Row],[Attendance_Date]],tblHoliday[Holiday_Date],tblHoliday[Holiday_Type],"Working Day ")</f>
        <v xml:space="preserve">Working Day </v>
      </c>
    </row>
    <row r="707" spans="1:35" x14ac:dyDescent="0.3">
      <c r="A707" t="s">
        <v>896</v>
      </c>
      <c r="B707" s="3">
        <v>45832</v>
      </c>
      <c r="C707" t="s">
        <v>23</v>
      </c>
      <c r="D707" t="s">
        <v>24</v>
      </c>
      <c r="E707" t="s">
        <v>87</v>
      </c>
      <c r="F707" t="s">
        <v>142</v>
      </c>
      <c r="G707" t="s">
        <v>143</v>
      </c>
      <c r="H707" t="s">
        <v>64</v>
      </c>
      <c r="I707" t="s">
        <v>65</v>
      </c>
      <c r="J707" t="s">
        <v>43</v>
      </c>
      <c r="K707" t="s">
        <v>44</v>
      </c>
      <c r="L707" s="2">
        <v>0.375</v>
      </c>
      <c r="M707" s="2">
        <v>0.75</v>
      </c>
      <c r="N707">
        <v>8</v>
      </c>
      <c r="O707">
        <v>0</v>
      </c>
      <c r="P707" t="s">
        <v>32</v>
      </c>
      <c r="R707">
        <v>4</v>
      </c>
      <c r="S707" t="s">
        <v>67</v>
      </c>
      <c r="T707" t="s">
        <v>68</v>
      </c>
      <c r="U707" t="str">
        <f>_xlfn.XLOOKUP(tblMaster[[#This Row],[Employee_ID]],tblEmployee[Employee_ID],tblEmployee[Work_Mode]," ")</f>
        <v>Office</v>
      </c>
      <c r="W707">
        <f>_xlfn.XLOOKUP(F707,tblEmployee[Employee_ID],tblEmployee[Age],"Not Found")</f>
        <v>37</v>
      </c>
      <c r="X707" t="str">
        <f>_xlfn.XLOOKUP(F707,tblEmployee[Employee_ID],tblEmployee[Gender],"Not Found")</f>
        <v>Male</v>
      </c>
      <c r="Y707">
        <f>_xlfn.XLOOKUP(F707,tblEmployee[Employee_ID],tblEmployee[Joining_Date],"")</f>
        <v>43570</v>
      </c>
      <c r="Z707">
        <f>_xlfn.XLOOKUP(H707,tblDepartment[Department],tblDepartment[Annual_Budget_INR],"")</f>
        <v>85000000</v>
      </c>
      <c r="AA707" t="str">
        <f>_xlfn.XLOOKUP(H707,tblDepartment[Department],tblDepartment[Monthly_Target],"")</f>
        <v>99.5% System Uptime</v>
      </c>
      <c r="AB707">
        <f>_xlfn.XLOOKUP(H707,tblDepartment[Department],tblDepartment[Average_Salary_INR],"")</f>
        <v>720000</v>
      </c>
      <c r="AC707" t="str">
        <f>_xlfn.XLOOKUP(H707,tblDepartment[Department],tblDepartment[Priority_Level],"")</f>
        <v>High</v>
      </c>
      <c r="AD707" t="str">
        <f>_xlfn.XLOOKUP(H707,tblDepartment[Department],tblDepartment[Key_KPI],"")</f>
        <v>Project Delivery</v>
      </c>
      <c r="AE707">
        <f>_xlfn.XLOOKUP(tblMaster[[#This Row],[Shift]],tblShift[Shift_Name],tblShift[Login_Time],"")</f>
        <v>0.41666666666666669</v>
      </c>
      <c r="AF707">
        <f>_xlfn.XLOOKUP(tblMaster[[#This Row],[Shift]],tblShift[Shift_Name],tblShift[Logout_Time]," ")</f>
        <v>0.79166666666666663</v>
      </c>
      <c r="AG707">
        <f>_xlfn.XLOOKUP(tblMaster[[#This Row],[Shift]],tblShift[Shift_Name],tblShift[Standard_Working_Hours],"")</f>
        <v>8</v>
      </c>
      <c r="AH707" t="str">
        <f>_xlfn.XLOOKUP(tblMaster[[#This Row],[Attendance_Date]],tblHoliday[Holiday_Date],tblHoliday[Holiday_Name],"Working Day")</f>
        <v>Working Day</v>
      </c>
      <c r="AI707" t="str">
        <f>_xlfn.XLOOKUP(tblMaster[[#This Row],[Attendance_Date]],tblHoliday[Holiday_Date],tblHoliday[Holiday_Type],"Working Day ")</f>
        <v xml:space="preserve">Working Day </v>
      </c>
    </row>
    <row r="708" spans="1:35" hidden="1" x14ac:dyDescent="0.3">
      <c r="A708" t="s">
        <v>897</v>
      </c>
      <c r="B708" s="3">
        <v>45703</v>
      </c>
      <c r="C708" t="s">
        <v>95</v>
      </c>
      <c r="D708" t="s">
        <v>50</v>
      </c>
      <c r="E708" t="s">
        <v>38</v>
      </c>
      <c r="F708" t="s">
        <v>195</v>
      </c>
      <c r="G708" t="s">
        <v>196</v>
      </c>
      <c r="H708" t="s">
        <v>98</v>
      </c>
      <c r="I708" t="s">
        <v>99</v>
      </c>
      <c r="J708" t="s">
        <v>43</v>
      </c>
      <c r="K708" t="s">
        <v>44</v>
      </c>
      <c r="L708" s="2">
        <v>0.375</v>
      </c>
      <c r="M708" s="2">
        <v>0.75</v>
      </c>
      <c r="N708">
        <v>8</v>
      </c>
      <c r="O708">
        <v>0</v>
      </c>
      <c r="P708" t="s">
        <v>32</v>
      </c>
      <c r="R708">
        <v>5</v>
      </c>
      <c r="S708" t="s">
        <v>92</v>
      </c>
      <c r="T708" t="s">
        <v>101</v>
      </c>
      <c r="U708" t="s">
        <v>47</v>
      </c>
      <c r="V708" t="s">
        <v>35</v>
      </c>
      <c r="W708">
        <f>_xlfn.XLOOKUP(F708,tblEmployee[Employee_ID],tblEmployee[Age],"Not Found")</f>
        <v>24</v>
      </c>
      <c r="X708" t="str">
        <f>_xlfn.XLOOKUP(F708,tblEmployee[Employee_ID],tblEmployee[Gender],"Not Found")</f>
        <v>Male</v>
      </c>
      <c r="Y708">
        <f>_xlfn.XLOOKUP(F708,tblEmployee[Employee_ID],tblEmployee[Joining_Date],"")</f>
        <v>45550</v>
      </c>
      <c r="Z708">
        <f>_xlfn.XLOOKUP(H708,tblDepartment[Department],tblDepartment[Annual_Budget_INR],"")</f>
        <v>22000000</v>
      </c>
      <c r="AA708" t="str">
        <f>_xlfn.XLOOKUP(H708,tblDepartment[Department],tblDepartment[Monthly_Target],"")</f>
        <v>2500 Qualified Leads</v>
      </c>
      <c r="AB708">
        <f>_xlfn.XLOOKUP(H708,tblDepartment[Department],tblDepartment[Average_Salary_INR],"")</f>
        <v>590000</v>
      </c>
      <c r="AC708" t="str">
        <f>_xlfn.XLOOKUP(H708,tblDepartment[Department],tblDepartment[Priority_Level],"")</f>
        <v>Medium</v>
      </c>
      <c r="AD708" t="str">
        <f>_xlfn.XLOOKUP(H708,tblDepartment[Department],tblDepartment[Key_KPI],"")</f>
        <v>Lead Generation</v>
      </c>
      <c r="AE708">
        <f>_xlfn.XLOOKUP(tblMaster[[#This Row],[Shift]],tblShift[Shift_Name],tblShift[Login_Time],"")</f>
        <v>0.41666666666666669</v>
      </c>
      <c r="AF708">
        <f>_xlfn.XLOOKUP(tblMaster[[#This Row],[Shift]],tblShift[Shift_Name],tblShift[Logout_Time]," ")</f>
        <v>0.79166666666666663</v>
      </c>
      <c r="AG708">
        <f>_xlfn.XLOOKUP(tblMaster[[#This Row],[Shift]],tblShift[Shift_Name],tblShift[Standard_Working_Hours],"")</f>
        <v>8</v>
      </c>
      <c r="AH708" t="str">
        <f>_xlfn.XLOOKUP(tblMaster[[#This Row],[Attendance_Date]],tblHoliday[Holiday_Date],tblHoliday[Holiday_Name],"Working Day")</f>
        <v>Working Day</v>
      </c>
      <c r="AI708" t="str">
        <f>_xlfn.XLOOKUP(tblMaster[[#This Row],[Attendance_Date]],tblHoliday[Holiday_Date],tblHoliday[Holiday_Type],"Working Day ")</f>
        <v xml:space="preserve">Working Day </v>
      </c>
    </row>
    <row r="709" spans="1:35" hidden="1" x14ac:dyDescent="0.3">
      <c r="A709" t="s">
        <v>898</v>
      </c>
      <c r="B709" s="1">
        <v>45765</v>
      </c>
      <c r="C709" t="s">
        <v>37</v>
      </c>
      <c r="D709" t="s">
        <v>24</v>
      </c>
      <c r="E709" t="s">
        <v>119</v>
      </c>
      <c r="F709" t="s">
        <v>52</v>
      </c>
      <c r="G709" t="s">
        <v>53</v>
      </c>
      <c r="H709" t="s">
        <v>41</v>
      </c>
      <c r="I709" t="s">
        <v>42</v>
      </c>
      <c r="J709" t="s">
        <v>43</v>
      </c>
      <c r="K709" t="s">
        <v>54</v>
      </c>
      <c r="P709" t="s">
        <v>82</v>
      </c>
      <c r="Q709" t="s">
        <v>225</v>
      </c>
      <c r="S709" t="s">
        <v>67</v>
      </c>
      <c r="T709" t="s">
        <v>46</v>
      </c>
      <c r="U709" t="s">
        <v>85</v>
      </c>
      <c r="V709" t="s">
        <v>69</v>
      </c>
      <c r="W709">
        <f>_xlfn.XLOOKUP(F709,tblEmployee[Employee_ID],tblEmployee[Age],"Not Found")</f>
        <v>27</v>
      </c>
      <c r="X709" t="str">
        <f>_xlfn.XLOOKUP(F709,tblEmployee[Employee_ID],tblEmployee[Gender],"Not Found")</f>
        <v>Male</v>
      </c>
      <c r="Y709">
        <f>_xlfn.XLOOKUP(F709,tblEmployee[Employee_ID],tblEmployee[Joining_Date],"")</f>
        <v>45092</v>
      </c>
      <c r="Z709">
        <f>_xlfn.XLOOKUP(H709,tblDepartment[Department],tblDepartment[Annual_Budget_INR],"")</f>
        <v>34000000</v>
      </c>
      <c r="AA709" t="str">
        <f>_xlfn.XLOOKUP(H709,tblDepartment[Department],tblDepartment[Monthly_Target],"")</f>
        <v>95% Process Efficiency</v>
      </c>
      <c r="AB709">
        <f>_xlfn.XLOOKUP(H709,tblDepartment[Department],tblDepartment[Average_Salary_INR],"")</f>
        <v>610000</v>
      </c>
      <c r="AC709" t="str">
        <f>_xlfn.XLOOKUP(H709,tblDepartment[Department],tblDepartment[Priority_Level],"")</f>
        <v>High</v>
      </c>
      <c r="AD709" t="str">
        <f>_xlfn.XLOOKUP(H709,tblDepartment[Department],tblDepartment[Key_KPI],"")</f>
        <v>Operational Efficiency</v>
      </c>
      <c r="AE709">
        <f>_xlfn.XLOOKUP(tblMaster[[#This Row],[Shift]],tblShift[Shift_Name],tblShift[Login_Time],"")</f>
        <v>0.58333333333333337</v>
      </c>
      <c r="AF709">
        <f>_xlfn.XLOOKUP(tblMaster[[#This Row],[Shift]],tblShift[Shift_Name],tblShift[Logout_Time]," ")</f>
        <v>0.95833333333333337</v>
      </c>
      <c r="AG709">
        <f>_xlfn.XLOOKUP(tblMaster[[#This Row],[Shift]],tblShift[Shift_Name],tblShift[Standard_Working_Hours],"")</f>
        <v>8</v>
      </c>
      <c r="AH709" t="str">
        <f>_xlfn.XLOOKUP(tblMaster[[#This Row],[Attendance_Date]],tblHoliday[Holiday_Date],tblHoliday[Holiday_Name],"Working Day")</f>
        <v>Good Friday</v>
      </c>
      <c r="AI709" t="str">
        <f>_xlfn.XLOOKUP(tblMaster[[#This Row],[Attendance_Date]],tblHoliday[Holiday_Date],tblHoliday[Holiday_Type],"Working Day ")</f>
        <v>Restricted</v>
      </c>
    </row>
    <row r="710" spans="1:35" hidden="1" x14ac:dyDescent="0.3">
      <c r="A710" t="s">
        <v>899</v>
      </c>
      <c r="B710" s="3">
        <v>45747</v>
      </c>
      <c r="C710" t="s">
        <v>71</v>
      </c>
      <c r="D710" t="s">
        <v>50</v>
      </c>
      <c r="E710" t="s">
        <v>109</v>
      </c>
      <c r="F710" t="s">
        <v>124</v>
      </c>
      <c r="G710" t="s">
        <v>125</v>
      </c>
      <c r="H710" t="s">
        <v>28</v>
      </c>
      <c r="I710" t="s">
        <v>29</v>
      </c>
      <c r="J710" t="s">
        <v>66</v>
      </c>
      <c r="K710" t="s">
        <v>75</v>
      </c>
      <c r="L710" s="2">
        <v>0.375</v>
      </c>
      <c r="M710" s="2">
        <v>0.75</v>
      </c>
      <c r="N710">
        <v>8</v>
      </c>
      <c r="O710">
        <v>0</v>
      </c>
      <c r="P710" t="s">
        <v>32</v>
      </c>
      <c r="R710">
        <v>4</v>
      </c>
      <c r="S710" t="s">
        <v>33</v>
      </c>
      <c r="T710" t="s">
        <v>34</v>
      </c>
      <c r="U710" t="s">
        <v>55</v>
      </c>
      <c r="W710">
        <f>_xlfn.XLOOKUP(F710,tblEmployee[Employee_ID],tblEmployee[Age],"Not Found")</f>
        <v>25</v>
      </c>
      <c r="X710" t="str">
        <f>_xlfn.XLOOKUP(F710,tblEmployee[Employee_ID],tblEmployee[Gender],"Not Found")</f>
        <v>Male</v>
      </c>
      <c r="Y710">
        <f>_xlfn.XLOOKUP(F710,tblEmployee[Employee_ID],tblEmployee[Joining_Date],"")</f>
        <v>43388</v>
      </c>
      <c r="Z710">
        <f>_xlfn.XLOOKUP(H710,tblDepartment[Department],tblDepartment[Annual_Budget_INR],"")</f>
        <v>24000000</v>
      </c>
      <c r="AA710" t="str">
        <f>_xlfn.XLOOKUP(H710,tblDepartment[Department],tblDepartment[Monthly_Target],"")</f>
        <v>90% Customer Satisfaction</v>
      </c>
      <c r="AB710">
        <f>_xlfn.XLOOKUP(H710,tblDepartment[Department],tblDepartment[Average_Salary_INR],"")</f>
        <v>520000</v>
      </c>
      <c r="AC710" t="str">
        <f>_xlfn.XLOOKUP(H710,tblDepartment[Department],tblDepartment[Priority_Level],"")</f>
        <v>High</v>
      </c>
      <c r="AD710" t="str">
        <f>_xlfn.XLOOKUP(H710,tblDepartment[Department],tblDepartment[Key_KPI],"")</f>
        <v>Customer Satisfaction</v>
      </c>
      <c r="AE710">
        <f>_xlfn.XLOOKUP(tblMaster[[#This Row],[Shift]],tblShift[Shift_Name],tblShift[Login_Time],"")</f>
        <v>0.375</v>
      </c>
      <c r="AF710">
        <f>_xlfn.XLOOKUP(tblMaster[[#This Row],[Shift]],tblShift[Shift_Name],tblShift[Logout_Time]," ")</f>
        <v>0.75</v>
      </c>
      <c r="AG710">
        <f>_xlfn.XLOOKUP(tblMaster[[#This Row],[Shift]],tblShift[Shift_Name],tblShift[Standard_Working_Hours],"")</f>
        <v>8</v>
      </c>
      <c r="AH710" t="str">
        <f>_xlfn.XLOOKUP(tblMaster[[#This Row],[Attendance_Date]],tblHoliday[Holiday_Date],tblHoliday[Holiday_Name],"Working Day")</f>
        <v>Working Day</v>
      </c>
      <c r="AI710" t="str">
        <f>_xlfn.XLOOKUP(tblMaster[[#This Row],[Attendance_Date]],tblHoliday[Holiday_Date],tblHoliday[Holiday_Type],"Working Day ")</f>
        <v xml:space="preserve">Working Day </v>
      </c>
    </row>
    <row r="711" spans="1:35" hidden="1" x14ac:dyDescent="0.3">
      <c r="A711" t="s">
        <v>900</v>
      </c>
      <c r="B711" s="3">
        <v>45787</v>
      </c>
      <c r="C711" t="s">
        <v>57</v>
      </c>
      <c r="D711" t="s">
        <v>24</v>
      </c>
      <c r="E711" t="s">
        <v>38</v>
      </c>
      <c r="F711" t="s">
        <v>104</v>
      </c>
      <c r="G711" t="s">
        <v>105</v>
      </c>
      <c r="H711" t="s">
        <v>28</v>
      </c>
      <c r="I711" t="s">
        <v>29</v>
      </c>
      <c r="J711" t="s">
        <v>30</v>
      </c>
      <c r="K711" t="s">
        <v>31</v>
      </c>
      <c r="L711" s="2">
        <v>0.375</v>
      </c>
      <c r="M711" s="2">
        <v>0.75</v>
      </c>
      <c r="N711">
        <v>8</v>
      </c>
      <c r="O711">
        <v>0</v>
      </c>
      <c r="P711" t="s">
        <v>32</v>
      </c>
      <c r="R711">
        <v>4</v>
      </c>
      <c r="S711" t="s">
        <v>33</v>
      </c>
      <c r="T711" t="s">
        <v>34</v>
      </c>
      <c r="U711" t="s">
        <v>55</v>
      </c>
      <c r="W711">
        <f>_xlfn.XLOOKUP(F711,tblEmployee[Employee_ID],tblEmployee[Age],"Not Found")</f>
        <v>35</v>
      </c>
      <c r="X711" t="str">
        <f>_xlfn.XLOOKUP(F711,tblEmployee[Employee_ID],tblEmployee[Gender],"Not Found")</f>
        <v>Male</v>
      </c>
      <c r="Y711">
        <f>_xlfn.XLOOKUP(F711,tblEmployee[Employee_ID],tblEmployee[Joining_Date],"")</f>
        <v>43146</v>
      </c>
      <c r="Z711">
        <f>_xlfn.XLOOKUP(H711,tblDepartment[Department],tblDepartment[Annual_Budget_INR],"")</f>
        <v>24000000</v>
      </c>
      <c r="AA711" t="str">
        <f>_xlfn.XLOOKUP(H711,tblDepartment[Department],tblDepartment[Monthly_Target],"")</f>
        <v>90% Customer Satisfaction</v>
      </c>
      <c r="AB711">
        <f>_xlfn.XLOOKUP(H711,tblDepartment[Department],tblDepartment[Average_Salary_INR],"")</f>
        <v>520000</v>
      </c>
      <c r="AC711" t="str">
        <f>_xlfn.XLOOKUP(H711,tblDepartment[Department],tblDepartment[Priority_Level],"")</f>
        <v>High</v>
      </c>
      <c r="AD711" t="str">
        <f>_xlfn.XLOOKUP(H711,tblDepartment[Department],tblDepartment[Key_KPI],"")</f>
        <v>Customer Satisfaction</v>
      </c>
      <c r="AE711">
        <f>_xlfn.XLOOKUP(tblMaster[[#This Row],[Shift]],tblShift[Shift_Name],tblShift[Login_Time],"")</f>
        <v>0.25</v>
      </c>
      <c r="AF711">
        <f>_xlfn.XLOOKUP(tblMaster[[#This Row],[Shift]],tblShift[Shift_Name],tblShift[Logout_Time]," ")</f>
        <v>0.625</v>
      </c>
      <c r="AG711">
        <f>_xlfn.XLOOKUP(tblMaster[[#This Row],[Shift]],tblShift[Shift_Name],tblShift[Standard_Working_Hours],"")</f>
        <v>8</v>
      </c>
      <c r="AH711" t="str">
        <f>_xlfn.XLOOKUP(tblMaster[[#This Row],[Attendance_Date]],tblHoliday[Holiday_Date],tblHoliday[Holiday_Name],"Working Day")</f>
        <v>Working Day</v>
      </c>
      <c r="AI711" t="str">
        <f>_xlfn.XLOOKUP(tblMaster[[#This Row],[Attendance_Date]],tblHoliday[Holiday_Date],tblHoliday[Holiday_Type],"Working Day ")</f>
        <v xml:space="preserve">Working Day </v>
      </c>
    </row>
    <row r="712" spans="1:35" hidden="1" x14ac:dyDescent="0.3">
      <c r="A712" t="s">
        <v>901</v>
      </c>
      <c r="B712" s="1">
        <v>45796</v>
      </c>
      <c r="C712" t="s">
        <v>57</v>
      </c>
      <c r="D712" t="s">
        <v>24</v>
      </c>
      <c r="E712" t="s">
        <v>109</v>
      </c>
      <c r="F712" t="s">
        <v>62</v>
      </c>
      <c r="G712" t="s">
        <v>63</v>
      </c>
      <c r="H712" t="s">
        <v>64</v>
      </c>
      <c r="I712" t="s">
        <v>65</v>
      </c>
      <c r="J712" t="s">
        <v>66</v>
      </c>
      <c r="K712" t="s">
        <v>81</v>
      </c>
      <c r="P712" t="s">
        <v>135</v>
      </c>
      <c r="S712" t="s">
        <v>92</v>
      </c>
      <c r="T712" t="s">
        <v>68</v>
      </c>
      <c r="U712" t="s">
        <v>47</v>
      </c>
      <c r="W712">
        <f>_xlfn.XLOOKUP(F712,tblEmployee[Employee_ID],tblEmployee[Age],"Not Found")</f>
        <v>23</v>
      </c>
      <c r="X712" t="str">
        <f>_xlfn.XLOOKUP(F712,tblEmployee[Employee_ID],tblEmployee[Gender],"Not Found")</f>
        <v>Male</v>
      </c>
      <c r="Y712">
        <f>_xlfn.XLOOKUP(F712,tblEmployee[Employee_ID],tblEmployee[Joining_Date],"")</f>
        <v>43511</v>
      </c>
      <c r="Z712">
        <f>_xlfn.XLOOKUP(H712,tblDepartment[Department],tblDepartment[Annual_Budget_INR],"")</f>
        <v>85000000</v>
      </c>
      <c r="AA712" t="str">
        <f>_xlfn.XLOOKUP(H712,tblDepartment[Department],tblDepartment[Monthly_Target],"")</f>
        <v>99.5% System Uptime</v>
      </c>
      <c r="AB712">
        <f>_xlfn.XLOOKUP(H712,tblDepartment[Department],tblDepartment[Average_Salary_INR],"")</f>
        <v>720000</v>
      </c>
      <c r="AC712" t="str">
        <f>_xlfn.XLOOKUP(H712,tblDepartment[Department],tblDepartment[Priority_Level],"")</f>
        <v>High</v>
      </c>
      <c r="AD712" t="str">
        <f>_xlfn.XLOOKUP(H712,tblDepartment[Department],tblDepartment[Key_KPI],"")</f>
        <v>Project Delivery</v>
      </c>
      <c r="AE712">
        <f>_xlfn.XLOOKUP(tblMaster[[#This Row],[Shift]],tblShift[Shift_Name],tblShift[Login_Time],"")</f>
        <v>0.91666666666666663</v>
      </c>
      <c r="AF712">
        <f>_xlfn.XLOOKUP(tblMaster[[#This Row],[Shift]],tblShift[Shift_Name],tblShift[Logout_Time]," ")</f>
        <v>0.29166666666666669</v>
      </c>
      <c r="AG712">
        <f>_xlfn.XLOOKUP(tblMaster[[#This Row],[Shift]],tblShift[Shift_Name],tblShift[Standard_Working_Hours],"")</f>
        <v>8</v>
      </c>
      <c r="AH712" t="str">
        <f>_xlfn.XLOOKUP(tblMaster[[#This Row],[Attendance_Date]],tblHoliday[Holiday_Date],tblHoliday[Holiday_Name],"Working Day")</f>
        <v>Working Day</v>
      </c>
      <c r="AI712" t="str">
        <f>_xlfn.XLOOKUP(tblMaster[[#This Row],[Attendance_Date]],tblHoliday[Holiday_Date],tblHoliday[Holiday_Type],"Working Day ")</f>
        <v xml:space="preserve">Working Day </v>
      </c>
    </row>
    <row r="713" spans="1:35" hidden="1" x14ac:dyDescent="0.3">
      <c r="A713" t="s">
        <v>902</v>
      </c>
      <c r="B713" s="3">
        <v>45756</v>
      </c>
      <c r="C713" t="s">
        <v>37</v>
      </c>
      <c r="D713" t="s">
        <v>24</v>
      </c>
      <c r="E713" t="s">
        <v>51</v>
      </c>
      <c r="F713" t="s">
        <v>201</v>
      </c>
      <c r="G713" t="s">
        <v>202</v>
      </c>
      <c r="H713" t="s">
        <v>112</v>
      </c>
      <c r="I713" t="s">
        <v>113</v>
      </c>
      <c r="J713" t="s">
        <v>66</v>
      </c>
      <c r="K713" t="s">
        <v>31</v>
      </c>
      <c r="P713" t="s">
        <v>135</v>
      </c>
      <c r="S713" t="s">
        <v>33</v>
      </c>
      <c r="T713" t="s">
        <v>114</v>
      </c>
      <c r="U713" t="s">
        <v>55</v>
      </c>
      <c r="V713" t="s">
        <v>35</v>
      </c>
      <c r="W713">
        <f>_xlfn.XLOOKUP(F713,tblEmployee[Employee_ID],tblEmployee[Age],"Not Found")</f>
        <v>35</v>
      </c>
      <c r="X713" t="str">
        <f>_xlfn.XLOOKUP(F713,tblEmployee[Employee_ID],tblEmployee[Gender],"Not Found")</f>
        <v>Male</v>
      </c>
      <c r="Y713">
        <f>_xlfn.XLOOKUP(F713,tblEmployee[Employee_ID],tblEmployee[Joining_Date],"")</f>
        <v>44423</v>
      </c>
      <c r="Z713">
        <f>_xlfn.XLOOKUP(H713,tblDepartment[Department],tblDepartment[Annual_Budget_INR],"")</f>
        <v>42000000</v>
      </c>
      <c r="AA713" t="str">
        <f>_xlfn.XLOOKUP(H713,tblDepartment[Department],tblDepartment[Monthly_Target],"")</f>
        <v>₹2.5 Cr Monthly Sales</v>
      </c>
      <c r="AB713">
        <f>_xlfn.XLOOKUP(H713,tblDepartment[Department],tblDepartment[Average_Salary_INR],"")</f>
        <v>680000</v>
      </c>
      <c r="AC713" t="str">
        <f>_xlfn.XLOOKUP(H713,tblDepartment[Department],tblDepartment[Priority_Level],"")</f>
        <v>High</v>
      </c>
      <c r="AD713" t="str">
        <f>_xlfn.XLOOKUP(H713,tblDepartment[Department],tblDepartment[Key_KPI],"")</f>
        <v>Revenue Achievement</v>
      </c>
      <c r="AE713">
        <f>_xlfn.XLOOKUP(tblMaster[[#This Row],[Shift]],tblShift[Shift_Name],tblShift[Login_Time],"")</f>
        <v>0.25</v>
      </c>
      <c r="AF713">
        <f>_xlfn.XLOOKUP(tblMaster[[#This Row],[Shift]],tblShift[Shift_Name],tblShift[Logout_Time]," ")</f>
        <v>0.625</v>
      </c>
      <c r="AG713">
        <f>_xlfn.XLOOKUP(tblMaster[[#This Row],[Shift]],tblShift[Shift_Name],tblShift[Standard_Working_Hours],"")</f>
        <v>8</v>
      </c>
      <c r="AH713" t="str">
        <f>_xlfn.XLOOKUP(tblMaster[[#This Row],[Attendance_Date]],tblHoliday[Holiday_Date],tblHoliday[Holiday_Name],"Working Day")</f>
        <v>Working Day</v>
      </c>
      <c r="AI713" t="str">
        <f>_xlfn.XLOOKUP(tblMaster[[#This Row],[Attendance_Date]],tblHoliday[Holiday_Date],tblHoliday[Holiday_Type],"Working Day ")</f>
        <v xml:space="preserve">Working Day </v>
      </c>
    </row>
    <row r="714" spans="1:35" x14ac:dyDescent="0.3">
      <c r="A714" t="s">
        <v>903</v>
      </c>
      <c r="B714" s="3">
        <v>45733</v>
      </c>
      <c r="C714" t="s">
        <v>71</v>
      </c>
      <c r="D714" t="s">
        <v>50</v>
      </c>
      <c r="E714" t="s">
        <v>109</v>
      </c>
      <c r="F714" t="s">
        <v>127</v>
      </c>
      <c r="G714" t="s">
        <v>128</v>
      </c>
      <c r="H714" t="s">
        <v>90</v>
      </c>
      <c r="I714" t="s">
        <v>91</v>
      </c>
      <c r="J714" t="s">
        <v>66</v>
      </c>
      <c r="K714" t="s">
        <v>31</v>
      </c>
      <c r="M714" s="2">
        <v>0.75</v>
      </c>
      <c r="N714">
        <v>8</v>
      </c>
      <c r="O714">
        <v>0</v>
      </c>
      <c r="P714" t="s">
        <v>32</v>
      </c>
      <c r="R714">
        <v>5</v>
      </c>
      <c r="S714" t="s">
        <v>67</v>
      </c>
      <c r="T714" t="s">
        <v>93</v>
      </c>
      <c r="U714" t="str">
        <f>_xlfn.XLOOKUP(tblMaster[[#This Row],[Employee_ID]],tblEmployee[Employee_ID],tblEmployee[Work_Mode]," ")</f>
        <v>Hybrid</v>
      </c>
      <c r="W714">
        <f>_xlfn.XLOOKUP(F714,tblEmployee[Employee_ID],tblEmployee[Age],"Not Found")</f>
        <v>38</v>
      </c>
      <c r="X714" t="str">
        <f>_xlfn.XLOOKUP(F714,tblEmployee[Employee_ID],tblEmployee[Gender],"Not Found")</f>
        <v>Female</v>
      </c>
      <c r="Y714">
        <f>_xlfn.XLOOKUP(F714,tblEmployee[Employee_ID],tblEmployee[Joining_Date],"")</f>
        <v>43966</v>
      </c>
      <c r="Z714">
        <f>_xlfn.XLOOKUP(H714,tblDepartment[Department],tblDepartment[Annual_Budget_INR],"")</f>
        <v>18000000</v>
      </c>
      <c r="AA714" t="str">
        <f>_xlfn.XLOOKUP(H714,tblDepartment[Department],tblDepartment[Monthly_Target],"")</f>
        <v>&lt;30 Days Hiring Cycle</v>
      </c>
      <c r="AB714">
        <f>_xlfn.XLOOKUP(H714,tblDepartment[Department],tblDepartment[Average_Salary_INR],"")</f>
        <v>560000</v>
      </c>
      <c r="AC714" t="str">
        <f>_xlfn.XLOOKUP(H714,tblDepartment[Department],tblDepartment[Priority_Level],"")</f>
        <v>Medium</v>
      </c>
      <c r="AD714" t="str">
        <f>_xlfn.XLOOKUP(H714,tblDepartment[Department],tblDepartment[Key_KPI],"")</f>
        <v>Hiring &amp; Retention</v>
      </c>
      <c r="AE714">
        <f>_xlfn.XLOOKUP(tblMaster[[#This Row],[Shift]],tblShift[Shift_Name],tblShift[Login_Time],"")</f>
        <v>0.25</v>
      </c>
      <c r="AF714">
        <f>_xlfn.XLOOKUP(tblMaster[[#This Row],[Shift]],tblShift[Shift_Name],tblShift[Logout_Time]," ")</f>
        <v>0.625</v>
      </c>
      <c r="AG714">
        <f>_xlfn.XLOOKUP(tblMaster[[#This Row],[Shift]],tblShift[Shift_Name],tblShift[Standard_Working_Hours],"")</f>
        <v>8</v>
      </c>
      <c r="AH714" t="str">
        <f>_xlfn.XLOOKUP(tblMaster[[#This Row],[Attendance_Date]],tblHoliday[Holiday_Date],tblHoliday[Holiday_Name],"Working Day")</f>
        <v>Working Day</v>
      </c>
      <c r="AI714" t="str">
        <f>_xlfn.XLOOKUP(tblMaster[[#This Row],[Attendance_Date]],tblHoliday[Holiday_Date],tblHoliday[Holiday_Type],"Working Day ")</f>
        <v xml:space="preserve">Working Day </v>
      </c>
    </row>
    <row r="715" spans="1:35" hidden="1" x14ac:dyDescent="0.3">
      <c r="A715" t="s">
        <v>904</v>
      </c>
      <c r="B715" s="3">
        <v>45766</v>
      </c>
      <c r="C715" t="s">
        <v>37</v>
      </c>
      <c r="D715" t="s">
        <v>24</v>
      </c>
      <c r="E715" t="s">
        <v>38</v>
      </c>
      <c r="F715" t="s">
        <v>148</v>
      </c>
      <c r="G715" t="s">
        <v>149</v>
      </c>
      <c r="H715" t="s">
        <v>112</v>
      </c>
      <c r="I715" t="s">
        <v>113</v>
      </c>
      <c r="J715" t="s">
        <v>43</v>
      </c>
      <c r="K715" t="s">
        <v>31</v>
      </c>
      <c r="L715" s="2">
        <v>0.39930555555555558</v>
      </c>
      <c r="M715" s="2">
        <v>0.75</v>
      </c>
      <c r="N715">
        <v>8</v>
      </c>
      <c r="O715">
        <v>0</v>
      </c>
      <c r="P715" t="s">
        <v>32</v>
      </c>
      <c r="R715">
        <v>4</v>
      </c>
      <c r="S715" t="s">
        <v>92</v>
      </c>
      <c r="T715" t="s">
        <v>114</v>
      </c>
      <c r="U715" t="s">
        <v>47</v>
      </c>
      <c r="V715" t="s">
        <v>60</v>
      </c>
      <c r="W715">
        <f>_xlfn.XLOOKUP(F715,tblEmployee[Employee_ID],tblEmployee[Age],"Not Found")</f>
        <v>31</v>
      </c>
      <c r="X715" t="str">
        <f>_xlfn.XLOOKUP(F715,tblEmployee[Employee_ID],tblEmployee[Gender],"Not Found")</f>
        <v>Male</v>
      </c>
      <c r="Y715">
        <f>_xlfn.XLOOKUP(F715,tblEmployee[Employee_ID],tblEmployee[Joining_Date],"")</f>
        <v>44484</v>
      </c>
      <c r="Z715">
        <f>_xlfn.XLOOKUP(H715,tblDepartment[Department],tblDepartment[Annual_Budget_INR],"")</f>
        <v>42000000</v>
      </c>
      <c r="AA715" t="str">
        <f>_xlfn.XLOOKUP(H715,tblDepartment[Department],tblDepartment[Monthly_Target],"")</f>
        <v>₹2.5 Cr Monthly Sales</v>
      </c>
      <c r="AB715">
        <f>_xlfn.XLOOKUP(H715,tblDepartment[Department],tblDepartment[Average_Salary_INR],"")</f>
        <v>680000</v>
      </c>
      <c r="AC715" t="str">
        <f>_xlfn.XLOOKUP(H715,tblDepartment[Department],tblDepartment[Priority_Level],"")</f>
        <v>High</v>
      </c>
      <c r="AD715" t="str">
        <f>_xlfn.XLOOKUP(H715,tblDepartment[Department],tblDepartment[Key_KPI],"")</f>
        <v>Revenue Achievement</v>
      </c>
      <c r="AE715">
        <f>_xlfn.XLOOKUP(tblMaster[[#This Row],[Shift]],tblShift[Shift_Name],tblShift[Login_Time],"")</f>
        <v>0.25</v>
      </c>
      <c r="AF715">
        <f>_xlfn.XLOOKUP(tblMaster[[#This Row],[Shift]],tblShift[Shift_Name],tblShift[Logout_Time]," ")</f>
        <v>0.625</v>
      </c>
      <c r="AG715">
        <f>_xlfn.XLOOKUP(tblMaster[[#This Row],[Shift]],tblShift[Shift_Name],tblShift[Standard_Working_Hours],"")</f>
        <v>8</v>
      </c>
      <c r="AH715" t="str">
        <f>_xlfn.XLOOKUP(tblMaster[[#This Row],[Attendance_Date]],tblHoliday[Holiday_Date],tblHoliday[Holiday_Name],"Working Day")</f>
        <v>Working Day</v>
      </c>
      <c r="AI715" t="str">
        <f>_xlfn.XLOOKUP(tblMaster[[#This Row],[Attendance_Date]],tblHoliday[Holiday_Date],tblHoliday[Holiday_Type],"Working Day ")</f>
        <v xml:space="preserve">Working Day </v>
      </c>
    </row>
    <row r="716" spans="1:35" hidden="1" x14ac:dyDescent="0.3">
      <c r="A716" t="s">
        <v>905</v>
      </c>
      <c r="B716" s="3">
        <v>45672</v>
      </c>
      <c r="C716" t="s">
        <v>49</v>
      </c>
      <c r="D716" t="s">
        <v>50</v>
      </c>
      <c r="E716" t="s">
        <v>51</v>
      </c>
      <c r="F716" t="s">
        <v>275</v>
      </c>
      <c r="G716" t="s">
        <v>276</v>
      </c>
      <c r="H716" t="s">
        <v>64</v>
      </c>
      <c r="I716" t="s">
        <v>65</v>
      </c>
      <c r="J716" t="s">
        <v>100</v>
      </c>
      <c r="K716" t="s">
        <v>75</v>
      </c>
      <c r="L716" s="2">
        <v>0.375</v>
      </c>
      <c r="M716" s="2">
        <v>0.75</v>
      </c>
      <c r="N716">
        <v>9.5</v>
      </c>
      <c r="O716">
        <v>1.5</v>
      </c>
      <c r="P716" t="s">
        <v>32</v>
      </c>
      <c r="R716">
        <v>4</v>
      </c>
      <c r="S716" t="s">
        <v>67</v>
      </c>
      <c r="T716" t="s">
        <v>68</v>
      </c>
      <c r="U716" t="s">
        <v>47</v>
      </c>
      <c r="V716" t="s">
        <v>60</v>
      </c>
      <c r="W716">
        <f>_xlfn.XLOOKUP(F716,tblEmployee[Employee_ID],tblEmployee[Age],"Not Found")</f>
        <v>29</v>
      </c>
      <c r="X716" t="str">
        <f>_xlfn.XLOOKUP(F716,tblEmployee[Employee_ID],tblEmployee[Gender],"Not Found")</f>
        <v>Male</v>
      </c>
      <c r="Y716">
        <f>_xlfn.XLOOKUP(F716,tblEmployee[Employee_ID],tblEmployee[Joining_Date],"")</f>
        <v>43692</v>
      </c>
      <c r="Z716">
        <f>_xlfn.XLOOKUP(H716,tblDepartment[Department],tblDepartment[Annual_Budget_INR],"")</f>
        <v>85000000</v>
      </c>
      <c r="AA716" t="str">
        <f>_xlfn.XLOOKUP(H716,tblDepartment[Department],tblDepartment[Monthly_Target],"")</f>
        <v>99.5% System Uptime</v>
      </c>
      <c r="AB716">
        <f>_xlfn.XLOOKUP(H716,tblDepartment[Department],tblDepartment[Average_Salary_INR],"")</f>
        <v>720000</v>
      </c>
      <c r="AC716" t="str">
        <f>_xlfn.XLOOKUP(H716,tblDepartment[Department],tblDepartment[Priority_Level],"")</f>
        <v>High</v>
      </c>
      <c r="AD716" t="str">
        <f>_xlfn.XLOOKUP(H716,tblDepartment[Department],tblDepartment[Key_KPI],"")</f>
        <v>Project Delivery</v>
      </c>
      <c r="AE716">
        <f>_xlfn.XLOOKUP(tblMaster[[#This Row],[Shift]],tblShift[Shift_Name],tblShift[Login_Time],"")</f>
        <v>0.375</v>
      </c>
      <c r="AF716">
        <f>_xlfn.XLOOKUP(tblMaster[[#This Row],[Shift]],tblShift[Shift_Name],tblShift[Logout_Time]," ")</f>
        <v>0.75</v>
      </c>
      <c r="AG716">
        <f>_xlfn.XLOOKUP(tblMaster[[#This Row],[Shift]],tblShift[Shift_Name],tblShift[Standard_Working_Hours],"")</f>
        <v>8</v>
      </c>
      <c r="AH716" t="str">
        <f>_xlfn.XLOOKUP(tblMaster[[#This Row],[Attendance_Date]],tblHoliday[Holiday_Date],tblHoliday[Holiday_Name],"Working Day")</f>
        <v>Working Day</v>
      </c>
      <c r="AI716" t="str">
        <f>_xlfn.XLOOKUP(tblMaster[[#This Row],[Attendance_Date]],tblHoliday[Holiday_Date],tblHoliday[Holiday_Type],"Working Day ")</f>
        <v xml:space="preserve">Working Day </v>
      </c>
    </row>
    <row r="717" spans="1:35" x14ac:dyDescent="0.3">
      <c r="A717" t="s">
        <v>906</v>
      </c>
      <c r="B717" s="1">
        <v>45745</v>
      </c>
      <c r="C717" t="s">
        <v>71</v>
      </c>
      <c r="D717" t="s">
        <v>50</v>
      </c>
      <c r="E717" t="s">
        <v>38</v>
      </c>
      <c r="F717" t="s">
        <v>354</v>
      </c>
      <c r="G717" t="s">
        <v>355</v>
      </c>
      <c r="H717" t="s">
        <v>28</v>
      </c>
      <c r="I717" t="s">
        <v>29</v>
      </c>
      <c r="J717" t="s">
        <v>100</v>
      </c>
      <c r="K717" t="s">
        <v>54</v>
      </c>
      <c r="L717" s="2">
        <v>0.375</v>
      </c>
      <c r="M717" s="2">
        <v>0.75</v>
      </c>
      <c r="N717">
        <v>8</v>
      </c>
      <c r="O717">
        <v>0</v>
      </c>
      <c r="P717" t="s">
        <v>32</v>
      </c>
      <c r="S717" t="s">
        <v>67</v>
      </c>
      <c r="T717" t="s">
        <v>34</v>
      </c>
      <c r="U717" t="str">
        <f>_xlfn.XLOOKUP(tblMaster[[#This Row],[Employee_ID]],tblEmployee[Employee_ID],tblEmployee[Work_Mode]," ")</f>
        <v>Hybrid</v>
      </c>
      <c r="W717">
        <f>_xlfn.XLOOKUP(F717,tblEmployee[Employee_ID],tblEmployee[Age],"Not Found")</f>
        <v>32</v>
      </c>
      <c r="X717" t="str">
        <f>_xlfn.XLOOKUP(F717,tblEmployee[Employee_ID],tblEmployee[Gender],"Not Found")</f>
        <v>Female</v>
      </c>
      <c r="Y717">
        <f>_xlfn.XLOOKUP(F717,tblEmployee[Employee_ID],tblEmployee[Joining_Date],"")</f>
        <v>43235</v>
      </c>
      <c r="Z717">
        <f>_xlfn.XLOOKUP(H717,tblDepartment[Department],tblDepartment[Annual_Budget_INR],"")</f>
        <v>24000000</v>
      </c>
      <c r="AA717" t="str">
        <f>_xlfn.XLOOKUP(H717,tblDepartment[Department],tblDepartment[Monthly_Target],"")</f>
        <v>90% Customer Satisfaction</v>
      </c>
      <c r="AB717">
        <f>_xlfn.XLOOKUP(H717,tblDepartment[Department],tblDepartment[Average_Salary_INR],"")</f>
        <v>520000</v>
      </c>
      <c r="AC717" t="str">
        <f>_xlfn.XLOOKUP(H717,tblDepartment[Department],tblDepartment[Priority_Level],"")</f>
        <v>High</v>
      </c>
      <c r="AD717" t="str">
        <f>_xlfn.XLOOKUP(H717,tblDepartment[Department],tblDepartment[Key_KPI],"")</f>
        <v>Customer Satisfaction</v>
      </c>
      <c r="AE717">
        <f>_xlfn.XLOOKUP(tblMaster[[#This Row],[Shift]],tblShift[Shift_Name],tblShift[Login_Time],"")</f>
        <v>0.58333333333333337</v>
      </c>
      <c r="AF717">
        <f>_xlfn.XLOOKUP(tblMaster[[#This Row],[Shift]],tblShift[Shift_Name],tblShift[Logout_Time]," ")</f>
        <v>0.95833333333333337</v>
      </c>
      <c r="AG717">
        <f>_xlfn.XLOOKUP(tblMaster[[#This Row],[Shift]],tblShift[Shift_Name],tblShift[Standard_Working_Hours],"")</f>
        <v>8</v>
      </c>
      <c r="AH717" t="str">
        <f>_xlfn.XLOOKUP(tblMaster[[#This Row],[Attendance_Date]],tblHoliday[Holiday_Date],tblHoliday[Holiday_Name],"Working Day")</f>
        <v>Working Day</v>
      </c>
      <c r="AI717" t="str">
        <f>_xlfn.XLOOKUP(tblMaster[[#This Row],[Attendance_Date]],tblHoliday[Holiday_Date],tblHoliday[Holiday_Type],"Working Day ")</f>
        <v xml:space="preserve">Working Day </v>
      </c>
    </row>
    <row r="718" spans="1:35" hidden="1" x14ac:dyDescent="0.3">
      <c r="A718" t="s">
        <v>907</v>
      </c>
      <c r="B718" s="3">
        <v>45789</v>
      </c>
      <c r="C718" t="s">
        <v>57</v>
      </c>
      <c r="D718" t="s">
        <v>24</v>
      </c>
      <c r="E718" t="s">
        <v>109</v>
      </c>
      <c r="F718" t="s">
        <v>182</v>
      </c>
      <c r="G718" t="s">
        <v>183</v>
      </c>
      <c r="H718" t="s">
        <v>112</v>
      </c>
      <c r="I718" t="s">
        <v>113</v>
      </c>
      <c r="J718" t="s">
        <v>30</v>
      </c>
      <c r="K718" t="s">
        <v>54</v>
      </c>
      <c r="L718" s="2">
        <v>0.39930555555555558</v>
      </c>
      <c r="M718" s="2">
        <v>0.75</v>
      </c>
      <c r="N718">
        <v>8</v>
      </c>
      <c r="O718">
        <v>0</v>
      </c>
      <c r="P718" t="s">
        <v>32</v>
      </c>
      <c r="R718">
        <v>4</v>
      </c>
      <c r="S718" t="s">
        <v>33</v>
      </c>
      <c r="T718" t="s">
        <v>114</v>
      </c>
      <c r="U718" t="s">
        <v>47</v>
      </c>
      <c r="W718">
        <f>_xlfn.XLOOKUP(F718,tblEmployee[Employee_ID],tblEmployee[Age],"Not Found")</f>
        <v>28</v>
      </c>
      <c r="X718" t="str">
        <f>_xlfn.XLOOKUP(F718,tblEmployee[Employee_ID],tblEmployee[Gender],"Not Found")</f>
        <v>Male</v>
      </c>
      <c r="Y718">
        <f>_xlfn.XLOOKUP(F718,tblEmployee[Employee_ID],tblEmployee[Joining_Date],"")</f>
        <v>44211</v>
      </c>
      <c r="Z718">
        <f>_xlfn.XLOOKUP(H718,tblDepartment[Department],tblDepartment[Annual_Budget_INR],"")</f>
        <v>42000000</v>
      </c>
      <c r="AA718" t="str">
        <f>_xlfn.XLOOKUP(H718,tblDepartment[Department],tblDepartment[Monthly_Target],"")</f>
        <v>₹2.5 Cr Monthly Sales</v>
      </c>
      <c r="AB718">
        <f>_xlfn.XLOOKUP(H718,tblDepartment[Department],tblDepartment[Average_Salary_INR],"")</f>
        <v>680000</v>
      </c>
      <c r="AC718" t="str">
        <f>_xlfn.XLOOKUP(H718,tblDepartment[Department],tblDepartment[Priority_Level],"")</f>
        <v>High</v>
      </c>
      <c r="AD718" t="str">
        <f>_xlfn.XLOOKUP(H718,tblDepartment[Department],tblDepartment[Key_KPI],"")</f>
        <v>Revenue Achievement</v>
      </c>
      <c r="AE718">
        <f>_xlfn.XLOOKUP(tblMaster[[#This Row],[Shift]],tblShift[Shift_Name],tblShift[Login_Time],"")</f>
        <v>0.58333333333333337</v>
      </c>
      <c r="AF718">
        <f>_xlfn.XLOOKUP(tblMaster[[#This Row],[Shift]],tblShift[Shift_Name],tblShift[Logout_Time]," ")</f>
        <v>0.95833333333333337</v>
      </c>
      <c r="AG718">
        <f>_xlfn.XLOOKUP(tblMaster[[#This Row],[Shift]],tblShift[Shift_Name],tblShift[Standard_Working_Hours],"")</f>
        <v>8</v>
      </c>
      <c r="AH718" t="str">
        <f>_xlfn.XLOOKUP(tblMaster[[#This Row],[Attendance_Date]],tblHoliday[Holiday_Date],tblHoliday[Holiday_Name],"Working Day")</f>
        <v>Working Day</v>
      </c>
      <c r="AI718" t="str">
        <f>_xlfn.XLOOKUP(tblMaster[[#This Row],[Attendance_Date]],tblHoliday[Holiday_Date],tblHoliday[Holiday_Type],"Working Day ")</f>
        <v xml:space="preserve">Working Day </v>
      </c>
    </row>
    <row r="719" spans="1:35" hidden="1" x14ac:dyDescent="0.3">
      <c r="A719" t="s">
        <v>908</v>
      </c>
      <c r="B719" s="3">
        <v>45706</v>
      </c>
      <c r="C719" t="s">
        <v>95</v>
      </c>
      <c r="D719" t="s">
        <v>50</v>
      </c>
      <c r="E719" t="s">
        <v>87</v>
      </c>
      <c r="F719" t="s">
        <v>148</v>
      </c>
      <c r="G719" t="s">
        <v>149</v>
      </c>
      <c r="H719" t="s">
        <v>112</v>
      </c>
      <c r="I719" t="s">
        <v>113</v>
      </c>
      <c r="J719" t="s">
        <v>43</v>
      </c>
      <c r="K719" t="s">
        <v>75</v>
      </c>
      <c r="L719" s="2">
        <v>0.3888888888888889</v>
      </c>
      <c r="M719" s="2">
        <v>0.75</v>
      </c>
      <c r="N719">
        <v>8</v>
      </c>
      <c r="O719">
        <v>0</v>
      </c>
      <c r="P719" t="s">
        <v>32</v>
      </c>
      <c r="R719">
        <v>3</v>
      </c>
      <c r="S719" t="s">
        <v>67</v>
      </c>
      <c r="T719" t="s">
        <v>114</v>
      </c>
      <c r="U719" t="s">
        <v>47</v>
      </c>
      <c r="V719" t="s">
        <v>35</v>
      </c>
      <c r="W719">
        <f>_xlfn.XLOOKUP(F719,tblEmployee[Employee_ID],tblEmployee[Age],"Not Found")</f>
        <v>31</v>
      </c>
      <c r="X719" t="str">
        <f>_xlfn.XLOOKUP(F719,tblEmployee[Employee_ID],tblEmployee[Gender],"Not Found")</f>
        <v>Male</v>
      </c>
      <c r="Y719">
        <f>_xlfn.XLOOKUP(F719,tblEmployee[Employee_ID],tblEmployee[Joining_Date],"")</f>
        <v>44484</v>
      </c>
      <c r="Z719">
        <f>_xlfn.XLOOKUP(H719,tblDepartment[Department],tblDepartment[Annual_Budget_INR],"")</f>
        <v>42000000</v>
      </c>
      <c r="AA719" t="str">
        <f>_xlfn.XLOOKUP(H719,tblDepartment[Department],tblDepartment[Monthly_Target],"")</f>
        <v>₹2.5 Cr Monthly Sales</v>
      </c>
      <c r="AB719">
        <f>_xlfn.XLOOKUP(H719,tblDepartment[Department],tblDepartment[Average_Salary_INR],"")</f>
        <v>680000</v>
      </c>
      <c r="AC719" t="str">
        <f>_xlfn.XLOOKUP(H719,tblDepartment[Department],tblDepartment[Priority_Level],"")</f>
        <v>High</v>
      </c>
      <c r="AD719" t="str">
        <f>_xlfn.XLOOKUP(H719,tblDepartment[Department],tblDepartment[Key_KPI],"")</f>
        <v>Revenue Achievement</v>
      </c>
      <c r="AE719">
        <f>_xlfn.XLOOKUP(tblMaster[[#This Row],[Shift]],tblShift[Shift_Name],tblShift[Login_Time],"")</f>
        <v>0.375</v>
      </c>
      <c r="AF719">
        <f>_xlfn.XLOOKUP(tblMaster[[#This Row],[Shift]],tblShift[Shift_Name],tblShift[Logout_Time]," ")</f>
        <v>0.75</v>
      </c>
      <c r="AG719">
        <f>_xlfn.XLOOKUP(tblMaster[[#This Row],[Shift]],tblShift[Shift_Name],tblShift[Standard_Working_Hours],"")</f>
        <v>8</v>
      </c>
      <c r="AH719" t="str">
        <f>_xlfn.XLOOKUP(tblMaster[[#This Row],[Attendance_Date]],tblHoliday[Holiday_Date],tblHoliday[Holiday_Name],"Working Day")</f>
        <v>Working Day</v>
      </c>
      <c r="AI719" t="str">
        <f>_xlfn.XLOOKUP(tblMaster[[#This Row],[Attendance_Date]],tblHoliday[Holiday_Date],tblHoliday[Holiday_Type],"Working Day ")</f>
        <v xml:space="preserve">Working Day </v>
      </c>
    </row>
    <row r="720" spans="1:35" hidden="1" x14ac:dyDescent="0.3">
      <c r="A720" t="s">
        <v>909</v>
      </c>
      <c r="B720" s="3">
        <v>45723</v>
      </c>
      <c r="C720" t="s">
        <v>71</v>
      </c>
      <c r="D720" t="s">
        <v>50</v>
      </c>
      <c r="E720" t="s">
        <v>119</v>
      </c>
      <c r="F720" t="s">
        <v>26</v>
      </c>
      <c r="G720" t="s">
        <v>27</v>
      </c>
      <c r="H720" t="s">
        <v>28</v>
      </c>
      <c r="I720" t="s">
        <v>29</v>
      </c>
      <c r="J720" t="s">
        <v>30</v>
      </c>
      <c r="K720" t="s">
        <v>54</v>
      </c>
      <c r="L720" s="2">
        <v>0.375</v>
      </c>
      <c r="M720" s="2">
        <v>0.75</v>
      </c>
      <c r="N720">
        <v>8</v>
      </c>
      <c r="O720">
        <v>0</v>
      </c>
      <c r="P720" t="s">
        <v>32</v>
      </c>
      <c r="R720">
        <v>3</v>
      </c>
      <c r="S720" t="s">
        <v>92</v>
      </c>
      <c r="T720" t="s">
        <v>34</v>
      </c>
      <c r="U720" t="s">
        <v>85</v>
      </c>
      <c r="V720" t="s">
        <v>35</v>
      </c>
      <c r="W720">
        <f>_xlfn.XLOOKUP(F720,tblEmployee[Employee_ID],tblEmployee[Age],"Not Found")</f>
        <v>36</v>
      </c>
      <c r="X720" t="str">
        <f>_xlfn.XLOOKUP(F720,tblEmployee[Employee_ID],tblEmployee[Gender],"Not Found")</f>
        <v>Female</v>
      </c>
      <c r="Y720">
        <f>_xlfn.XLOOKUP(F720,tblEmployee[Employee_ID],tblEmployee[Joining_Date],"")</f>
        <v>43174</v>
      </c>
      <c r="Z720">
        <f>_xlfn.XLOOKUP(H720,tblDepartment[Department],tblDepartment[Annual_Budget_INR],"")</f>
        <v>24000000</v>
      </c>
      <c r="AA720" t="str">
        <f>_xlfn.XLOOKUP(H720,tblDepartment[Department],tblDepartment[Monthly_Target],"")</f>
        <v>90% Customer Satisfaction</v>
      </c>
      <c r="AB720">
        <f>_xlfn.XLOOKUP(H720,tblDepartment[Department],tblDepartment[Average_Salary_INR],"")</f>
        <v>520000</v>
      </c>
      <c r="AC720" t="str">
        <f>_xlfn.XLOOKUP(H720,tblDepartment[Department],tblDepartment[Priority_Level],"")</f>
        <v>High</v>
      </c>
      <c r="AD720" t="str">
        <f>_xlfn.XLOOKUP(H720,tblDepartment[Department],tblDepartment[Key_KPI],"")</f>
        <v>Customer Satisfaction</v>
      </c>
      <c r="AE720">
        <f>_xlfn.XLOOKUP(tblMaster[[#This Row],[Shift]],tblShift[Shift_Name],tblShift[Login_Time],"")</f>
        <v>0.58333333333333337</v>
      </c>
      <c r="AF720">
        <f>_xlfn.XLOOKUP(tblMaster[[#This Row],[Shift]],tblShift[Shift_Name],tblShift[Logout_Time]," ")</f>
        <v>0.95833333333333337</v>
      </c>
      <c r="AG720">
        <f>_xlfn.XLOOKUP(tblMaster[[#This Row],[Shift]],tblShift[Shift_Name],tblShift[Standard_Working_Hours],"")</f>
        <v>8</v>
      </c>
      <c r="AH720" t="str">
        <f>_xlfn.XLOOKUP(tblMaster[[#This Row],[Attendance_Date]],tblHoliday[Holiday_Date],tblHoliday[Holiday_Name],"Working Day")</f>
        <v>Working Day</v>
      </c>
      <c r="AI720" t="str">
        <f>_xlfn.XLOOKUP(tblMaster[[#This Row],[Attendance_Date]],tblHoliday[Holiday_Date],tblHoliday[Holiday_Type],"Working Day ")</f>
        <v xml:space="preserve">Working Day </v>
      </c>
    </row>
    <row r="721" spans="1:35" hidden="1" x14ac:dyDescent="0.3">
      <c r="A721" t="s">
        <v>910</v>
      </c>
      <c r="B721" s="3">
        <v>45741</v>
      </c>
      <c r="C721" t="s">
        <v>71</v>
      </c>
      <c r="D721" t="s">
        <v>50</v>
      </c>
      <c r="E721" t="s">
        <v>87</v>
      </c>
      <c r="F721" t="s">
        <v>231</v>
      </c>
      <c r="G721" t="s">
        <v>232</v>
      </c>
      <c r="H721" t="s">
        <v>98</v>
      </c>
      <c r="I721" t="s">
        <v>99</v>
      </c>
      <c r="J721" t="s">
        <v>74</v>
      </c>
      <c r="K721" t="s">
        <v>81</v>
      </c>
      <c r="L721" s="2">
        <v>0.91666666666666663</v>
      </c>
      <c r="M721" s="2">
        <v>0.29166666666666669</v>
      </c>
      <c r="N721">
        <v>10</v>
      </c>
      <c r="O721">
        <v>2</v>
      </c>
      <c r="P721" t="s">
        <v>32</v>
      </c>
      <c r="R721">
        <v>3</v>
      </c>
      <c r="S721" t="s">
        <v>33</v>
      </c>
      <c r="T721" t="s">
        <v>101</v>
      </c>
      <c r="U721" t="s">
        <v>47</v>
      </c>
      <c r="V721" t="s">
        <v>35</v>
      </c>
      <c r="W721">
        <f>_xlfn.XLOOKUP(F721,tblEmployee[Employee_ID],tblEmployee[Age],"Not Found")</f>
        <v>31</v>
      </c>
      <c r="X721" t="str">
        <f>_xlfn.XLOOKUP(F721,tblEmployee[Employee_ID],tblEmployee[Gender],"Not Found")</f>
        <v>Male</v>
      </c>
      <c r="Y721">
        <f>_xlfn.XLOOKUP(F721,tblEmployee[Employee_ID],tblEmployee[Joining_Date],"")</f>
        <v>45397</v>
      </c>
      <c r="Z721">
        <f>_xlfn.XLOOKUP(H721,tblDepartment[Department],tblDepartment[Annual_Budget_INR],"")</f>
        <v>22000000</v>
      </c>
      <c r="AA721" t="str">
        <f>_xlfn.XLOOKUP(H721,tblDepartment[Department],tblDepartment[Monthly_Target],"")</f>
        <v>2500 Qualified Leads</v>
      </c>
      <c r="AB721">
        <f>_xlfn.XLOOKUP(H721,tblDepartment[Department],tblDepartment[Average_Salary_INR],"")</f>
        <v>590000</v>
      </c>
      <c r="AC721" t="str">
        <f>_xlfn.XLOOKUP(H721,tblDepartment[Department],tblDepartment[Priority_Level],"")</f>
        <v>Medium</v>
      </c>
      <c r="AD721" t="str">
        <f>_xlfn.XLOOKUP(H721,tblDepartment[Department],tblDepartment[Key_KPI],"")</f>
        <v>Lead Generation</v>
      </c>
      <c r="AE721">
        <f>_xlfn.XLOOKUP(tblMaster[[#This Row],[Shift]],tblShift[Shift_Name],tblShift[Login_Time],"")</f>
        <v>0.91666666666666663</v>
      </c>
      <c r="AF721">
        <f>_xlfn.XLOOKUP(tblMaster[[#This Row],[Shift]],tblShift[Shift_Name],tblShift[Logout_Time]," ")</f>
        <v>0.29166666666666669</v>
      </c>
      <c r="AG721">
        <f>_xlfn.XLOOKUP(tblMaster[[#This Row],[Shift]],tblShift[Shift_Name],tblShift[Standard_Working_Hours],"")</f>
        <v>8</v>
      </c>
      <c r="AH721" t="str">
        <f>_xlfn.XLOOKUP(tblMaster[[#This Row],[Attendance_Date]],tblHoliday[Holiday_Date],tblHoliday[Holiday_Name],"Working Day")</f>
        <v>Working Day</v>
      </c>
      <c r="AI721" t="str">
        <f>_xlfn.XLOOKUP(tblMaster[[#This Row],[Attendance_Date]],tblHoliday[Holiday_Date],tblHoliday[Holiday_Type],"Working Day ")</f>
        <v xml:space="preserve">Working Day </v>
      </c>
    </row>
    <row r="722" spans="1:35" hidden="1" x14ac:dyDescent="0.3">
      <c r="A722" t="s">
        <v>911</v>
      </c>
      <c r="B722" s="3">
        <v>45817</v>
      </c>
      <c r="C722" t="s">
        <v>23</v>
      </c>
      <c r="D722" t="s">
        <v>24</v>
      </c>
      <c r="E722" t="s">
        <v>109</v>
      </c>
      <c r="F722" t="s">
        <v>142</v>
      </c>
      <c r="G722" t="s">
        <v>143</v>
      </c>
      <c r="H722" t="s">
        <v>64</v>
      </c>
      <c r="I722" t="s">
        <v>65</v>
      </c>
      <c r="J722" t="s">
        <v>43</v>
      </c>
      <c r="K722" t="s">
        <v>81</v>
      </c>
      <c r="L722" s="2">
        <v>0.91666666666666663</v>
      </c>
      <c r="M722" s="2">
        <v>0.29166666666666669</v>
      </c>
      <c r="N722">
        <v>9.5</v>
      </c>
      <c r="O722">
        <v>1.5</v>
      </c>
      <c r="P722" t="s">
        <v>32</v>
      </c>
      <c r="R722">
        <v>5</v>
      </c>
      <c r="S722" t="s">
        <v>33</v>
      </c>
      <c r="T722" t="s">
        <v>68</v>
      </c>
      <c r="U722" t="s">
        <v>55</v>
      </c>
      <c r="V722" t="s">
        <v>35</v>
      </c>
      <c r="W722">
        <f>_xlfn.XLOOKUP(F722,tblEmployee[Employee_ID],tblEmployee[Age],"Not Found")</f>
        <v>37</v>
      </c>
      <c r="X722" t="str">
        <f>_xlfn.XLOOKUP(F722,tblEmployee[Employee_ID],tblEmployee[Gender],"Not Found")</f>
        <v>Male</v>
      </c>
      <c r="Y722">
        <f>_xlfn.XLOOKUP(F722,tblEmployee[Employee_ID],tblEmployee[Joining_Date],"")</f>
        <v>43570</v>
      </c>
      <c r="Z722">
        <f>_xlfn.XLOOKUP(H722,tblDepartment[Department],tblDepartment[Annual_Budget_INR],"")</f>
        <v>85000000</v>
      </c>
      <c r="AA722" t="str">
        <f>_xlfn.XLOOKUP(H722,tblDepartment[Department],tblDepartment[Monthly_Target],"")</f>
        <v>99.5% System Uptime</v>
      </c>
      <c r="AB722">
        <f>_xlfn.XLOOKUP(H722,tblDepartment[Department],tblDepartment[Average_Salary_INR],"")</f>
        <v>720000</v>
      </c>
      <c r="AC722" t="str">
        <f>_xlfn.XLOOKUP(H722,tblDepartment[Department],tblDepartment[Priority_Level],"")</f>
        <v>High</v>
      </c>
      <c r="AD722" t="str">
        <f>_xlfn.XLOOKUP(H722,tblDepartment[Department],tblDepartment[Key_KPI],"")</f>
        <v>Project Delivery</v>
      </c>
      <c r="AE722">
        <f>_xlfn.XLOOKUP(tblMaster[[#This Row],[Shift]],tblShift[Shift_Name],tblShift[Login_Time],"")</f>
        <v>0.91666666666666663</v>
      </c>
      <c r="AF722">
        <f>_xlfn.XLOOKUP(tblMaster[[#This Row],[Shift]],tblShift[Shift_Name],tblShift[Logout_Time]," ")</f>
        <v>0.29166666666666669</v>
      </c>
      <c r="AG722">
        <f>_xlfn.XLOOKUP(tblMaster[[#This Row],[Shift]],tblShift[Shift_Name],tblShift[Standard_Working_Hours],"")</f>
        <v>8</v>
      </c>
      <c r="AH722" t="str">
        <f>_xlfn.XLOOKUP(tblMaster[[#This Row],[Attendance_Date]],tblHoliday[Holiday_Date],tblHoliday[Holiday_Name],"Working Day")</f>
        <v>Working Day</v>
      </c>
      <c r="AI722" t="str">
        <f>_xlfn.XLOOKUP(tblMaster[[#This Row],[Attendance_Date]],tblHoliday[Holiday_Date],tblHoliday[Holiday_Type],"Working Day ")</f>
        <v xml:space="preserve">Working Day </v>
      </c>
    </row>
    <row r="723" spans="1:35" x14ac:dyDescent="0.3">
      <c r="A723" t="s">
        <v>912</v>
      </c>
      <c r="B723" s="3">
        <v>45765</v>
      </c>
      <c r="C723" t="s">
        <v>37</v>
      </c>
      <c r="D723" t="s">
        <v>24</v>
      </c>
      <c r="E723" t="s">
        <v>119</v>
      </c>
      <c r="F723" t="s">
        <v>120</v>
      </c>
      <c r="G723" t="s">
        <v>121</v>
      </c>
      <c r="H723" t="s">
        <v>41</v>
      </c>
      <c r="I723" t="s">
        <v>42</v>
      </c>
      <c r="J723" t="s">
        <v>74</v>
      </c>
      <c r="K723" t="s">
        <v>44</v>
      </c>
      <c r="L723" s="2">
        <v>0.375</v>
      </c>
      <c r="M723" s="2">
        <v>0.75</v>
      </c>
      <c r="N723">
        <v>8</v>
      </c>
      <c r="O723">
        <v>0</v>
      </c>
      <c r="P723" t="s">
        <v>32</v>
      </c>
      <c r="R723">
        <v>4</v>
      </c>
      <c r="S723" t="s">
        <v>45</v>
      </c>
      <c r="T723" t="s">
        <v>46</v>
      </c>
      <c r="U723" t="str">
        <f>_xlfn.XLOOKUP(tblMaster[[#This Row],[Employee_ID]],tblEmployee[Employee_ID],tblEmployee[Work_Mode]," ")</f>
        <v>Office</v>
      </c>
      <c r="V723" t="s">
        <v>35</v>
      </c>
      <c r="W723">
        <f>_xlfn.XLOOKUP(F723,tblEmployee[Employee_ID],tblEmployee[Age],"Not Found")</f>
        <v>34</v>
      </c>
      <c r="X723" t="str">
        <f>_xlfn.XLOOKUP(F723,tblEmployee[Employee_ID],tblEmployee[Gender],"Not Found")</f>
        <v>Female</v>
      </c>
      <c r="Y723">
        <f>_xlfn.XLOOKUP(F723,tblEmployee[Employee_ID],tblEmployee[Joining_Date],"")</f>
        <v>44941</v>
      </c>
      <c r="Z723">
        <f>_xlfn.XLOOKUP(H723,tblDepartment[Department],tblDepartment[Annual_Budget_INR],"")</f>
        <v>34000000</v>
      </c>
      <c r="AA723" t="str">
        <f>_xlfn.XLOOKUP(H723,tblDepartment[Department],tblDepartment[Monthly_Target],"")</f>
        <v>95% Process Efficiency</v>
      </c>
      <c r="AB723">
        <f>_xlfn.XLOOKUP(H723,tblDepartment[Department],tblDepartment[Average_Salary_INR],"")</f>
        <v>610000</v>
      </c>
      <c r="AC723" t="str">
        <f>_xlfn.XLOOKUP(H723,tblDepartment[Department],tblDepartment[Priority_Level],"")</f>
        <v>High</v>
      </c>
      <c r="AD723" t="str">
        <f>_xlfn.XLOOKUP(H723,tblDepartment[Department],tblDepartment[Key_KPI],"")</f>
        <v>Operational Efficiency</v>
      </c>
      <c r="AE723">
        <f>_xlfn.XLOOKUP(tblMaster[[#This Row],[Shift]],tblShift[Shift_Name],tblShift[Login_Time],"")</f>
        <v>0.41666666666666669</v>
      </c>
      <c r="AF723">
        <f>_xlfn.XLOOKUP(tblMaster[[#This Row],[Shift]],tblShift[Shift_Name],tblShift[Logout_Time]," ")</f>
        <v>0.79166666666666663</v>
      </c>
      <c r="AG723">
        <f>_xlfn.XLOOKUP(tblMaster[[#This Row],[Shift]],tblShift[Shift_Name],tblShift[Standard_Working_Hours],"")</f>
        <v>8</v>
      </c>
      <c r="AH723" t="str">
        <f>_xlfn.XLOOKUP(tblMaster[[#This Row],[Attendance_Date]],tblHoliday[Holiday_Date],tblHoliday[Holiday_Name],"Working Day")</f>
        <v>Good Friday</v>
      </c>
      <c r="AI723" t="str">
        <f>_xlfn.XLOOKUP(tblMaster[[#This Row],[Attendance_Date]],tblHoliday[Holiday_Date],tblHoliday[Holiday_Type],"Working Day ")</f>
        <v>Restricted</v>
      </c>
    </row>
    <row r="724" spans="1:35" hidden="1" x14ac:dyDescent="0.3">
      <c r="A724" t="s">
        <v>913</v>
      </c>
      <c r="B724" s="3">
        <v>45666</v>
      </c>
      <c r="C724" t="s">
        <v>49</v>
      </c>
      <c r="D724" t="s">
        <v>50</v>
      </c>
      <c r="E724" t="s">
        <v>25</v>
      </c>
      <c r="F724" t="s">
        <v>192</v>
      </c>
      <c r="G724" t="s">
        <v>193</v>
      </c>
      <c r="H724" t="s">
        <v>79</v>
      </c>
      <c r="I724" t="s">
        <v>80</v>
      </c>
      <c r="J724" t="s">
        <v>66</v>
      </c>
      <c r="K724" t="s">
        <v>44</v>
      </c>
      <c r="L724" s="2">
        <v>0.375</v>
      </c>
      <c r="M724" s="2">
        <v>0.75</v>
      </c>
      <c r="N724">
        <v>8</v>
      </c>
      <c r="O724">
        <v>0</v>
      </c>
      <c r="P724" t="s">
        <v>32</v>
      </c>
      <c r="R724">
        <v>3</v>
      </c>
      <c r="S724" t="s">
        <v>33</v>
      </c>
      <c r="T724" t="s">
        <v>84</v>
      </c>
      <c r="U724" t="s">
        <v>85</v>
      </c>
      <c r="V724" t="s">
        <v>60</v>
      </c>
      <c r="W724">
        <f>_xlfn.XLOOKUP(F724,tblEmployee[Employee_ID],tblEmployee[Age],"Not Found")</f>
        <v>32</v>
      </c>
      <c r="X724" t="str">
        <f>_xlfn.XLOOKUP(F724,tblEmployee[Employee_ID],tblEmployee[Gender],"Not Found")</f>
        <v>Female</v>
      </c>
      <c r="Y724">
        <f>_xlfn.XLOOKUP(F724,tblEmployee[Employee_ID],tblEmployee[Joining_Date],"")</f>
        <v>44880</v>
      </c>
      <c r="Z724">
        <f>_xlfn.XLOOKUP(H724,tblDepartment[Department],tblDepartment[Annual_Budget_INR],"")</f>
        <v>26000000</v>
      </c>
      <c r="AA724" t="str">
        <f>_xlfn.XLOOKUP(H724,tblDepartment[Department],tblDepartment[Monthly_Target],"")</f>
        <v>100% Payroll Accuracy</v>
      </c>
      <c r="AB724">
        <f>_xlfn.XLOOKUP(H724,tblDepartment[Department],tblDepartment[Average_Salary_INR],"")</f>
        <v>640000</v>
      </c>
      <c r="AC724" t="str">
        <f>_xlfn.XLOOKUP(H724,tblDepartment[Department],tblDepartment[Priority_Level],"")</f>
        <v>High</v>
      </c>
      <c r="AD724" t="str">
        <f>_xlfn.XLOOKUP(H724,tblDepartment[Department],tblDepartment[Key_KPI],"")</f>
        <v>Financial Compliance</v>
      </c>
      <c r="AE724">
        <f>_xlfn.XLOOKUP(tblMaster[[#This Row],[Shift]],tblShift[Shift_Name],tblShift[Login_Time],"")</f>
        <v>0.41666666666666669</v>
      </c>
      <c r="AF724">
        <f>_xlfn.XLOOKUP(tblMaster[[#This Row],[Shift]],tblShift[Shift_Name],tblShift[Logout_Time]," ")</f>
        <v>0.79166666666666663</v>
      </c>
      <c r="AG724">
        <f>_xlfn.XLOOKUP(tblMaster[[#This Row],[Shift]],tblShift[Shift_Name],tblShift[Standard_Working_Hours],"")</f>
        <v>8</v>
      </c>
      <c r="AH724" t="str">
        <f>_xlfn.XLOOKUP(tblMaster[[#This Row],[Attendance_Date]],tblHoliday[Holiday_Date],tblHoliday[Holiday_Name],"Working Day")</f>
        <v>Working Day</v>
      </c>
      <c r="AI724" t="str">
        <f>_xlfn.XLOOKUP(tblMaster[[#This Row],[Attendance_Date]],tblHoliday[Holiday_Date],tblHoliday[Holiday_Type],"Working Day ")</f>
        <v xml:space="preserve">Working Day </v>
      </c>
    </row>
    <row r="725" spans="1:35" hidden="1" x14ac:dyDescent="0.3">
      <c r="A725" t="s">
        <v>914</v>
      </c>
      <c r="B725" s="3">
        <v>45711</v>
      </c>
      <c r="C725" t="s">
        <v>95</v>
      </c>
      <c r="D725" t="s">
        <v>50</v>
      </c>
      <c r="E725" t="s">
        <v>103</v>
      </c>
      <c r="F725" t="s">
        <v>62</v>
      </c>
      <c r="G725" t="s">
        <v>63</v>
      </c>
      <c r="H725" t="s">
        <v>64</v>
      </c>
      <c r="I725" t="s">
        <v>65</v>
      </c>
      <c r="J725" t="s">
        <v>66</v>
      </c>
      <c r="K725" t="s">
        <v>81</v>
      </c>
      <c r="L725" s="2">
        <v>0.91666666666666663</v>
      </c>
      <c r="M725" s="2">
        <v>0.29166666666666669</v>
      </c>
      <c r="N725">
        <v>10</v>
      </c>
      <c r="O725">
        <v>2</v>
      </c>
      <c r="P725" t="s">
        <v>32</v>
      </c>
      <c r="R725">
        <v>4</v>
      </c>
      <c r="S725" t="s">
        <v>92</v>
      </c>
      <c r="T725" t="s">
        <v>68</v>
      </c>
      <c r="U725" t="s">
        <v>55</v>
      </c>
      <c r="W725">
        <f>_xlfn.XLOOKUP(F725,tblEmployee[Employee_ID],tblEmployee[Age],"Not Found")</f>
        <v>23</v>
      </c>
      <c r="X725" t="str">
        <f>_xlfn.XLOOKUP(F725,tblEmployee[Employee_ID],tblEmployee[Gender],"Not Found")</f>
        <v>Male</v>
      </c>
      <c r="Y725">
        <f>_xlfn.XLOOKUP(F725,tblEmployee[Employee_ID],tblEmployee[Joining_Date],"")</f>
        <v>43511</v>
      </c>
      <c r="Z725">
        <f>_xlfn.XLOOKUP(H725,tblDepartment[Department],tblDepartment[Annual_Budget_INR],"")</f>
        <v>85000000</v>
      </c>
      <c r="AA725" t="str">
        <f>_xlfn.XLOOKUP(H725,tblDepartment[Department],tblDepartment[Monthly_Target],"")</f>
        <v>99.5% System Uptime</v>
      </c>
      <c r="AB725">
        <f>_xlfn.XLOOKUP(H725,tblDepartment[Department],tblDepartment[Average_Salary_INR],"")</f>
        <v>720000</v>
      </c>
      <c r="AC725" t="str">
        <f>_xlfn.XLOOKUP(H725,tblDepartment[Department],tblDepartment[Priority_Level],"")</f>
        <v>High</v>
      </c>
      <c r="AD725" t="str">
        <f>_xlfn.XLOOKUP(H725,tblDepartment[Department],tblDepartment[Key_KPI],"")</f>
        <v>Project Delivery</v>
      </c>
      <c r="AE725">
        <f>_xlfn.XLOOKUP(tblMaster[[#This Row],[Shift]],tblShift[Shift_Name],tblShift[Login_Time],"")</f>
        <v>0.91666666666666663</v>
      </c>
      <c r="AF725">
        <f>_xlfn.XLOOKUP(tblMaster[[#This Row],[Shift]],tblShift[Shift_Name],tblShift[Logout_Time]," ")</f>
        <v>0.29166666666666669</v>
      </c>
      <c r="AG725">
        <f>_xlfn.XLOOKUP(tblMaster[[#This Row],[Shift]],tblShift[Shift_Name],tblShift[Standard_Working_Hours],"")</f>
        <v>8</v>
      </c>
      <c r="AH725" t="str">
        <f>_xlfn.XLOOKUP(tblMaster[[#This Row],[Attendance_Date]],tblHoliday[Holiday_Date],tblHoliday[Holiday_Name],"Working Day")</f>
        <v>Working Day</v>
      </c>
      <c r="AI725" t="str">
        <f>_xlfn.XLOOKUP(tblMaster[[#This Row],[Attendance_Date]],tblHoliday[Holiday_Date],tblHoliday[Holiday_Type],"Working Day ")</f>
        <v xml:space="preserve">Working Day </v>
      </c>
    </row>
    <row r="726" spans="1:35" hidden="1" x14ac:dyDescent="0.3">
      <c r="A726" t="s">
        <v>915</v>
      </c>
      <c r="B726" s="3">
        <v>45694</v>
      </c>
      <c r="C726" t="s">
        <v>95</v>
      </c>
      <c r="D726" t="s">
        <v>50</v>
      </c>
      <c r="E726" t="s">
        <v>25</v>
      </c>
      <c r="F726" t="s">
        <v>170</v>
      </c>
      <c r="G726" t="s">
        <v>171</v>
      </c>
      <c r="H726" t="s">
        <v>64</v>
      </c>
      <c r="I726" t="s">
        <v>65</v>
      </c>
      <c r="J726" t="s">
        <v>43</v>
      </c>
      <c r="K726" t="s">
        <v>75</v>
      </c>
      <c r="L726" s="2">
        <v>0.375</v>
      </c>
      <c r="M726" s="2">
        <v>0.75</v>
      </c>
      <c r="N726">
        <v>8.5</v>
      </c>
      <c r="O726">
        <v>0.5</v>
      </c>
      <c r="P726" t="s">
        <v>32</v>
      </c>
      <c r="R726">
        <v>4</v>
      </c>
      <c r="S726" t="s">
        <v>67</v>
      </c>
      <c r="T726" t="s">
        <v>68</v>
      </c>
      <c r="U726" t="s">
        <v>47</v>
      </c>
      <c r="W726">
        <f>_xlfn.XLOOKUP(F726,tblEmployee[Employee_ID],tblEmployee[Age],"Not Found")</f>
        <v>36</v>
      </c>
      <c r="X726" t="str">
        <f>_xlfn.XLOOKUP(F726,tblEmployee[Employee_ID],tblEmployee[Gender],"Not Found")</f>
        <v>Female</v>
      </c>
      <c r="Y726">
        <f>_xlfn.XLOOKUP(F726,tblEmployee[Employee_ID],tblEmployee[Joining_Date],"")</f>
        <v>43539</v>
      </c>
      <c r="Z726">
        <f>_xlfn.XLOOKUP(H726,tblDepartment[Department],tblDepartment[Annual_Budget_INR],"")</f>
        <v>85000000</v>
      </c>
      <c r="AA726" t="str">
        <f>_xlfn.XLOOKUP(H726,tblDepartment[Department],tblDepartment[Monthly_Target],"")</f>
        <v>99.5% System Uptime</v>
      </c>
      <c r="AB726">
        <f>_xlfn.XLOOKUP(H726,tblDepartment[Department],tblDepartment[Average_Salary_INR],"")</f>
        <v>720000</v>
      </c>
      <c r="AC726" t="str">
        <f>_xlfn.XLOOKUP(H726,tblDepartment[Department],tblDepartment[Priority_Level],"")</f>
        <v>High</v>
      </c>
      <c r="AD726" t="str">
        <f>_xlfn.XLOOKUP(H726,tblDepartment[Department],tblDepartment[Key_KPI],"")</f>
        <v>Project Delivery</v>
      </c>
      <c r="AE726">
        <f>_xlfn.XLOOKUP(tblMaster[[#This Row],[Shift]],tblShift[Shift_Name],tblShift[Login_Time],"")</f>
        <v>0.375</v>
      </c>
      <c r="AF726">
        <f>_xlfn.XLOOKUP(tblMaster[[#This Row],[Shift]],tblShift[Shift_Name],tblShift[Logout_Time]," ")</f>
        <v>0.75</v>
      </c>
      <c r="AG726">
        <f>_xlfn.XLOOKUP(tblMaster[[#This Row],[Shift]],tblShift[Shift_Name],tblShift[Standard_Working_Hours],"")</f>
        <v>8</v>
      </c>
      <c r="AH726" t="str">
        <f>_xlfn.XLOOKUP(tblMaster[[#This Row],[Attendance_Date]],tblHoliday[Holiday_Date],tblHoliday[Holiday_Name],"Working Day")</f>
        <v>Working Day</v>
      </c>
      <c r="AI726" t="str">
        <f>_xlfn.XLOOKUP(tblMaster[[#This Row],[Attendance_Date]],tblHoliday[Holiday_Date],tblHoliday[Holiday_Type],"Working Day ")</f>
        <v xml:space="preserve">Working Day </v>
      </c>
    </row>
    <row r="727" spans="1:35" x14ac:dyDescent="0.3">
      <c r="A727" t="s">
        <v>916</v>
      </c>
      <c r="B727" s="3">
        <v>45709</v>
      </c>
      <c r="C727" t="s">
        <v>95</v>
      </c>
      <c r="D727" t="s">
        <v>50</v>
      </c>
      <c r="E727" t="s">
        <v>119</v>
      </c>
      <c r="F727" t="s">
        <v>195</v>
      </c>
      <c r="G727" t="s">
        <v>196</v>
      </c>
      <c r="H727" t="s">
        <v>98</v>
      </c>
      <c r="I727" t="s">
        <v>99</v>
      </c>
      <c r="J727" t="s">
        <v>43</v>
      </c>
      <c r="K727" t="s">
        <v>44</v>
      </c>
      <c r="L727" s="2">
        <v>0.375</v>
      </c>
      <c r="M727" s="2">
        <v>0.75</v>
      </c>
      <c r="N727">
        <v>8</v>
      </c>
      <c r="O727">
        <v>0</v>
      </c>
      <c r="P727" t="s">
        <v>32</v>
      </c>
      <c r="S727" t="s">
        <v>92</v>
      </c>
      <c r="T727" t="s">
        <v>101</v>
      </c>
      <c r="U727" t="str">
        <f>_xlfn.XLOOKUP(tblMaster[[#This Row],[Employee_ID]],tblEmployee[Employee_ID],tblEmployee[Work_Mode]," ")</f>
        <v>Remote</v>
      </c>
      <c r="W727">
        <f>_xlfn.XLOOKUP(F727,tblEmployee[Employee_ID],tblEmployee[Age],"Not Found")</f>
        <v>24</v>
      </c>
      <c r="X727" t="str">
        <f>_xlfn.XLOOKUP(F727,tblEmployee[Employee_ID],tblEmployee[Gender],"Not Found")</f>
        <v>Male</v>
      </c>
      <c r="Y727">
        <f>_xlfn.XLOOKUP(F727,tblEmployee[Employee_ID],tblEmployee[Joining_Date],"")</f>
        <v>45550</v>
      </c>
      <c r="Z727">
        <f>_xlfn.XLOOKUP(H727,tblDepartment[Department],tblDepartment[Annual_Budget_INR],"")</f>
        <v>22000000</v>
      </c>
      <c r="AA727" t="str">
        <f>_xlfn.XLOOKUP(H727,tblDepartment[Department],tblDepartment[Monthly_Target],"")</f>
        <v>2500 Qualified Leads</v>
      </c>
      <c r="AB727">
        <f>_xlfn.XLOOKUP(H727,tblDepartment[Department],tblDepartment[Average_Salary_INR],"")</f>
        <v>590000</v>
      </c>
      <c r="AC727" t="str">
        <f>_xlfn.XLOOKUP(H727,tblDepartment[Department],tblDepartment[Priority_Level],"")</f>
        <v>Medium</v>
      </c>
      <c r="AD727" t="str">
        <f>_xlfn.XLOOKUP(H727,tblDepartment[Department],tblDepartment[Key_KPI],"")</f>
        <v>Lead Generation</v>
      </c>
      <c r="AE727">
        <f>_xlfn.XLOOKUP(tblMaster[[#This Row],[Shift]],tblShift[Shift_Name],tblShift[Login_Time],"")</f>
        <v>0.41666666666666669</v>
      </c>
      <c r="AF727">
        <f>_xlfn.XLOOKUP(tblMaster[[#This Row],[Shift]],tblShift[Shift_Name],tblShift[Logout_Time]," ")</f>
        <v>0.79166666666666663</v>
      </c>
      <c r="AG727">
        <f>_xlfn.XLOOKUP(tblMaster[[#This Row],[Shift]],tblShift[Shift_Name],tblShift[Standard_Working_Hours],"")</f>
        <v>8</v>
      </c>
      <c r="AH727" t="str">
        <f>_xlfn.XLOOKUP(tblMaster[[#This Row],[Attendance_Date]],tblHoliday[Holiday_Date],tblHoliday[Holiday_Name],"Working Day")</f>
        <v>Working Day</v>
      </c>
      <c r="AI727" t="str">
        <f>_xlfn.XLOOKUP(tblMaster[[#This Row],[Attendance_Date]],tblHoliday[Holiday_Date],tblHoliday[Holiday_Type],"Working Day ")</f>
        <v xml:space="preserve">Working Day </v>
      </c>
    </row>
    <row r="728" spans="1:35" x14ac:dyDescent="0.3">
      <c r="A728" t="s">
        <v>917</v>
      </c>
      <c r="B728" s="3">
        <v>45679</v>
      </c>
      <c r="C728" t="s">
        <v>49</v>
      </c>
      <c r="D728" t="s">
        <v>50</v>
      </c>
      <c r="E728" t="s">
        <v>51</v>
      </c>
      <c r="F728" t="s">
        <v>77</v>
      </c>
      <c r="G728" t="s">
        <v>78</v>
      </c>
      <c r="H728" t="s">
        <v>79</v>
      </c>
      <c r="I728" t="s">
        <v>80</v>
      </c>
      <c r="J728" t="s">
        <v>30</v>
      </c>
      <c r="K728" t="s">
        <v>54</v>
      </c>
      <c r="L728" s="2">
        <v>0.375</v>
      </c>
      <c r="N728">
        <v>8</v>
      </c>
      <c r="O728">
        <v>0</v>
      </c>
      <c r="P728" t="s">
        <v>32</v>
      </c>
      <c r="R728">
        <v>4</v>
      </c>
      <c r="S728" t="s">
        <v>33</v>
      </c>
      <c r="T728" t="s">
        <v>84</v>
      </c>
      <c r="U728" t="str">
        <f>_xlfn.XLOOKUP(tblMaster[[#This Row],[Employee_ID]],tblEmployee[Employee_ID],tblEmployee[Work_Mode]," ")</f>
        <v>Hybrid</v>
      </c>
      <c r="V728" t="s">
        <v>35</v>
      </c>
      <c r="W728">
        <f>_xlfn.XLOOKUP(F728,tblEmployee[Employee_ID],tblEmployee[Age],"Not Found")</f>
        <v>26</v>
      </c>
      <c r="X728" t="str">
        <f>_xlfn.XLOOKUP(F728,tblEmployee[Employee_ID],tblEmployee[Gender],"Not Found")</f>
        <v>Female</v>
      </c>
      <c r="Y728">
        <f>_xlfn.XLOOKUP(F728,tblEmployee[Employee_ID],tblEmployee[Joining_Date],"")</f>
        <v>44696</v>
      </c>
      <c r="Z728">
        <f>_xlfn.XLOOKUP(H728,tblDepartment[Department],tblDepartment[Annual_Budget_INR],"")</f>
        <v>26000000</v>
      </c>
      <c r="AA728" t="str">
        <f>_xlfn.XLOOKUP(H728,tblDepartment[Department],tblDepartment[Monthly_Target],"")</f>
        <v>100% Payroll Accuracy</v>
      </c>
      <c r="AB728">
        <f>_xlfn.XLOOKUP(H728,tblDepartment[Department],tblDepartment[Average_Salary_INR],"")</f>
        <v>640000</v>
      </c>
      <c r="AC728" t="str">
        <f>_xlfn.XLOOKUP(H728,tblDepartment[Department],tblDepartment[Priority_Level],"")</f>
        <v>High</v>
      </c>
      <c r="AD728" t="str">
        <f>_xlfn.XLOOKUP(H728,tblDepartment[Department],tblDepartment[Key_KPI],"")</f>
        <v>Financial Compliance</v>
      </c>
      <c r="AE728">
        <f>_xlfn.XLOOKUP(tblMaster[[#This Row],[Shift]],tblShift[Shift_Name],tblShift[Login_Time],"")</f>
        <v>0.58333333333333337</v>
      </c>
      <c r="AF728">
        <f>_xlfn.XLOOKUP(tblMaster[[#This Row],[Shift]],tblShift[Shift_Name],tblShift[Logout_Time]," ")</f>
        <v>0.95833333333333337</v>
      </c>
      <c r="AG728">
        <f>_xlfn.XLOOKUP(tblMaster[[#This Row],[Shift]],tblShift[Shift_Name],tblShift[Standard_Working_Hours],"")</f>
        <v>8</v>
      </c>
      <c r="AH728" t="str">
        <f>_xlfn.XLOOKUP(tblMaster[[#This Row],[Attendance_Date]],tblHoliday[Holiday_Date],tblHoliday[Holiday_Name],"Working Day")</f>
        <v>Working Day</v>
      </c>
      <c r="AI728" t="str">
        <f>_xlfn.XLOOKUP(tblMaster[[#This Row],[Attendance_Date]],tblHoliday[Holiday_Date],tblHoliday[Holiday_Type],"Working Day ")</f>
        <v xml:space="preserve">Working Day </v>
      </c>
    </row>
    <row r="729" spans="1:35" hidden="1" x14ac:dyDescent="0.3">
      <c r="A729" t="s">
        <v>918</v>
      </c>
      <c r="B729" s="3">
        <v>45807</v>
      </c>
      <c r="C729" t="s">
        <v>57</v>
      </c>
      <c r="D729" t="s">
        <v>24</v>
      </c>
      <c r="E729" t="s">
        <v>119</v>
      </c>
      <c r="F729" t="s">
        <v>88</v>
      </c>
      <c r="G729" t="s">
        <v>89</v>
      </c>
      <c r="H729" t="s">
        <v>90</v>
      </c>
      <c r="I729" t="s">
        <v>91</v>
      </c>
      <c r="J729" t="s">
        <v>43</v>
      </c>
      <c r="K729" t="s">
        <v>44</v>
      </c>
      <c r="L729" s="2">
        <v>0.375</v>
      </c>
      <c r="M729" s="2">
        <v>0.75</v>
      </c>
      <c r="N729">
        <v>8</v>
      </c>
      <c r="O729">
        <v>0</v>
      </c>
      <c r="P729" t="s">
        <v>32</v>
      </c>
      <c r="S729" t="s">
        <v>92</v>
      </c>
      <c r="T729" t="s">
        <v>93</v>
      </c>
      <c r="U729" t="s">
        <v>55</v>
      </c>
      <c r="V729" t="s">
        <v>60</v>
      </c>
      <c r="W729">
        <f>_xlfn.XLOOKUP(F729,tblEmployee[Employee_ID],tblEmployee[Age],"Not Found")</f>
        <v>34</v>
      </c>
      <c r="X729" t="str">
        <f>_xlfn.XLOOKUP(F729,tblEmployee[Employee_ID],tblEmployee[Gender],"Not Found")</f>
        <v>Female</v>
      </c>
      <c r="Y729">
        <f>_xlfn.XLOOKUP(F729,tblEmployee[Employee_ID],tblEmployee[Joining_Date],"")</f>
        <v>44027</v>
      </c>
      <c r="Z729">
        <f>_xlfn.XLOOKUP(H729,tblDepartment[Department],tblDepartment[Annual_Budget_INR],"")</f>
        <v>18000000</v>
      </c>
      <c r="AA729" t="str">
        <f>_xlfn.XLOOKUP(H729,tblDepartment[Department],tblDepartment[Monthly_Target],"")</f>
        <v>&lt;30 Days Hiring Cycle</v>
      </c>
      <c r="AB729">
        <f>_xlfn.XLOOKUP(H729,tblDepartment[Department],tblDepartment[Average_Salary_INR],"")</f>
        <v>560000</v>
      </c>
      <c r="AC729" t="str">
        <f>_xlfn.XLOOKUP(H729,tblDepartment[Department],tblDepartment[Priority_Level],"")</f>
        <v>Medium</v>
      </c>
      <c r="AD729" t="str">
        <f>_xlfn.XLOOKUP(H729,tblDepartment[Department],tblDepartment[Key_KPI],"")</f>
        <v>Hiring &amp; Retention</v>
      </c>
      <c r="AE729">
        <f>_xlfn.XLOOKUP(tblMaster[[#This Row],[Shift]],tblShift[Shift_Name],tblShift[Login_Time],"")</f>
        <v>0.41666666666666669</v>
      </c>
      <c r="AF729">
        <f>_xlfn.XLOOKUP(tblMaster[[#This Row],[Shift]],tblShift[Shift_Name],tblShift[Logout_Time]," ")</f>
        <v>0.79166666666666663</v>
      </c>
      <c r="AG729">
        <f>_xlfn.XLOOKUP(tblMaster[[#This Row],[Shift]],tblShift[Shift_Name],tblShift[Standard_Working_Hours],"")</f>
        <v>8</v>
      </c>
      <c r="AH729" t="str">
        <f>_xlfn.XLOOKUP(tblMaster[[#This Row],[Attendance_Date]],tblHoliday[Holiday_Date],tblHoliday[Holiday_Name],"Working Day")</f>
        <v>Working Day</v>
      </c>
      <c r="AI729" t="str">
        <f>_xlfn.XLOOKUP(tblMaster[[#This Row],[Attendance_Date]],tblHoliday[Holiday_Date],tblHoliday[Holiday_Type],"Working Day ")</f>
        <v xml:space="preserve">Working Day </v>
      </c>
    </row>
    <row r="730" spans="1:35" hidden="1" x14ac:dyDescent="0.3">
      <c r="A730" t="s">
        <v>919</v>
      </c>
      <c r="B730" s="3">
        <v>45683</v>
      </c>
      <c r="C730" t="s">
        <v>49</v>
      </c>
      <c r="D730" t="s">
        <v>50</v>
      </c>
      <c r="E730" t="s">
        <v>103</v>
      </c>
      <c r="F730" t="s">
        <v>166</v>
      </c>
      <c r="G730" t="s">
        <v>167</v>
      </c>
      <c r="H730" t="s">
        <v>41</v>
      </c>
      <c r="I730" t="s">
        <v>42</v>
      </c>
      <c r="J730" t="s">
        <v>100</v>
      </c>
      <c r="K730" t="s">
        <v>31</v>
      </c>
      <c r="L730" s="2">
        <v>0.375</v>
      </c>
      <c r="M730" s="2">
        <v>0.75</v>
      </c>
      <c r="N730">
        <v>8</v>
      </c>
      <c r="O730">
        <v>0</v>
      </c>
      <c r="P730" t="s">
        <v>32</v>
      </c>
      <c r="S730" t="s">
        <v>92</v>
      </c>
      <c r="T730" t="s">
        <v>46</v>
      </c>
      <c r="U730" t="s">
        <v>55</v>
      </c>
      <c r="V730" t="s">
        <v>60</v>
      </c>
      <c r="W730">
        <f>_xlfn.XLOOKUP(F730,tblEmployee[Employee_ID],tblEmployee[Age],"Not Found")</f>
        <v>37</v>
      </c>
      <c r="X730" t="str">
        <f>_xlfn.XLOOKUP(F730,tblEmployee[Employee_ID],tblEmployee[Gender],"Not Found")</f>
        <v>Male</v>
      </c>
      <c r="Y730">
        <f>_xlfn.XLOOKUP(F730,tblEmployee[Employee_ID],tblEmployee[Joining_Date],"")</f>
        <v>45214</v>
      </c>
      <c r="Z730">
        <f>_xlfn.XLOOKUP(H730,tblDepartment[Department],tblDepartment[Annual_Budget_INR],"")</f>
        <v>34000000</v>
      </c>
      <c r="AA730" t="str">
        <f>_xlfn.XLOOKUP(H730,tblDepartment[Department],tblDepartment[Monthly_Target],"")</f>
        <v>95% Process Efficiency</v>
      </c>
      <c r="AB730">
        <f>_xlfn.XLOOKUP(H730,tblDepartment[Department],tblDepartment[Average_Salary_INR],"")</f>
        <v>610000</v>
      </c>
      <c r="AC730" t="str">
        <f>_xlfn.XLOOKUP(H730,tblDepartment[Department],tblDepartment[Priority_Level],"")</f>
        <v>High</v>
      </c>
      <c r="AD730" t="str">
        <f>_xlfn.XLOOKUP(H730,tblDepartment[Department],tblDepartment[Key_KPI],"")</f>
        <v>Operational Efficiency</v>
      </c>
      <c r="AE730">
        <f>_xlfn.XLOOKUP(tblMaster[[#This Row],[Shift]],tblShift[Shift_Name],tblShift[Login_Time],"")</f>
        <v>0.25</v>
      </c>
      <c r="AF730">
        <f>_xlfn.XLOOKUP(tblMaster[[#This Row],[Shift]],tblShift[Shift_Name],tblShift[Logout_Time]," ")</f>
        <v>0.625</v>
      </c>
      <c r="AG730">
        <f>_xlfn.XLOOKUP(tblMaster[[#This Row],[Shift]],tblShift[Shift_Name],tblShift[Standard_Working_Hours],"")</f>
        <v>8</v>
      </c>
      <c r="AH730" t="str">
        <f>_xlfn.XLOOKUP(tblMaster[[#This Row],[Attendance_Date]],tblHoliday[Holiday_Date],tblHoliday[Holiday_Name],"Working Day")</f>
        <v>Republic Day</v>
      </c>
      <c r="AI730" t="str">
        <f>_xlfn.XLOOKUP(tblMaster[[#This Row],[Attendance_Date]],tblHoliday[Holiday_Date],tblHoliday[Holiday_Type],"Working Day ")</f>
        <v>National</v>
      </c>
    </row>
    <row r="731" spans="1:35" hidden="1" x14ac:dyDescent="0.3">
      <c r="A731" t="s">
        <v>920</v>
      </c>
      <c r="B731" s="1">
        <v>45706</v>
      </c>
      <c r="C731" t="s">
        <v>95</v>
      </c>
      <c r="D731" t="s">
        <v>50</v>
      </c>
      <c r="E731" t="s">
        <v>87</v>
      </c>
      <c r="F731" t="s">
        <v>163</v>
      </c>
      <c r="G731" t="s">
        <v>164</v>
      </c>
      <c r="H731" t="s">
        <v>112</v>
      </c>
      <c r="I731" t="s">
        <v>113</v>
      </c>
      <c r="J731" t="s">
        <v>100</v>
      </c>
      <c r="K731" t="s">
        <v>31</v>
      </c>
      <c r="L731" s="2">
        <v>0.3888888888888889</v>
      </c>
      <c r="M731" s="2">
        <v>0.75</v>
      </c>
      <c r="N731">
        <v>8</v>
      </c>
      <c r="O731">
        <v>0</v>
      </c>
      <c r="P731" t="s">
        <v>32</v>
      </c>
      <c r="R731">
        <v>4</v>
      </c>
      <c r="S731" t="s">
        <v>67</v>
      </c>
      <c r="T731" t="s">
        <v>114</v>
      </c>
      <c r="U731" t="s">
        <v>47</v>
      </c>
      <c r="W731">
        <f>_xlfn.XLOOKUP(F731,tblEmployee[Employee_ID],tblEmployee[Age],"Not Found")</f>
        <v>25</v>
      </c>
      <c r="X731" t="str">
        <f>_xlfn.XLOOKUP(F731,tblEmployee[Employee_ID],tblEmployee[Gender],"Not Found")</f>
        <v>Male</v>
      </c>
      <c r="Y731">
        <f>_xlfn.XLOOKUP(F731,tblEmployee[Employee_ID],tblEmployee[Joining_Date],"")</f>
        <v>44301</v>
      </c>
      <c r="Z731">
        <f>_xlfn.XLOOKUP(H731,tblDepartment[Department],tblDepartment[Annual_Budget_INR],"")</f>
        <v>42000000</v>
      </c>
      <c r="AA731" t="str">
        <f>_xlfn.XLOOKUP(H731,tblDepartment[Department],tblDepartment[Monthly_Target],"")</f>
        <v>₹2.5 Cr Monthly Sales</v>
      </c>
      <c r="AB731">
        <f>_xlfn.XLOOKUP(H731,tblDepartment[Department],tblDepartment[Average_Salary_INR],"")</f>
        <v>680000</v>
      </c>
      <c r="AC731" t="str">
        <f>_xlfn.XLOOKUP(H731,tblDepartment[Department],tblDepartment[Priority_Level],"")</f>
        <v>High</v>
      </c>
      <c r="AD731" t="str">
        <f>_xlfn.XLOOKUP(H731,tblDepartment[Department],tblDepartment[Key_KPI],"")</f>
        <v>Revenue Achievement</v>
      </c>
      <c r="AE731">
        <f>_xlfn.XLOOKUP(tblMaster[[#This Row],[Shift]],tblShift[Shift_Name],tblShift[Login_Time],"")</f>
        <v>0.25</v>
      </c>
      <c r="AF731">
        <f>_xlfn.XLOOKUP(tblMaster[[#This Row],[Shift]],tblShift[Shift_Name],tblShift[Logout_Time]," ")</f>
        <v>0.625</v>
      </c>
      <c r="AG731">
        <f>_xlfn.XLOOKUP(tblMaster[[#This Row],[Shift]],tblShift[Shift_Name],tblShift[Standard_Working_Hours],"")</f>
        <v>8</v>
      </c>
      <c r="AH731" t="str">
        <f>_xlfn.XLOOKUP(tblMaster[[#This Row],[Attendance_Date]],tblHoliday[Holiday_Date],tblHoliday[Holiday_Name],"Working Day")</f>
        <v>Working Day</v>
      </c>
      <c r="AI731" t="str">
        <f>_xlfn.XLOOKUP(tblMaster[[#This Row],[Attendance_Date]],tblHoliday[Holiday_Date],tblHoliday[Holiday_Type],"Working Day ")</f>
        <v xml:space="preserve">Working Day </v>
      </c>
    </row>
    <row r="732" spans="1:35" hidden="1" x14ac:dyDescent="0.3">
      <c r="A732" t="s">
        <v>921</v>
      </c>
      <c r="B732" s="1">
        <v>45751</v>
      </c>
      <c r="C732" t="s">
        <v>37</v>
      </c>
      <c r="D732" t="s">
        <v>24</v>
      </c>
      <c r="E732" t="s">
        <v>119</v>
      </c>
      <c r="F732" t="s">
        <v>275</v>
      </c>
      <c r="G732" t="s">
        <v>276</v>
      </c>
      <c r="H732" t="s">
        <v>64</v>
      </c>
      <c r="I732" t="s">
        <v>65</v>
      </c>
      <c r="J732" t="s">
        <v>100</v>
      </c>
      <c r="K732" t="s">
        <v>31</v>
      </c>
      <c r="L732" s="2">
        <v>0.375</v>
      </c>
      <c r="M732" s="2">
        <v>0.75</v>
      </c>
      <c r="N732">
        <v>8.5</v>
      </c>
      <c r="O732">
        <v>0.5</v>
      </c>
      <c r="P732" t="s">
        <v>32</v>
      </c>
      <c r="R732">
        <v>4</v>
      </c>
      <c r="S732" t="s">
        <v>92</v>
      </c>
      <c r="T732" t="s">
        <v>68</v>
      </c>
      <c r="U732" t="s">
        <v>47</v>
      </c>
      <c r="V732" t="s">
        <v>69</v>
      </c>
      <c r="W732">
        <f>_xlfn.XLOOKUP(F732,tblEmployee[Employee_ID],tblEmployee[Age],"Not Found")</f>
        <v>29</v>
      </c>
      <c r="X732" t="str">
        <f>_xlfn.XLOOKUP(F732,tblEmployee[Employee_ID],tblEmployee[Gender],"Not Found")</f>
        <v>Male</v>
      </c>
      <c r="Y732">
        <f>_xlfn.XLOOKUP(F732,tblEmployee[Employee_ID],tblEmployee[Joining_Date],"")</f>
        <v>43692</v>
      </c>
      <c r="Z732">
        <f>_xlfn.XLOOKUP(H732,tblDepartment[Department],tblDepartment[Annual_Budget_INR],"")</f>
        <v>85000000</v>
      </c>
      <c r="AA732" t="str">
        <f>_xlfn.XLOOKUP(H732,tblDepartment[Department],tblDepartment[Monthly_Target],"")</f>
        <v>99.5% System Uptime</v>
      </c>
      <c r="AB732">
        <f>_xlfn.XLOOKUP(H732,tblDepartment[Department],tblDepartment[Average_Salary_INR],"")</f>
        <v>720000</v>
      </c>
      <c r="AC732" t="str">
        <f>_xlfn.XLOOKUP(H732,tblDepartment[Department],tblDepartment[Priority_Level],"")</f>
        <v>High</v>
      </c>
      <c r="AD732" t="str">
        <f>_xlfn.XLOOKUP(H732,tblDepartment[Department],tblDepartment[Key_KPI],"")</f>
        <v>Project Delivery</v>
      </c>
      <c r="AE732">
        <f>_xlfn.XLOOKUP(tblMaster[[#This Row],[Shift]],tblShift[Shift_Name],tblShift[Login_Time],"")</f>
        <v>0.25</v>
      </c>
      <c r="AF732">
        <f>_xlfn.XLOOKUP(tblMaster[[#This Row],[Shift]],tblShift[Shift_Name],tblShift[Logout_Time]," ")</f>
        <v>0.625</v>
      </c>
      <c r="AG732">
        <f>_xlfn.XLOOKUP(tblMaster[[#This Row],[Shift]],tblShift[Shift_Name],tblShift[Standard_Working_Hours],"")</f>
        <v>8</v>
      </c>
      <c r="AH732" t="str">
        <f>_xlfn.XLOOKUP(tblMaster[[#This Row],[Attendance_Date]],tblHoliday[Holiday_Date],tblHoliday[Holiday_Name],"Working Day")</f>
        <v>Working Day</v>
      </c>
      <c r="AI732" t="str">
        <f>_xlfn.XLOOKUP(tblMaster[[#This Row],[Attendance_Date]],tblHoliday[Holiday_Date],tblHoliday[Holiday_Type],"Working Day ")</f>
        <v xml:space="preserve">Working Day </v>
      </c>
    </row>
    <row r="733" spans="1:35" hidden="1" x14ac:dyDescent="0.3">
      <c r="A733" t="s">
        <v>922</v>
      </c>
      <c r="B733" s="3">
        <v>45771</v>
      </c>
      <c r="C733" t="s">
        <v>37</v>
      </c>
      <c r="D733" t="s">
        <v>24</v>
      </c>
      <c r="E733" t="s">
        <v>25</v>
      </c>
      <c r="F733" t="s">
        <v>77</v>
      </c>
      <c r="G733" t="s">
        <v>78</v>
      </c>
      <c r="H733" t="s">
        <v>79</v>
      </c>
      <c r="I733" t="s">
        <v>80</v>
      </c>
      <c r="J733" t="s">
        <v>30</v>
      </c>
      <c r="K733" t="s">
        <v>44</v>
      </c>
      <c r="P733" t="s">
        <v>82</v>
      </c>
      <c r="S733" t="s">
        <v>67</v>
      </c>
      <c r="T733" t="s">
        <v>84</v>
      </c>
      <c r="U733" t="s">
        <v>47</v>
      </c>
      <c r="W733">
        <f>_xlfn.XLOOKUP(F733,tblEmployee[Employee_ID],tblEmployee[Age],"Not Found")</f>
        <v>26</v>
      </c>
      <c r="X733" t="str">
        <f>_xlfn.XLOOKUP(F733,tblEmployee[Employee_ID],tblEmployee[Gender],"Not Found")</f>
        <v>Female</v>
      </c>
      <c r="Y733">
        <f>_xlfn.XLOOKUP(F733,tblEmployee[Employee_ID],tblEmployee[Joining_Date],"")</f>
        <v>44696</v>
      </c>
      <c r="Z733">
        <f>_xlfn.XLOOKUP(H733,tblDepartment[Department],tblDepartment[Annual_Budget_INR],"")</f>
        <v>26000000</v>
      </c>
      <c r="AA733" t="str">
        <f>_xlfn.XLOOKUP(H733,tblDepartment[Department],tblDepartment[Monthly_Target],"")</f>
        <v>100% Payroll Accuracy</v>
      </c>
      <c r="AB733">
        <f>_xlfn.XLOOKUP(H733,tblDepartment[Department],tblDepartment[Average_Salary_INR],"")</f>
        <v>640000</v>
      </c>
      <c r="AC733" t="str">
        <f>_xlfn.XLOOKUP(H733,tblDepartment[Department],tblDepartment[Priority_Level],"")</f>
        <v>High</v>
      </c>
      <c r="AD733" t="str">
        <f>_xlfn.XLOOKUP(H733,tblDepartment[Department],tblDepartment[Key_KPI],"")</f>
        <v>Financial Compliance</v>
      </c>
      <c r="AE733">
        <f>_xlfn.XLOOKUP(tblMaster[[#This Row],[Shift]],tblShift[Shift_Name],tblShift[Login_Time],"")</f>
        <v>0.41666666666666669</v>
      </c>
      <c r="AF733">
        <f>_xlfn.XLOOKUP(tblMaster[[#This Row],[Shift]],tblShift[Shift_Name],tblShift[Logout_Time]," ")</f>
        <v>0.79166666666666663</v>
      </c>
      <c r="AG733">
        <f>_xlfn.XLOOKUP(tblMaster[[#This Row],[Shift]],tblShift[Shift_Name],tblShift[Standard_Working_Hours],"")</f>
        <v>8</v>
      </c>
      <c r="AH733" t="str">
        <f>_xlfn.XLOOKUP(tblMaster[[#This Row],[Attendance_Date]],tblHoliday[Holiday_Date],tblHoliday[Holiday_Name],"Working Day")</f>
        <v>Working Day</v>
      </c>
      <c r="AI733" t="str">
        <f>_xlfn.XLOOKUP(tblMaster[[#This Row],[Attendance_Date]],tblHoliday[Holiday_Date],tblHoliday[Holiday_Type],"Working Day ")</f>
        <v xml:space="preserve">Working Day </v>
      </c>
    </row>
    <row r="734" spans="1:35" hidden="1" x14ac:dyDescent="0.3">
      <c r="A734" t="s">
        <v>923</v>
      </c>
      <c r="B734" s="3">
        <v>45736</v>
      </c>
      <c r="C734" t="s">
        <v>71</v>
      </c>
      <c r="D734" t="s">
        <v>50</v>
      </c>
      <c r="E734" t="s">
        <v>25</v>
      </c>
      <c r="F734" t="s">
        <v>215</v>
      </c>
      <c r="G734" t="s">
        <v>216</v>
      </c>
      <c r="H734" t="s">
        <v>79</v>
      </c>
      <c r="I734" t="s">
        <v>80</v>
      </c>
      <c r="J734" t="s">
        <v>30</v>
      </c>
      <c r="K734" t="s">
        <v>81</v>
      </c>
      <c r="L734" s="2">
        <v>0.91666666666666663</v>
      </c>
      <c r="M734" s="2">
        <v>0.29166666666666669</v>
      </c>
      <c r="N734">
        <v>9.5</v>
      </c>
      <c r="O734">
        <v>1.5</v>
      </c>
      <c r="P734" t="s">
        <v>32</v>
      </c>
      <c r="R734">
        <v>4</v>
      </c>
      <c r="S734" t="s">
        <v>92</v>
      </c>
      <c r="T734" t="s">
        <v>84</v>
      </c>
      <c r="U734" t="s">
        <v>55</v>
      </c>
      <c r="V734" t="s">
        <v>60</v>
      </c>
      <c r="W734">
        <f>_xlfn.XLOOKUP(F734,tblEmployee[Employee_ID],tblEmployee[Age],"Not Found")</f>
        <v>25</v>
      </c>
      <c r="X734" t="str">
        <f>_xlfn.XLOOKUP(F734,tblEmployee[Employee_ID],tblEmployee[Gender],"Not Found")</f>
        <v>Female</v>
      </c>
      <c r="Y734">
        <f>_xlfn.XLOOKUP(F734,tblEmployee[Employee_ID],tblEmployee[Joining_Date],"")</f>
        <v>44666</v>
      </c>
      <c r="Z734">
        <f>_xlfn.XLOOKUP(H734,tblDepartment[Department],tblDepartment[Annual_Budget_INR],"")</f>
        <v>26000000</v>
      </c>
      <c r="AA734" t="str">
        <f>_xlfn.XLOOKUP(H734,tblDepartment[Department],tblDepartment[Monthly_Target],"")</f>
        <v>100% Payroll Accuracy</v>
      </c>
      <c r="AB734">
        <f>_xlfn.XLOOKUP(H734,tblDepartment[Department],tblDepartment[Average_Salary_INR],"")</f>
        <v>640000</v>
      </c>
      <c r="AC734" t="str">
        <f>_xlfn.XLOOKUP(H734,tblDepartment[Department],tblDepartment[Priority_Level],"")</f>
        <v>High</v>
      </c>
      <c r="AD734" t="str">
        <f>_xlfn.XLOOKUP(H734,tblDepartment[Department],tblDepartment[Key_KPI],"")</f>
        <v>Financial Compliance</v>
      </c>
      <c r="AE734">
        <f>_xlfn.XLOOKUP(tblMaster[[#This Row],[Shift]],tblShift[Shift_Name],tblShift[Login_Time],"")</f>
        <v>0.91666666666666663</v>
      </c>
      <c r="AF734">
        <f>_xlfn.XLOOKUP(tblMaster[[#This Row],[Shift]],tblShift[Shift_Name],tblShift[Logout_Time]," ")</f>
        <v>0.29166666666666669</v>
      </c>
      <c r="AG734">
        <f>_xlfn.XLOOKUP(tblMaster[[#This Row],[Shift]],tblShift[Shift_Name],tblShift[Standard_Working_Hours],"")</f>
        <v>8</v>
      </c>
      <c r="AH734" t="str">
        <f>_xlfn.XLOOKUP(tblMaster[[#This Row],[Attendance_Date]],tblHoliday[Holiday_Date],tblHoliday[Holiday_Name],"Working Day")</f>
        <v>Working Day</v>
      </c>
      <c r="AI734" t="str">
        <f>_xlfn.XLOOKUP(tblMaster[[#This Row],[Attendance_Date]],tblHoliday[Holiday_Date],tblHoliday[Holiday_Type],"Working Day ")</f>
        <v xml:space="preserve">Working Day </v>
      </c>
    </row>
    <row r="735" spans="1:35" hidden="1" x14ac:dyDescent="0.3">
      <c r="A735" t="s">
        <v>924</v>
      </c>
      <c r="B735" s="3">
        <v>45789</v>
      </c>
      <c r="C735" t="s">
        <v>57</v>
      </c>
      <c r="D735" t="s">
        <v>24</v>
      </c>
      <c r="E735" t="s">
        <v>109</v>
      </c>
      <c r="F735" t="s">
        <v>142</v>
      </c>
      <c r="G735" t="s">
        <v>143</v>
      </c>
      <c r="H735" t="s">
        <v>64</v>
      </c>
      <c r="I735" t="s">
        <v>65</v>
      </c>
      <c r="J735" t="s">
        <v>43</v>
      </c>
      <c r="K735" t="s">
        <v>44</v>
      </c>
      <c r="L735" s="2">
        <v>0.375</v>
      </c>
      <c r="M735" s="2">
        <v>0.75</v>
      </c>
      <c r="N735">
        <v>8</v>
      </c>
      <c r="O735">
        <v>0</v>
      </c>
      <c r="P735" t="s">
        <v>32</v>
      </c>
      <c r="R735">
        <v>4</v>
      </c>
      <c r="S735" t="s">
        <v>67</v>
      </c>
      <c r="T735" t="s">
        <v>68</v>
      </c>
      <c r="U735" t="s">
        <v>55</v>
      </c>
      <c r="V735" t="s">
        <v>60</v>
      </c>
      <c r="W735">
        <f>_xlfn.XLOOKUP(F735,tblEmployee[Employee_ID],tblEmployee[Age],"Not Found")</f>
        <v>37</v>
      </c>
      <c r="X735" t="str">
        <f>_xlfn.XLOOKUP(F735,tblEmployee[Employee_ID],tblEmployee[Gender],"Not Found")</f>
        <v>Male</v>
      </c>
      <c r="Y735">
        <f>_xlfn.XLOOKUP(F735,tblEmployee[Employee_ID],tblEmployee[Joining_Date],"")</f>
        <v>43570</v>
      </c>
      <c r="Z735">
        <f>_xlfn.XLOOKUP(H735,tblDepartment[Department],tblDepartment[Annual_Budget_INR],"")</f>
        <v>85000000</v>
      </c>
      <c r="AA735" t="str">
        <f>_xlfn.XLOOKUP(H735,tblDepartment[Department],tblDepartment[Monthly_Target],"")</f>
        <v>99.5% System Uptime</v>
      </c>
      <c r="AB735">
        <f>_xlfn.XLOOKUP(H735,tblDepartment[Department],tblDepartment[Average_Salary_INR],"")</f>
        <v>720000</v>
      </c>
      <c r="AC735" t="str">
        <f>_xlfn.XLOOKUP(H735,tblDepartment[Department],tblDepartment[Priority_Level],"")</f>
        <v>High</v>
      </c>
      <c r="AD735" t="str">
        <f>_xlfn.XLOOKUP(H735,tblDepartment[Department],tblDepartment[Key_KPI],"")</f>
        <v>Project Delivery</v>
      </c>
      <c r="AE735">
        <f>_xlfn.XLOOKUP(tblMaster[[#This Row],[Shift]],tblShift[Shift_Name],tblShift[Login_Time],"")</f>
        <v>0.41666666666666669</v>
      </c>
      <c r="AF735">
        <f>_xlfn.XLOOKUP(tblMaster[[#This Row],[Shift]],tblShift[Shift_Name],tblShift[Logout_Time]," ")</f>
        <v>0.79166666666666663</v>
      </c>
      <c r="AG735">
        <f>_xlfn.XLOOKUP(tblMaster[[#This Row],[Shift]],tblShift[Shift_Name],tblShift[Standard_Working_Hours],"")</f>
        <v>8</v>
      </c>
      <c r="AH735" t="str">
        <f>_xlfn.XLOOKUP(tblMaster[[#This Row],[Attendance_Date]],tblHoliday[Holiday_Date],tblHoliday[Holiday_Name],"Working Day")</f>
        <v>Working Day</v>
      </c>
      <c r="AI735" t="str">
        <f>_xlfn.XLOOKUP(tblMaster[[#This Row],[Attendance_Date]],tblHoliday[Holiday_Date],tblHoliday[Holiday_Type],"Working Day ")</f>
        <v xml:space="preserve">Working Day </v>
      </c>
    </row>
    <row r="736" spans="1:35" hidden="1" x14ac:dyDescent="0.3">
      <c r="A736" t="s">
        <v>925</v>
      </c>
      <c r="B736" s="3">
        <v>45752</v>
      </c>
      <c r="C736" t="s">
        <v>37</v>
      </c>
      <c r="D736" t="s">
        <v>24</v>
      </c>
      <c r="E736" t="s">
        <v>38</v>
      </c>
      <c r="F736" t="s">
        <v>163</v>
      </c>
      <c r="G736" t="s">
        <v>164</v>
      </c>
      <c r="H736" t="s">
        <v>112</v>
      </c>
      <c r="I736" t="s">
        <v>113</v>
      </c>
      <c r="J736" t="s">
        <v>100</v>
      </c>
      <c r="K736" t="s">
        <v>31</v>
      </c>
      <c r="L736" s="2">
        <v>0.39930555555555558</v>
      </c>
      <c r="M736" s="2">
        <v>0.75</v>
      </c>
      <c r="N736">
        <v>8</v>
      </c>
      <c r="O736">
        <v>0</v>
      </c>
      <c r="P736" t="s">
        <v>32</v>
      </c>
      <c r="S736" t="s">
        <v>33</v>
      </c>
      <c r="T736" t="s">
        <v>114</v>
      </c>
      <c r="U736" t="s">
        <v>47</v>
      </c>
      <c r="V736" t="s">
        <v>60</v>
      </c>
      <c r="W736">
        <f>_xlfn.XLOOKUP(F736,tblEmployee[Employee_ID],tblEmployee[Age],"Not Found")</f>
        <v>25</v>
      </c>
      <c r="X736" t="str">
        <f>_xlfn.XLOOKUP(F736,tblEmployee[Employee_ID],tblEmployee[Gender],"Not Found")</f>
        <v>Male</v>
      </c>
      <c r="Y736">
        <f>_xlfn.XLOOKUP(F736,tblEmployee[Employee_ID],tblEmployee[Joining_Date],"")</f>
        <v>44301</v>
      </c>
      <c r="Z736">
        <f>_xlfn.XLOOKUP(H736,tblDepartment[Department],tblDepartment[Annual_Budget_INR],"")</f>
        <v>42000000</v>
      </c>
      <c r="AA736" t="str">
        <f>_xlfn.XLOOKUP(H736,tblDepartment[Department],tblDepartment[Monthly_Target],"")</f>
        <v>₹2.5 Cr Monthly Sales</v>
      </c>
      <c r="AB736">
        <f>_xlfn.XLOOKUP(H736,tblDepartment[Department],tblDepartment[Average_Salary_INR],"")</f>
        <v>680000</v>
      </c>
      <c r="AC736" t="str">
        <f>_xlfn.XLOOKUP(H736,tblDepartment[Department],tblDepartment[Priority_Level],"")</f>
        <v>High</v>
      </c>
      <c r="AD736" t="str">
        <f>_xlfn.XLOOKUP(H736,tblDepartment[Department],tblDepartment[Key_KPI],"")</f>
        <v>Revenue Achievement</v>
      </c>
      <c r="AE736">
        <f>_xlfn.XLOOKUP(tblMaster[[#This Row],[Shift]],tblShift[Shift_Name],tblShift[Login_Time],"")</f>
        <v>0.25</v>
      </c>
      <c r="AF736">
        <f>_xlfn.XLOOKUP(tblMaster[[#This Row],[Shift]],tblShift[Shift_Name],tblShift[Logout_Time]," ")</f>
        <v>0.625</v>
      </c>
      <c r="AG736">
        <f>_xlfn.XLOOKUP(tblMaster[[#This Row],[Shift]],tblShift[Shift_Name],tblShift[Standard_Working_Hours],"")</f>
        <v>8</v>
      </c>
      <c r="AH736" t="str">
        <f>_xlfn.XLOOKUP(tblMaster[[#This Row],[Attendance_Date]],tblHoliday[Holiday_Date],tblHoliday[Holiday_Name],"Working Day")</f>
        <v>Working Day</v>
      </c>
      <c r="AI736" t="str">
        <f>_xlfn.XLOOKUP(tblMaster[[#This Row],[Attendance_Date]],tblHoliday[Holiday_Date],tblHoliday[Holiday_Type],"Working Day ")</f>
        <v xml:space="preserve">Working Day </v>
      </c>
    </row>
    <row r="737" spans="1:35" hidden="1" x14ac:dyDescent="0.3">
      <c r="A737" t="s">
        <v>926</v>
      </c>
      <c r="B737" s="1">
        <v>45680</v>
      </c>
      <c r="C737" t="s">
        <v>49</v>
      </c>
      <c r="D737" t="s">
        <v>50</v>
      </c>
      <c r="E737" t="s">
        <v>25</v>
      </c>
      <c r="F737" t="s">
        <v>142</v>
      </c>
      <c r="G737" t="s">
        <v>143</v>
      </c>
      <c r="H737" t="s">
        <v>64</v>
      </c>
      <c r="I737" t="s">
        <v>65</v>
      </c>
      <c r="J737" t="s">
        <v>43</v>
      </c>
      <c r="K737" t="s">
        <v>81</v>
      </c>
      <c r="L737" s="2">
        <v>0.91666666666666663</v>
      </c>
      <c r="M737" s="2">
        <v>0.29166666666666669</v>
      </c>
      <c r="N737">
        <v>8.5</v>
      </c>
      <c r="O737">
        <v>0.5</v>
      </c>
      <c r="P737" t="s">
        <v>32</v>
      </c>
      <c r="S737" t="s">
        <v>92</v>
      </c>
      <c r="T737" t="s">
        <v>68</v>
      </c>
      <c r="U737" t="s">
        <v>55</v>
      </c>
      <c r="V737" t="s">
        <v>60</v>
      </c>
      <c r="W737">
        <f>_xlfn.XLOOKUP(F737,tblEmployee[Employee_ID],tblEmployee[Age],"Not Found")</f>
        <v>37</v>
      </c>
      <c r="X737" t="str">
        <f>_xlfn.XLOOKUP(F737,tblEmployee[Employee_ID],tblEmployee[Gender],"Not Found")</f>
        <v>Male</v>
      </c>
      <c r="Y737">
        <f>_xlfn.XLOOKUP(F737,tblEmployee[Employee_ID],tblEmployee[Joining_Date],"")</f>
        <v>43570</v>
      </c>
      <c r="Z737">
        <f>_xlfn.XLOOKUP(H737,tblDepartment[Department],tblDepartment[Annual_Budget_INR],"")</f>
        <v>85000000</v>
      </c>
      <c r="AA737" t="str">
        <f>_xlfn.XLOOKUP(H737,tblDepartment[Department],tblDepartment[Monthly_Target],"")</f>
        <v>99.5% System Uptime</v>
      </c>
      <c r="AB737">
        <f>_xlfn.XLOOKUP(H737,tblDepartment[Department],tblDepartment[Average_Salary_INR],"")</f>
        <v>720000</v>
      </c>
      <c r="AC737" t="str">
        <f>_xlfn.XLOOKUP(H737,tblDepartment[Department],tblDepartment[Priority_Level],"")</f>
        <v>High</v>
      </c>
      <c r="AD737" t="str">
        <f>_xlfn.XLOOKUP(H737,tblDepartment[Department],tblDepartment[Key_KPI],"")</f>
        <v>Project Delivery</v>
      </c>
      <c r="AE737">
        <f>_xlfn.XLOOKUP(tblMaster[[#This Row],[Shift]],tblShift[Shift_Name],tblShift[Login_Time],"")</f>
        <v>0.91666666666666663</v>
      </c>
      <c r="AF737">
        <f>_xlfn.XLOOKUP(tblMaster[[#This Row],[Shift]],tblShift[Shift_Name],tblShift[Logout_Time]," ")</f>
        <v>0.29166666666666669</v>
      </c>
      <c r="AG737">
        <f>_xlfn.XLOOKUP(tblMaster[[#This Row],[Shift]],tblShift[Shift_Name],tblShift[Standard_Working_Hours],"")</f>
        <v>8</v>
      </c>
      <c r="AH737" t="str">
        <f>_xlfn.XLOOKUP(tblMaster[[#This Row],[Attendance_Date]],tblHoliday[Holiday_Date],tblHoliday[Holiday_Name],"Working Day")</f>
        <v>Working Day</v>
      </c>
      <c r="AI737" t="str">
        <f>_xlfn.XLOOKUP(tblMaster[[#This Row],[Attendance_Date]],tblHoliday[Holiday_Date],tblHoliday[Holiday_Type],"Working Day ")</f>
        <v xml:space="preserve">Working Day </v>
      </c>
    </row>
    <row r="738" spans="1:35" x14ac:dyDescent="0.3">
      <c r="A738" t="s">
        <v>927</v>
      </c>
      <c r="B738" s="1">
        <v>45831</v>
      </c>
      <c r="C738" t="s">
        <v>23</v>
      </c>
      <c r="D738" t="s">
        <v>24</v>
      </c>
      <c r="E738" t="s">
        <v>109</v>
      </c>
      <c r="F738" t="s">
        <v>116</v>
      </c>
      <c r="G738" t="s">
        <v>117</v>
      </c>
      <c r="H738" t="s">
        <v>112</v>
      </c>
      <c r="I738" t="s">
        <v>113</v>
      </c>
      <c r="J738" t="s">
        <v>100</v>
      </c>
      <c r="K738" t="s">
        <v>44</v>
      </c>
      <c r="L738" s="2">
        <v>0.38194444444444442</v>
      </c>
      <c r="M738" s="2">
        <v>0.75</v>
      </c>
      <c r="N738">
        <v>8</v>
      </c>
      <c r="O738">
        <v>0</v>
      </c>
      <c r="P738" t="s">
        <v>32</v>
      </c>
      <c r="R738">
        <v>4</v>
      </c>
      <c r="S738" t="s">
        <v>33</v>
      </c>
      <c r="T738" t="s">
        <v>114</v>
      </c>
      <c r="U738" t="str">
        <f>_xlfn.XLOOKUP(tblMaster[[#This Row],[Employee_ID]],tblEmployee[Employee_ID],tblEmployee[Work_Mode]," ")</f>
        <v>Remote</v>
      </c>
      <c r="W738">
        <f>_xlfn.XLOOKUP(F738,tblEmployee[Employee_ID],tblEmployee[Age],"Not Found")</f>
        <v>24</v>
      </c>
      <c r="X738" t="str">
        <f>_xlfn.XLOOKUP(F738,tblEmployee[Employee_ID],tblEmployee[Gender],"Not Found")</f>
        <v>Male</v>
      </c>
      <c r="Y738">
        <f>_xlfn.XLOOKUP(F738,tblEmployee[Employee_ID],tblEmployee[Joining_Date],"")</f>
        <v>44270</v>
      </c>
      <c r="Z738">
        <f>_xlfn.XLOOKUP(H738,tblDepartment[Department],tblDepartment[Annual_Budget_INR],"")</f>
        <v>42000000</v>
      </c>
      <c r="AA738" t="str">
        <f>_xlfn.XLOOKUP(H738,tblDepartment[Department],tblDepartment[Monthly_Target],"")</f>
        <v>₹2.5 Cr Monthly Sales</v>
      </c>
      <c r="AB738">
        <f>_xlfn.XLOOKUP(H738,tblDepartment[Department],tblDepartment[Average_Salary_INR],"")</f>
        <v>680000</v>
      </c>
      <c r="AC738" t="str">
        <f>_xlfn.XLOOKUP(H738,tblDepartment[Department],tblDepartment[Priority_Level],"")</f>
        <v>High</v>
      </c>
      <c r="AD738" t="str">
        <f>_xlfn.XLOOKUP(H738,tblDepartment[Department],tblDepartment[Key_KPI],"")</f>
        <v>Revenue Achievement</v>
      </c>
      <c r="AE738">
        <f>_xlfn.XLOOKUP(tblMaster[[#This Row],[Shift]],tblShift[Shift_Name],tblShift[Login_Time],"")</f>
        <v>0.41666666666666669</v>
      </c>
      <c r="AF738">
        <f>_xlfn.XLOOKUP(tblMaster[[#This Row],[Shift]],tblShift[Shift_Name],tblShift[Logout_Time]," ")</f>
        <v>0.79166666666666663</v>
      </c>
      <c r="AG738">
        <f>_xlfn.XLOOKUP(tblMaster[[#This Row],[Shift]],tblShift[Shift_Name],tblShift[Standard_Working_Hours],"")</f>
        <v>8</v>
      </c>
      <c r="AH738" t="str">
        <f>_xlfn.XLOOKUP(tblMaster[[#This Row],[Attendance_Date]],tblHoliday[Holiday_Date],tblHoliday[Holiday_Name],"Working Day")</f>
        <v>Working Day</v>
      </c>
      <c r="AI738" t="str">
        <f>_xlfn.XLOOKUP(tblMaster[[#This Row],[Attendance_Date]],tblHoliday[Holiday_Date],tblHoliday[Holiday_Type],"Working Day ")</f>
        <v xml:space="preserve">Working Day </v>
      </c>
    </row>
    <row r="739" spans="1:35" hidden="1" x14ac:dyDescent="0.3">
      <c r="A739" t="s">
        <v>928</v>
      </c>
      <c r="B739" s="3">
        <v>45740</v>
      </c>
      <c r="C739" t="s">
        <v>71</v>
      </c>
      <c r="D739" t="s">
        <v>50</v>
      </c>
      <c r="E739" t="s">
        <v>109</v>
      </c>
      <c r="F739" t="s">
        <v>266</v>
      </c>
      <c r="G739" t="s">
        <v>267</v>
      </c>
      <c r="H739" t="s">
        <v>98</v>
      </c>
      <c r="I739" t="s">
        <v>99</v>
      </c>
      <c r="J739" t="s">
        <v>66</v>
      </c>
      <c r="K739" t="s">
        <v>44</v>
      </c>
      <c r="P739" t="s">
        <v>135</v>
      </c>
      <c r="S739" t="s">
        <v>67</v>
      </c>
      <c r="T739" t="s">
        <v>101</v>
      </c>
      <c r="U739" t="s">
        <v>55</v>
      </c>
      <c r="W739">
        <f>_xlfn.XLOOKUP(F739,tblEmployee[Employee_ID],tblEmployee[Age],"Not Found")</f>
        <v>28</v>
      </c>
      <c r="X739" t="str">
        <f>_xlfn.XLOOKUP(F739,tblEmployee[Employee_ID],tblEmployee[Gender],"Not Found")</f>
        <v>Female</v>
      </c>
      <c r="Y739">
        <f>_xlfn.XLOOKUP(F739,tblEmployee[Employee_ID],tblEmployee[Joining_Date],"")</f>
        <v>45488</v>
      </c>
      <c r="Z739">
        <f>_xlfn.XLOOKUP(H739,tblDepartment[Department],tblDepartment[Annual_Budget_INR],"")</f>
        <v>22000000</v>
      </c>
      <c r="AA739" t="str">
        <f>_xlfn.XLOOKUP(H739,tblDepartment[Department],tblDepartment[Monthly_Target],"")</f>
        <v>2500 Qualified Leads</v>
      </c>
      <c r="AB739">
        <f>_xlfn.XLOOKUP(H739,tblDepartment[Department],tblDepartment[Average_Salary_INR],"")</f>
        <v>590000</v>
      </c>
      <c r="AC739" t="str">
        <f>_xlfn.XLOOKUP(H739,tblDepartment[Department],tblDepartment[Priority_Level],"")</f>
        <v>Medium</v>
      </c>
      <c r="AD739" t="str">
        <f>_xlfn.XLOOKUP(H739,tblDepartment[Department],tblDepartment[Key_KPI],"")</f>
        <v>Lead Generation</v>
      </c>
      <c r="AE739">
        <f>_xlfn.XLOOKUP(tblMaster[[#This Row],[Shift]],tblShift[Shift_Name],tblShift[Login_Time],"")</f>
        <v>0.41666666666666669</v>
      </c>
      <c r="AF739">
        <f>_xlfn.XLOOKUP(tblMaster[[#This Row],[Shift]],tblShift[Shift_Name],tblShift[Logout_Time]," ")</f>
        <v>0.79166666666666663</v>
      </c>
      <c r="AG739">
        <f>_xlfn.XLOOKUP(tblMaster[[#This Row],[Shift]],tblShift[Shift_Name],tblShift[Standard_Working_Hours],"")</f>
        <v>8</v>
      </c>
      <c r="AH739" t="str">
        <f>_xlfn.XLOOKUP(tblMaster[[#This Row],[Attendance_Date]],tblHoliday[Holiday_Date],tblHoliday[Holiday_Name],"Working Day")</f>
        <v>Working Day</v>
      </c>
      <c r="AI739" t="str">
        <f>_xlfn.XLOOKUP(tblMaster[[#This Row],[Attendance_Date]],tblHoliday[Holiday_Date],tblHoliday[Holiday_Type],"Working Day ")</f>
        <v xml:space="preserve">Working Day </v>
      </c>
    </row>
    <row r="740" spans="1:35" hidden="1" x14ac:dyDescent="0.3">
      <c r="A740" t="s">
        <v>929</v>
      </c>
      <c r="B740" s="3">
        <v>45781</v>
      </c>
      <c r="C740" t="s">
        <v>57</v>
      </c>
      <c r="D740" t="s">
        <v>24</v>
      </c>
      <c r="E740" t="s">
        <v>103</v>
      </c>
      <c r="F740" t="s">
        <v>77</v>
      </c>
      <c r="G740" t="s">
        <v>78</v>
      </c>
      <c r="H740" t="s">
        <v>79</v>
      </c>
      <c r="I740" t="s">
        <v>80</v>
      </c>
      <c r="J740" t="s">
        <v>30</v>
      </c>
      <c r="K740" t="s">
        <v>31</v>
      </c>
      <c r="L740" s="2">
        <v>0.375</v>
      </c>
      <c r="M740" s="2">
        <v>0.75</v>
      </c>
      <c r="N740">
        <v>8</v>
      </c>
      <c r="O740">
        <v>0</v>
      </c>
      <c r="P740" t="s">
        <v>32</v>
      </c>
      <c r="R740">
        <v>4</v>
      </c>
      <c r="S740" t="s">
        <v>67</v>
      </c>
      <c r="T740" t="s">
        <v>84</v>
      </c>
      <c r="U740" t="s">
        <v>47</v>
      </c>
      <c r="W740">
        <f>_xlfn.XLOOKUP(F740,tblEmployee[Employee_ID],tblEmployee[Age],"Not Found")</f>
        <v>26</v>
      </c>
      <c r="X740" t="str">
        <f>_xlfn.XLOOKUP(F740,tblEmployee[Employee_ID],tblEmployee[Gender],"Not Found")</f>
        <v>Female</v>
      </c>
      <c r="Y740">
        <f>_xlfn.XLOOKUP(F740,tblEmployee[Employee_ID],tblEmployee[Joining_Date],"")</f>
        <v>44696</v>
      </c>
      <c r="Z740">
        <f>_xlfn.XLOOKUP(H740,tblDepartment[Department],tblDepartment[Annual_Budget_INR],"")</f>
        <v>26000000</v>
      </c>
      <c r="AA740" t="str">
        <f>_xlfn.XLOOKUP(H740,tblDepartment[Department],tblDepartment[Monthly_Target],"")</f>
        <v>100% Payroll Accuracy</v>
      </c>
      <c r="AB740">
        <f>_xlfn.XLOOKUP(H740,tblDepartment[Department],tblDepartment[Average_Salary_INR],"")</f>
        <v>640000</v>
      </c>
      <c r="AC740" t="str">
        <f>_xlfn.XLOOKUP(H740,tblDepartment[Department],tblDepartment[Priority_Level],"")</f>
        <v>High</v>
      </c>
      <c r="AD740" t="str">
        <f>_xlfn.XLOOKUP(H740,tblDepartment[Department],tblDepartment[Key_KPI],"")</f>
        <v>Financial Compliance</v>
      </c>
      <c r="AE740">
        <f>_xlfn.XLOOKUP(tblMaster[[#This Row],[Shift]],tblShift[Shift_Name],tblShift[Login_Time],"")</f>
        <v>0.25</v>
      </c>
      <c r="AF740">
        <f>_xlfn.XLOOKUP(tblMaster[[#This Row],[Shift]],tblShift[Shift_Name],tblShift[Logout_Time]," ")</f>
        <v>0.625</v>
      </c>
      <c r="AG740">
        <f>_xlfn.XLOOKUP(tblMaster[[#This Row],[Shift]],tblShift[Shift_Name],tblShift[Standard_Working_Hours],"")</f>
        <v>8</v>
      </c>
      <c r="AH740" t="str">
        <f>_xlfn.XLOOKUP(tblMaster[[#This Row],[Attendance_Date]],tblHoliday[Holiday_Date],tblHoliday[Holiday_Name],"Working Day")</f>
        <v>Working Day</v>
      </c>
      <c r="AI740" t="str">
        <f>_xlfn.XLOOKUP(tblMaster[[#This Row],[Attendance_Date]],tblHoliday[Holiday_Date],tblHoliday[Holiday_Type],"Working Day ")</f>
        <v xml:space="preserve">Working Day </v>
      </c>
    </row>
    <row r="741" spans="1:35" hidden="1" x14ac:dyDescent="0.3">
      <c r="A741" t="s">
        <v>930</v>
      </c>
      <c r="B741" s="1">
        <v>45828</v>
      </c>
      <c r="C741" t="s">
        <v>23</v>
      </c>
      <c r="D741" t="s">
        <v>24</v>
      </c>
      <c r="E741" t="s">
        <v>119</v>
      </c>
      <c r="F741" t="s">
        <v>116</v>
      </c>
      <c r="G741" t="s">
        <v>117</v>
      </c>
      <c r="H741" t="s">
        <v>112</v>
      </c>
      <c r="I741" t="s">
        <v>113</v>
      </c>
      <c r="J741" t="s">
        <v>100</v>
      </c>
      <c r="K741" t="s">
        <v>31</v>
      </c>
      <c r="P741" t="s">
        <v>82</v>
      </c>
      <c r="Q741" t="s">
        <v>83</v>
      </c>
      <c r="S741" t="s">
        <v>45</v>
      </c>
      <c r="T741" t="s">
        <v>114</v>
      </c>
      <c r="U741" t="s">
        <v>55</v>
      </c>
      <c r="V741" t="s">
        <v>35</v>
      </c>
      <c r="W741">
        <f>_xlfn.XLOOKUP(F741,tblEmployee[Employee_ID],tblEmployee[Age],"Not Found")</f>
        <v>24</v>
      </c>
      <c r="X741" t="str">
        <f>_xlfn.XLOOKUP(F741,tblEmployee[Employee_ID],tblEmployee[Gender],"Not Found")</f>
        <v>Male</v>
      </c>
      <c r="Y741">
        <f>_xlfn.XLOOKUP(F741,tblEmployee[Employee_ID],tblEmployee[Joining_Date],"")</f>
        <v>44270</v>
      </c>
      <c r="Z741">
        <f>_xlfn.XLOOKUP(H741,tblDepartment[Department],tblDepartment[Annual_Budget_INR],"")</f>
        <v>42000000</v>
      </c>
      <c r="AA741" t="str">
        <f>_xlfn.XLOOKUP(H741,tblDepartment[Department],tblDepartment[Monthly_Target],"")</f>
        <v>₹2.5 Cr Monthly Sales</v>
      </c>
      <c r="AB741">
        <f>_xlfn.XLOOKUP(H741,tblDepartment[Department],tblDepartment[Average_Salary_INR],"")</f>
        <v>680000</v>
      </c>
      <c r="AC741" t="str">
        <f>_xlfn.XLOOKUP(H741,tblDepartment[Department],tblDepartment[Priority_Level],"")</f>
        <v>High</v>
      </c>
      <c r="AD741" t="str">
        <f>_xlfn.XLOOKUP(H741,tblDepartment[Department],tblDepartment[Key_KPI],"")</f>
        <v>Revenue Achievement</v>
      </c>
      <c r="AE741">
        <f>_xlfn.XLOOKUP(tblMaster[[#This Row],[Shift]],tblShift[Shift_Name],tblShift[Login_Time],"")</f>
        <v>0.25</v>
      </c>
      <c r="AF741">
        <f>_xlfn.XLOOKUP(tblMaster[[#This Row],[Shift]],tblShift[Shift_Name],tblShift[Logout_Time]," ")</f>
        <v>0.625</v>
      </c>
      <c r="AG741">
        <f>_xlfn.XLOOKUP(tblMaster[[#This Row],[Shift]],tblShift[Shift_Name],tblShift[Standard_Working_Hours],"")</f>
        <v>8</v>
      </c>
      <c r="AH741" t="str">
        <f>_xlfn.XLOOKUP(tblMaster[[#This Row],[Attendance_Date]],tblHoliday[Holiday_Date],tblHoliday[Holiday_Name],"Working Day")</f>
        <v>Working Day</v>
      </c>
      <c r="AI741" t="str">
        <f>_xlfn.XLOOKUP(tblMaster[[#This Row],[Attendance_Date]],tblHoliday[Holiday_Date],tblHoliday[Holiday_Type],"Working Day ")</f>
        <v xml:space="preserve">Working Day </v>
      </c>
    </row>
    <row r="742" spans="1:35" hidden="1" x14ac:dyDescent="0.3">
      <c r="A742" t="s">
        <v>931</v>
      </c>
      <c r="B742" s="3">
        <v>45784</v>
      </c>
      <c r="C742" t="s">
        <v>57</v>
      </c>
      <c r="D742" t="s">
        <v>24</v>
      </c>
      <c r="E742" t="s">
        <v>51</v>
      </c>
      <c r="F742" t="s">
        <v>110</v>
      </c>
      <c r="G742" t="s">
        <v>111</v>
      </c>
      <c r="H742" t="s">
        <v>112</v>
      </c>
      <c r="I742" t="s">
        <v>113</v>
      </c>
      <c r="J742" t="s">
        <v>43</v>
      </c>
      <c r="K742" t="s">
        <v>81</v>
      </c>
      <c r="P742" t="s">
        <v>135</v>
      </c>
      <c r="S742" t="s">
        <v>92</v>
      </c>
      <c r="T742" t="s">
        <v>114</v>
      </c>
      <c r="U742" t="s">
        <v>47</v>
      </c>
      <c r="V742" t="s">
        <v>35</v>
      </c>
      <c r="W742">
        <f>_xlfn.XLOOKUP(F742,tblEmployee[Employee_ID],tblEmployee[Age],"Not Found")</f>
        <v>32</v>
      </c>
      <c r="X742" t="str">
        <f>_xlfn.XLOOKUP(F742,tblEmployee[Employee_ID],tblEmployee[Gender],"Not Found")</f>
        <v>Female</v>
      </c>
      <c r="Y742">
        <f>_xlfn.XLOOKUP(F742,tblEmployee[Employee_ID],tblEmployee[Joining_Date],"")</f>
        <v>44515</v>
      </c>
      <c r="Z742">
        <f>_xlfn.XLOOKUP(H742,tblDepartment[Department],tblDepartment[Annual_Budget_INR],"")</f>
        <v>42000000</v>
      </c>
      <c r="AA742" t="str">
        <f>_xlfn.XLOOKUP(H742,tblDepartment[Department],tblDepartment[Monthly_Target],"")</f>
        <v>₹2.5 Cr Monthly Sales</v>
      </c>
      <c r="AB742">
        <f>_xlfn.XLOOKUP(H742,tblDepartment[Department],tblDepartment[Average_Salary_INR],"")</f>
        <v>680000</v>
      </c>
      <c r="AC742" t="str">
        <f>_xlfn.XLOOKUP(H742,tblDepartment[Department],tblDepartment[Priority_Level],"")</f>
        <v>High</v>
      </c>
      <c r="AD742" t="str">
        <f>_xlfn.XLOOKUP(H742,tblDepartment[Department],tblDepartment[Key_KPI],"")</f>
        <v>Revenue Achievement</v>
      </c>
      <c r="AE742">
        <f>_xlfn.XLOOKUP(tblMaster[[#This Row],[Shift]],tblShift[Shift_Name],tblShift[Login_Time],"")</f>
        <v>0.91666666666666663</v>
      </c>
      <c r="AF742">
        <f>_xlfn.XLOOKUP(tblMaster[[#This Row],[Shift]],tblShift[Shift_Name],tblShift[Logout_Time]," ")</f>
        <v>0.29166666666666669</v>
      </c>
      <c r="AG742">
        <f>_xlfn.XLOOKUP(tblMaster[[#This Row],[Shift]],tblShift[Shift_Name],tblShift[Standard_Working_Hours],"")</f>
        <v>8</v>
      </c>
      <c r="AH742" t="str">
        <f>_xlfn.XLOOKUP(tblMaster[[#This Row],[Attendance_Date]],tblHoliday[Holiday_Date],tblHoliday[Holiday_Name],"Working Day")</f>
        <v>Working Day</v>
      </c>
      <c r="AI742" t="str">
        <f>_xlfn.XLOOKUP(tblMaster[[#This Row],[Attendance_Date]],tblHoliday[Holiday_Date],tblHoliday[Holiday_Type],"Working Day ")</f>
        <v xml:space="preserve">Working Day </v>
      </c>
    </row>
    <row r="743" spans="1:35" hidden="1" x14ac:dyDescent="0.3">
      <c r="A743" t="s">
        <v>932</v>
      </c>
      <c r="B743" s="3">
        <v>45815</v>
      </c>
      <c r="C743" t="s">
        <v>23</v>
      </c>
      <c r="D743" t="s">
        <v>24</v>
      </c>
      <c r="E743" t="s">
        <v>38</v>
      </c>
      <c r="F743" t="s">
        <v>173</v>
      </c>
      <c r="G743" t="s">
        <v>174</v>
      </c>
      <c r="H743" t="s">
        <v>90</v>
      </c>
      <c r="I743" t="s">
        <v>91</v>
      </c>
      <c r="J743" t="s">
        <v>74</v>
      </c>
      <c r="K743" t="s">
        <v>54</v>
      </c>
      <c r="L743" s="2">
        <v>0.375</v>
      </c>
      <c r="M743" s="2">
        <v>0.75</v>
      </c>
      <c r="N743">
        <v>8</v>
      </c>
      <c r="O743">
        <v>0</v>
      </c>
      <c r="P743" t="s">
        <v>32</v>
      </c>
      <c r="S743" t="s">
        <v>92</v>
      </c>
      <c r="T743" t="s">
        <v>93</v>
      </c>
      <c r="U743" t="s">
        <v>85</v>
      </c>
      <c r="V743" t="s">
        <v>60</v>
      </c>
      <c r="W743">
        <f>_xlfn.XLOOKUP(F743,tblEmployee[Employee_ID],tblEmployee[Age],"Not Found")</f>
        <v>23</v>
      </c>
      <c r="X743" t="str">
        <f>_xlfn.XLOOKUP(F743,tblEmployee[Employee_ID],tblEmployee[Gender],"Not Found")</f>
        <v>Female</v>
      </c>
      <c r="Y743">
        <f>_xlfn.XLOOKUP(F743,tblEmployee[Employee_ID],tblEmployee[Joining_Date],"")</f>
        <v>43876</v>
      </c>
      <c r="Z743">
        <f>_xlfn.XLOOKUP(H743,tblDepartment[Department],tblDepartment[Annual_Budget_INR],"")</f>
        <v>18000000</v>
      </c>
      <c r="AA743" t="str">
        <f>_xlfn.XLOOKUP(H743,tblDepartment[Department],tblDepartment[Monthly_Target],"")</f>
        <v>&lt;30 Days Hiring Cycle</v>
      </c>
      <c r="AB743">
        <f>_xlfn.XLOOKUP(H743,tblDepartment[Department],tblDepartment[Average_Salary_INR],"")</f>
        <v>560000</v>
      </c>
      <c r="AC743" t="str">
        <f>_xlfn.XLOOKUP(H743,tblDepartment[Department],tblDepartment[Priority_Level],"")</f>
        <v>Medium</v>
      </c>
      <c r="AD743" t="str">
        <f>_xlfn.XLOOKUP(H743,tblDepartment[Department],tblDepartment[Key_KPI],"")</f>
        <v>Hiring &amp; Retention</v>
      </c>
      <c r="AE743">
        <f>_xlfn.XLOOKUP(tblMaster[[#This Row],[Shift]],tblShift[Shift_Name],tblShift[Login_Time],"")</f>
        <v>0.58333333333333337</v>
      </c>
      <c r="AF743">
        <f>_xlfn.XLOOKUP(tblMaster[[#This Row],[Shift]],tblShift[Shift_Name],tblShift[Logout_Time]," ")</f>
        <v>0.95833333333333337</v>
      </c>
      <c r="AG743">
        <f>_xlfn.XLOOKUP(tblMaster[[#This Row],[Shift]],tblShift[Shift_Name],tblShift[Standard_Working_Hours],"")</f>
        <v>8</v>
      </c>
      <c r="AH743" t="str">
        <f>_xlfn.XLOOKUP(tblMaster[[#This Row],[Attendance_Date]],tblHoliday[Holiday_Date],tblHoliday[Holiday_Name],"Working Day")</f>
        <v>Bakrid</v>
      </c>
      <c r="AI743" t="str">
        <f>_xlfn.XLOOKUP(tblMaster[[#This Row],[Attendance_Date]],tblHoliday[Holiday_Date],tblHoliday[Holiday_Type],"Working Day ")</f>
        <v>Restricted</v>
      </c>
    </row>
    <row r="744" spans="1:35" x14ac:dyDescent="0.3">
      <c r="A744" t="s">
        <v>933</v>
      </c>
      <c r="B744" s="3">
        <v>45813</v>
      </c>
      <c r="C744" t="s">
        <v>23</v>
      </c>
      <c r="D744" t="s">
        <v>24</v>
      </c>
      <c r="E744" t="s">
        <v>25</v>
      </c>
      <c r="F744" t="s">
        <v>77</v>
      </c>
      <c r="G744" t="s">
        <v>78</v>
      </c>
      <c r="H744" t="s">
        <v>79</v>
      </c>
      <c r="I744" t="s">
        <v>80</v>
      </c>
      <c r="J744" t="s">
        <v>30</v>
      </c>
      <c r="K744" t="s">
        <v>54</v>
      </c>
      <c r="L744" s="2">
        <v>0.375</v>
      </c>
      <c r="M744" s="2">
        <v>0.75</v>
      </c>
      <c r="N744">
        <v>8</v>
      </c>
      <c r="O744">
        <v>0</v>
      </c>
      <c r="P744" t="s">
        <v>32</v>
      </c>
      <c r="R744">
        <v>3</v>
      </c>
      <c r="S744" t="s">
        <v>33</v>
      </c>
      <c r="T744" t="s">
        <v>84</v>
      </c>
      <c r="U744" t="str">
        <f>_xlfn.XLOOKUP(tblMaster[[#This Row],[Employee_ID]],tblEmployee[Employee_ID],tblEmployee[Work_Mode]," ")</f>
        <v>Hybrid</v>
      </c>
      <c r="V744" t="s">
        <v>69</v>
      </c>
      <c r="W744">
        <f>_xlfn.XLOOKUP(F744,tblEmployee[Employee_ID],tblEmployee[Age],"Not Found")</f>
        <v>26</v>
      </c>
      <c r="X744" t="str">
        <f>_xlfn.XLOOKUP(F744,tblEmployee[Employee_ID],tblEmployee[Gender],"Not Found")</f>
        <v>Female</v>
      </c>
      <c r="Y744">
        <f>_xlfn.XLOOKUP(F744,tblEmployee[Employee_ID],tblEmployee[Joining_Date],"")</f>
        <v>44696</v>
      </c>
      <c r="Z744">
        <f>_xlfn.XLOOKUP(H744,tblDepartment[Department],tblDepartment[Annual_Budget_INR],"")</f>
        <v>26000000</v>
      </c>
      <c r="AA744" t="str">
        <f>_xlfn.XLOOKUP(H744,tblDepartment[Department],tblDepartment[Monthly_Target],"")</f>
        <v>100% Payroll Accuracy</v>
      </c>
      <c r="AB744">
        <f>_xlfn.XLOOKUP(H744,tblDepartment[Department],tblDepartment[Average_Salary_INR],"")</f>
        <v>640000</v>
      </c>
      <c r="AC744" t="str">
        <f>_xlfn.XLOOKUP(H744,tblDepartment[Department],tblDepartment[Priority_Level],"")</f>
        <v>High</v>
      </c>
      <c r="AD744" t="str">
        <f>_xlfn.XLOOKUP(H744,tblDepartment[Department],tblDepartment[Key_KPI],"")</f>
        <v>Financial Compliance</v>
      </c>
      <c r="AE744">
        <f>_xlfn.XLOOKUP(tblMaster[[#This Row],[Shift]],tblShift[Shift_Name],tblShift[Login_Time],"")</f>
        <v>0.58333333333333337</v>
      </c>
      <c r="AF744">
        <f>_xlfn.XLOOKUP(tblMaster[[#This Row],[Shift]],tblShift[Shift_Name],tblShift[Logout_Time]," ")</f>
        <v>0.95833333333333337</v>
      </c>
      <c r="AG744">
        <f>_xlfn.XLOOKUP(tblMaster[[#This Row],[Shift]],tblShift[Shift_Name],tblShift[Standard_Working_Hours],"")</f>
        <v>8</v>
      </c>
      <c r="AH744" t="str">
        <f>_xlfn.XLOOKUP(tblMaster[[#This Row],[Attendance_Date]],tblHoliday[Holiday_Date],tblHoliday[Holiday_Name],"Working Day")</f>
        <v>Working Day</v>
      </c>
      <c r="AI744" t="str">
        <f>_xlfn.XLOOKUP(tblMaster[[#This Row],[Attendance_Date]],tblHoliday[Holiday_Date],tblHoliday[Holiday_Type],"Working Day ")</f>
        <v xml:space="preserve">Working Day </v>
      </c>
    </row>
    <row r="745" spans="1:35" x14ac:dyDescent="0.3">
      <c r="A745" t="s">
        <v>934</v>
      </c>
      <c r="B745" s="3">
        <v>45820</v>
      </c>
      <c r="C745" t="s">
        <v>23</v>
      </c>
      <c r="D745" t="s">
        <v>24</v>
      </c>
      <c r="E745" t="s">
        <v>25</v>
      </c>
      <c r="F745" t="s">
        <v>96</v>
      </c>
      <c r="G745" t="s">
        <v>97</v>
      </c>
      <c r="H745" t="s">
        <v>98</v>
      </c>
      <c r="I745" t="s">
        <v>99</v>
      </c>
      <c r="J745" t="s">
        <v>100</v>
      </c>
      <c r="K745" t="s">
        <v>75</v>
      </c>
      <c r="L745" s="2">
        <v>0.375</v>
      </c>
      <c r="M745" s="2">
        <v>0.75</v>
      </c>
      <c r="N745">
        <v>8</v>
      </c>
      <c r="O745">
        <v>0</v>
      </c>
      <c r="P745" t="s">
        <v>32</v>
      </c>
      <c r="R745">
        <v>4</v>
      </c>
      <c r="S745" t="s">
        <v>92</v>
      </c>
      <c r="T745" t="s">
        <v>101</v>
      </c>
      <c r="U745" t="str">
        <f>_xlfn.XLOOKUP(tblMaster[[#This Row],[Employee_ID]],tblEmployee[Employee_ID],tblEmployee[Work_Mode]," ")</f>
        <v>Office</v>
      </c>
      <c r="V745" t="s">
        <v>60</v>
      </c>
      <c r="W745">
        <f>_xlfn.XLOOKUP(F745,tblEmployee[Employee_ID],tblEmployee[Age],"Not Found")</f>
        <v>34</v>
      </c>
      <c r="X745" t="str">
        <f>_xlfn.XLOOKUP(F745,tblEmployee[Employee_ID],tblEmployee[Gender],"Not Found")</f>
        <v>Female</v>
      </c>
      <c r="Y745">
        <f>_xlfn.XLOOKUP(F745,tblEmployee[Employee_ID],tblEmployee[Joining_Date],"")</f>
        <v>45306</v>
      </c>
      <c r="Z745">
        <f>_xlfn.XLOOKUP(H745,tblDepartment[Department],tblDepartment[Annual_Budget_INR],"")</f>
        <v>22000000</v>
      </c>
      <c r="AA745" t="str">
        <f>_xlfn.XLOOKUP(H745,tblDepartment[Department],tblDepartment[Monthly_Target],"")</f>
        <v>2500 Qualified Leads</v>
      </c>
      <c r="AB745">
        <f>_xlfn.XLOOKUP(H745,tblDepartment[Department],tblDepartment[Average_Salary_INR],"")</f>
        <v>590000</v>
      </c>
      <c r="AC745" t="str">
        <f>_xlfn.XLOOKUP(H745,tblDepartment[Department],tblDepartment[Priority_Level],"")</f>
        <v>Medium</v>
      </c>
      <c r="AD745" t="str">
        <f>_xlfn.XLOOKUP(H745,tblDepartment[Department],tblDepartment[Key_KPI],"")</f>
        <v>Lead Generation</v>
      </c>
      <c r="AE745">
        <f>_xlfn.XLOOKUP(tblMaster[[#This Row],[Shift]],tblShift[Shift_Name],tblShift[Login_Time],"")</f>
        <v>0.375</v>
      </c>
      <c r="AF745">
        <f>_xlfn.XLOOKUP(tblMaster[[#This Row],[Shift]],tblShift[Shift_Name],tblShift[Logout_Time]," ")</f>
        <v>0.75</v>
      </c>
      <c r="AG745">
        <f>_xlfn.XLOOKUP(tblMaster[[#This Row],[Shift]],tblShift[Shift_Name],tblShift[Standard_Working_Hours],"")</f>
        <v>8</v>
      </c>
      <c r="AH745" t="str">
        <f>_xlfn.XLOOKUP(tblMaster[[#This Row],[Attendance_Date]],tblHoliday[Holiday_Date],tblHoliday[Holiday_Name],"Working Day")</f>
        <v>Working Day</v>
      </c>
      <c r="AI745" t="str">
        <f>_xlfn.XLOOKUP(tblMaster[[#This Row],[Attendance_Date]],tblHoliday[Holiday_Date],tblHoliday[Holiday_Type],"Working Day ")</f>
        <v xml:space="preserve">Working Day </v>
      </c>
    </row>
    <row r="746" spans="1:35" x14ac:dyDescent="0.3">
      <c r="A746" t="s">
        <v>935</v>
      </c>
      <c r="B746" s="3">
        <v>45704</v>
      </c>
      <c r="C746" t="s">
        <v>95</v>
      </c>
      <c r="D746" t="s">
        <v>50</v>
      </c>
      <c r="E746" t="s">
        <v>103</v>
      </c>
      <c r="F746" t="s">
        <v>201</v>
      </c>
      <c r="G746" t="s">
        <v>202</v>
      </c>
      <c r="H746" t="s">
        <v>112</v>
      </c>
      <c r="I746" t="s">
        <v>113</v>
      </c>
      <c r="J746" t="s">
        <v>66</v>
      </c>
      <c r="K746" t="s">
        <v>54</v>
      </c>
      <c r="P746" t="s">
        <v>82</v>
      </c>
      <c r="Q746" t="s">
        <v>83</v>
      </c>
      <c r="S746" t="s">
        <v>67</v>
      </c>
      <c r="T746" t="s">
        <v>114</v>
      </c>
      <c r="U746" t="str">
        <f>_xlfn.XLOOKUP(tblMaster[[#This Row],[Employee_ID]],tblEmployee[Employee_ID],tblEmployee[Work_Mode]," ")</f>
        <v>Hybrid</v>
      </c>
      <c r="V746" t="s">
        <v>69</v>
      </c>
      <c r="W746">
        <f>_xlfn.XLOOKUP(F746,tblEmployee[Employee_ID],tblEmployee[Age],"Not Found")</f>
        <v>35</v>
      </c>
      <c r="X746" t="str">
        <f>_xlfn.XLOOKUP(F746,tblEmployee[Employee_ID],tblEmployee[Gender],"Not Found")</f>
        <v>Male</v>
      </c>
      <c r="Y746">
        <f>_xlfn.XLOOKUP(F746,tblEmployee[Employee_ID],tblEmployee[Joining_Date],"")</f>
        <v>44423</v>
      </c>
      <c r="Z746">
        <f>_xlfn.XLOOKUP(H746,tblDepartment[Department],tblDepartment[Annual_Budget_INR],"")</f>
        <v>42000000</v>
      </c>
      <c r="AA746" t="str">
        <f>_xlfn.XLOOKUP(H746,tblDepartment[Department],tblDepartment[Monthly_Target],"")</f>
        <v>₹2.5 Cr Monthly Sales</v>
      </c>
      <c r="AB746">
        <f>_xlfn.XLOOKUP(H746,tblDepartment[Department],tblDepartment[Average_Salary_INR],"")</f>
        <v>680000</v>
      </c>
      <c r="AC746" t="str">
        <f>_xlfn.XLOOKUP(H746,tblDepartment[Department],tblDepartment[Priority_Level],"")</f>
        <v>High</v>
      </c>
      <c r="AD746" t="str">
        <f>_xlfn.XLOOKUP(H746,tblDepartment[Department],tblDepartment[Key_KPI],"")</f>
        <v>Revenue Achievement</v>
      </c>
      <c r="AE746">
        <f>_xlfn.XLOOKUP(tblMaster[[#This Row],[Shift]],tblShift[Shift_Name],tblShift[Login_Time],"")</f>
        <v>0.58333333333333337</v>
      </c>
      <c r="AF746">
        <f>_xlfn.XLOOKUP(tblMaster[[#This Row],[Shift]],tblShift[Shift_Name],tblShift[Logout_Time]," ")</f>
        <v>0.95833333333333337</v>
      </c>
      <c r="AG746">
        <f>_xlfn.XLOOKUP(tblMaster[[#This Row],[Shift]],tblShift[Shift_Name],tblShift[Standard_Working_Hours],"")</f>
        <v>8</v>
      </c>
      <c r="AH746" t="str">
        <f>_xlfn.XLOOKUP(tblMaster[[#This Row],[Attendance_Date]],tblHoliday[Holiday_Date],tblHoliday[Holiday_Name],"Working Day")</f>
        <v>Working Day</v>
      </c>
      <c r="AI746" t="str">
        <f>_xlfn.XLOOKUP(tblMaster[[#This Row],[Attendance_Date]],tblHoliday[Holiday_Date],tblHoliday[Holiday_Type],"Working Day ")</f>
        <v xml:space="preserve">Working Day </v>
      </c>
    </row>
    <row r="747" spans="1:35" hidden="1" x14ac:dyDescent="0.3">
      <c r="A747" t="s">
        <v>936</v>
      </c>
      <c r="B747" s="3">
        <v>45724</v>
      </c>
      <c r="C747" t="s">
        <v>71</v>
      </c>
      <c r="D747" t="s">
        <v>50</v>
      </c>
      <c r="E747" t="s">
        <v>38</v>
      </c>
      <c r="F747" t="s">
        <v>305</v>
      </c>
      <c r="G747" t="s">
        <v>306</v>
      </c>
      <c r="H747" t="s">
        <v>79</v>
      </c>
      <c r="I747" t="s">
        <v>80</v>
      </c>
      <c r="J747" t="s">
        <v>74</v>
      </c>
      <c r="K747" t="s">
        <v>75</v>
      </c>
      <c r="L747" s="2">
        <v>0.375</v>
      </c>
      <c r="M747" s="2">
        <v>0.75</v>
      </c>
      <c r="N747">
        <v>8</v>
      </c>
      <c r="O747">
        <v>0</v>
      </c>
      <c r="P747" t="s">
        <v>32</v>
      </c>
      <c r="R747">
        <v>5</v>
      </c>
      <c r="S747" t="s">
        <v>33</v>
      </c>
      <c r="T747" t="s">
        <v>84</v>
      </c>
      <c r="U747" t="s">
        <v>47</v>
      </c>
      <c r="V747" t="s">
        <v>60</v>
      </c>
      <c r="W747">
        <f>_xlfn.XLOOKUP(F747,tblEmployee[Employee_ID],tblEmployee[Age],"Not Found")</f>
        <v>36</v>
      </c>
      <c r="X747" t="str">
        <f>_xlfn.XLOOKUP(F747,tblEmployee[Employee_ID],tblEmployee[Gender],"Not Found")</f>
        <v>Female</v>
      </c>
      <c r="Y747">
        <f>_xlfn.XLOOKUP(F747,tblEmployee[Employee_ID],tblEmployee[Joining_Date],"")</f>
        <v>44819</v>
      </c>
      <c r="Z747">
        <f>_xlfn.XLOOKUP(H747,tblDepartment[Department],tblDepartment[Annual_Budget_INR],"")</f>
        <v>26000000</v>
      </c>
      <c r="AA747" t="str">
        <f>_xlfn.XLOOKUP(H747,tblDepartment[Department],tblDepartment[Monthly_Target],"")</f>
        <v>100% Payroll Accuracy</v>
      </c>
      <c r="AB747">
        <f>_xlfn.XLOOKUP(H747,tblDepartment[Department],tblDepartment[Average_Salary_INR],"")</f>
        <v>640000</v>
      </c>
      <c r="AC747" t="str">
        <f>_xlfn.XLOOKUP(H747,tblDepartment[Department],tblDepartment[Priority_Level],"")</f>
        <v>High</v>
      </c>
      <c r="AD747" t="str">
        <f>_xlfn.XLOOKUP(H747,tblDepartment[Department],tblDepartment[Key_KPI],"")</f>
        <v>Financial Compliance</v>
      </c>
      <c r="AE747">
        <f>_xlfn.XLOOKUP(tblMaster[[#This Row],[Shift]],tblShift[Shift_Name],tblShift[Login_Time],"")</f>
        <v>0.375</v>
      </c>
      <c r="AF747">
        <f>_xlfn.XLOOKUP(tblMaster[[#This Row],[Shift]],tblShift[Shift_Name],tblShift[Logout_Time]," ")</f>
        <v>0.75</v>
      </c>
      <c r="AG747">
        <f>_xlfn.XLOOKUP(tblMaster[[#This Row],[Shift]],tblShift[Shift_Name],tblShift[Standard_Working_Hours],"")</f>
        <v>8</v>
      </c>
      <c r="AH747" t="str">
        <f>_xlfn.XLOOKUP(tblMaster[[#This Row],[Attendance_Date]],tblHoliday[Holiday_Date],tblHoliday[Holiday_Name],"Working Day")</f>
        <v>Working Day</v>
      </c>
      <c r="AI747" t="str">
        <f>_xlfn.XLOOKUP(tblMaster[[#This Row],[Attendance_Date]],tblHoliday[Holiday_Date],tblHoliday[Holiday_Type],"Working Day ")</f>
        <v xml:space="preserve">Working Day </v>
      </c>
    </row>
    <row r="748" spans="1:35" x14ac:dyDescent="0.3">
      <c r="A748" t="s">
        <v>937</v>
      </c>
      <c r="B748" s="3">
        <v>45742</v>
      </c>
      <c r="C748" t="s">
        <v>71</v>
      </c>
      <c r="D748" t="s">
        <v>50</v>
      </c>
      <c r="E748" t="s">
        <v>51</v>
      </c>
      <c r="F748" t="s">
        <v>207</v>
      </c>
      <c r="G748" t="s">
        <v>208</v>
      </c>
      <c r="H748" t="s">
        <v>64</v>
      </c>
      <c r="I748" t="s">
        <v>65</v>
      </c>
      <c r="J748" t="s">
        <v>30</v>
      </c>
      <c r="K748" t="s">
        <v>75</v>
      </c>
      <c r="L748" s="2">
        <v>0.375</v>
      </c>
      <c r="M748" s="2">
        <v>0.75</v>
      </c>
      <c r="N748">
        <v>9</v>
      </c>
      <c r="O748">
        <v>1</v>
      </c>
      <c r="P748" t="s">
        <v>32</v>
      </c>
      <c r="R748">
        <v>5</v>
      </c>
      <c r="S748" t="s">
        <v>45</v>
      </c>
      <c r="T748" t="s">
        <v>68</v>
      </c>
      <c r="U748" t="str">
        <f>_xlfn.XLOOKUP(tblMaster[[#This Row],[Employee_ID]],tblEmployee[Employee_ID],tblEmployee[Work_Mode]," ")</f>
        <v>Remote</v>
      </c>
      <c r="V748" t="s">
        <v>60</v>
      </c>
      <c r="W748">
        <f>_xlfn.XLOOKUP(F748,tblEmployee[Employee_ID],tblEmployee[Age],"Not Found")</f>
        <v>33</v>
      </c>
      <c r="X748" t="str">
        <f>_xlfn.XLOOKUP(F748,tblEmployee[Employee_ID],tblEmployee[Gender],"Not Found")</f>
        <v>Male</v>
      </c>
      <c r="Y748">
        <f>_xlfn.XLOOKUP(F748,tblEmployee[Employee_ID],tblEmployee[Joining_Date],"")</f>
        <v>43631</v>
      </c>
      <c r="Z748">
        <f>_xlfn.XLOOKUP(H748,tblDepartment[Department],tblDepartment[Annual_Budget_INR],"")</f>
        <v>85000000</v>
      </c>
      <c r="AA748" t="str">
        <f>_xlfn.XLOOKUP(H748,tblDepartment[Department],tblDepartment[Monthly_Target],"")</f>
        <v>99.5% System Uptime</v>
      </c>
      <c r="AB748">
        <f>_xlfn.XLOOKUP(H748,tblDepartment[Department],tblDepartment[Average_Salary_INR],"")</f>
        <v>720000</v>
      </c>
      <c r="AC748" t="str">
        <f>_xlfn.XLOOKUP(H748,tblDepartment[Department],tblDepartment[Priority_Level],"")</f>
        <v>High</v>
      </c>
      <c r="AD748" t="str">
        <f>_xlfn.XLOOKUP(H748,tblDepartment[Department],tblDepartment[Key_KPI],"")</f>
        <v>Project Delivery</v>
      </c>
      <c r="AE748">
        <f>_xlfn.XLOOKUP(tblMaster[[#This Row],[Shift]],tblShift[Shift_Name],tblShift[Login_Time],"")</f>
        <v>0.375</v>
      </c>
      <c r="AF748">
        <f>_xlfn.XLOOKUP(tblMaster[[#This Row],[Shift]],tblShift[Shift_Name],tblShift[Logout_Time]," ")</f>
        <v>0.75</v>
      </c>
      <c r="AG748">
        <f>_xlfn.XLOOKUP(tblMaster[[#This Row],[Shift]],tblShift[Shift_Name],tblShift[Standard_Working_Hours],"")</f>
        <v>8</v>
      </c>
      <c r="AH748" t="str">
        <f>_xlfn.XLOOKUP(tblMaster[[#This Row],[Attendance_Date]],tblHoliday[Holiday_Date],tblHoliday[Holiday_Name],"Working Day")</f>
        <v>Working Day</v>
      </c>
      <c r="AI748" t="str">
        <f>_xlfn.XLOOKUP(tblMaster[[#This Row],[Attendance_Date]],tblHoliday[Holiday_Date],tblHoliday[Holiday_Type],"Working Day ")</f>
        <v xml:space="preserve">Working Day </v>
      </c>
    </row>
    <row r="749" spans="1:35" hidden="1" x14ac:dyDescent="0.3">
      <c r="A749" t="s">
        <v>938</v>
      </c>
      <c r="B749" s="1">
        <v>45714</v>
      </c>
      <c r="C749" t="s">
        <v>95</v>
      </c>
      <c r="D749" t="s">
        <v>50</v>
      </c>
      <c r="E749" t="s">
        <v>51</v>
      </c>
      <c r="F749" t="s">
        <v>288</v>
      </c>
      <c r="G749" t="s">
        <v>289</v>
      </c>
      <c r="H749" t="s">
        <v>28</v>
      </c>
      <c r="I749" t="s">
        <v>29</v>
      </c>
      <c r="J749" t="s">
        <v>74</v>
      </c>
      <c r="K749" t="s">
        <v>81</v>
      </c>
      <c r="L749" s="2">
        <v>0.91666666666666663</v>
      </c>
      <c r="M749" s="2">
        <v>0.29166666666666669</v>
      </c>
      <c r="N749">
        <v>9.5</v>
      </c>
      <c r="O749">
        <v>1.5</v>
      </c>
      <c r="P749" t="s">
        <v>32</v>
      </c>
      <c r="R749">
        <v>4</v>
      </c>
      <c r="S749" t="s">
        <v>45</v>
      </c>
      <c r="T749" t="s">
        <v>34</v>
      </c>
      <c r="U749" t="s">
        <v>47</v>
      </c>
      <c r="V749" t="s">
        <v>35</v>
      </c>
      <c r="W749">
        <f>_xlfn.XLOOKUP(F749,tblEmployee[Employee_ID],tblEmployee[Age],"Not Found")</f>
        <v>29</v>
      </c>
      <c r="X749" t="str">
        <f>_xlfn.XLOOKUP(F749,tblEmployee[Employee_ID],tblEmployee[Gender],"Not Found")</f>
        <v>Male</v>
      </c>
      <c r="Y749">
        <f>_xlfn.XLOOKUP(F749,tblEmployee[Employee_ID],tblEmployee[Joining_Date],"")</f>
        <v>43327</v>
      </c>
      <c r="Z749">
        <f>_xlfn.XLOOKUP(H749,tblDepartment[Department],tblDepartment[Annual_Budget_INR],"")</f>
        <v>24000000</v>
      </c>
      <c r="AA749" t="str">
        <f>_xlfn.XLOOKUP(H749,tblDepartment[Department],tblDepartment[Monthly_Target],"")</f>
        <v>90% Customer Satisfaction</v>
      </c>
      <c r="AB749">
        <f>_xlfn.XLOOKUP(H749,tblDepartment[Department],tblDepartment[Average_Salary_INR],"")</f>
        <v>520000</v>
      </c>
      <c r="AC749" t="str">
        <f>_xlfn.XLOOKUP(H749,tblDepartment[Department],tblDepartment[Priority_Level],"")</f>
        <v>High</v>
      </c>
      <c r="AD749" t="str">
        <f>_xlfn.XLOOKUP(H749,tblDepartment[Department],tblDepartment[Key_KPI],"")</f>
        <v>Customer Satisfaction</v>
      </c>
      <c r="AE749">
        <f>_xlfn.XLOOKUP(tblMaster[[#This Row],[Shift]],tblShift[Shift_Name],tblShift[Login_Time],"")</f>
        <v>0.91666666666666663</v>
      </c>
      <c r="AF749">
        <f>_xlfn.XLOOKUP(tblMaster[[#This Row],[Shift]],tblShift[Shift_Name],tblShift[Logout_Time]," ")</f>
        <v>0.29166666666666669</v>
      </c>
      <c r="AG749">
        <f>_xlfn.XLOOKUP(tblMaster[[#This Row],[Shift]],tblShift[Shift_Name],tblShift[Standard_Working_Hours],"")</f>
        <v>8</v>
      </c>
      <c r="AH749" t="str">
        <f>_xlfn.XLOOKUP(tblMaster[[#This Row],[Attendance_Date]],tblHoliday[Holiday_Date],tblHoliday[Holiday_Name],"Working Day")</f>
        <v>Mahashivratri</v>
      </c>
      <c r="AI749" t="str">
        <f>_xlfn.XLOOKUP(tblMaster[[#This Row],[Attendance_Date]],tblHoliday[Holiday_Date],tblHoliday[Holiday_Type],"Working Day ")</f>
        <v>Restricted</v>
      </c>
    </row>
    <row r="750" spans="1:35" hidden="1" x14ac:dyDescent="0.3">
      <c r="A750" t="s">
        <v>939</v>
      </c>
      <c r="B750" s="3">
        <v>45750</v>
      </c>
      <c r="C750" t="s">
        <v>37</v>
      </c>
      <c r="D750" t="s">
        <v>24</v>
      </c>
      <c r="E750" t="s">
        <v>25</v>
      </c>
      <c r="F750" t="s">
        <v>148</v>
      </c>
      <c r="G750" t="s">
        <v>149</v>
      </c>
      <c r="H750" t="s">
        <v>112</v>
      </c>
      <c r="I750" t="s">
        <v>113</v>
      </c>
      <c r="J750" t="s">
        <v>43</v>
      </c>
      <c r="K750" t="s">
        <v>75</v>
      </c>
      <c r="L750" s="2">
        <v>0.3888888888888889</v>
      </c>
      <c r="M750" s="2">
        <v>0.75</v>
      </c>
      <c r="N750">
        <v>8</v>
      </c>
      <c r="O750">
        <v>0</v>
      </c>
      <c r="P750" t="s">
        <v>32</v>
      </c>
      <c r="R750">
        <v>4</v>
      </c>
      <c r="S750" t="s">
        <v>92</v>
      </c>
      <c r="T750" t="s">
        <v>114</v>
      </c>
      <c r="U750" t="s">
        <v>85</v>
      </c>
      <c r="W750">
        <f>_xlfn.XLOOKUP(F750,tblEmployee[Employee_ID],tblEmployee[Age],"Not Found")</f>
        <v>31</v>
      </c>
      <c r="X750" t="str">
        <f>_xlfn.XLOOKUP(F750,tblEmployee[Employee_ID],tblEmployee[Gender],"Not Found")</f>
        <v>Male</v>
      </c>
      <c r="Y750">
        <f>_xlfn.XLOOKUP(F750,tblEmployee[Employee_ID],tblEmployee[Joining_Date],"")</f>
        <v>44484</v>
      </c>
      <c r="Z750">
        <f>_xlfn.XLOOKUP(H750,tblDepartment[Department],tblDepartment[Annual_Budget_INR],"")</f>
        <v>42000000</v>
      </c>
      <c r="AA750" t="str">
        <f>_xlfn.XLOOKUP(H750,tblDepartment[Department],tblDepartment[Monthly_Target],"")</f>
        <v>₹2.5 Cr Monthly Sales</v>
      </c>
      <c r="AB750">
        <f>_xlfn.XLOOKUP(H750,tblDepartment[Department],tblDepartment[Average_Salary_INR],"")</f>
        <v>680000</v>
      </c>
      <c r="AC750" t="str">
        <f>_xlfn.XLOOKUP(H750,tblDepartment[Department],tblDepartment[Priority_Level],"")</f>
        <v>High</v>
      </c>
      <c r="AD750" t="str">
        <f>_xlfn.XLOOKUP(H750,tblDepartment[Department],tblDepartment[Key_KPI],"")</f>
        <v>Revenue Achievement</v>
      </c>
      <c r="AE750">
        <f>_xlfn.XLOOKUP(tblMaster[[#This Row],[Shift]],tblShift[Shift_Name],tblShift[Login_Time],"")</f>
        <v>0.375</v>
      </c>
      <c r="AF750">
        <f>_xlfn.XLOOKUP(tblMaster[[#This Row],[Shift]],tblShift[Shift_Name],tblShift[Logout_Time]," ")</f>
        <v>0.75</v>
      </c>
      <c r="AG750">
        <f>_xlfn.XLOOKUP(tblMaster[[#This Row],[Shift]],tblShift[Shift_Name],tblShift[Standard_Working_Hours],"")</f>
        <v>8</v>
      </c>
      <c r="AH750" t="str">
        <f>_xlfn.XLOOKUP(tblMaster[[#This Row],[Attendance_Date]],tblHoliday[Holiday_Date],tblHoliday[Holiday_Name],"Working Day")</f>
        <v>Working Day</v>
      </c>
      <c r="AI750" t="str">
        <f>_xlfn.XLOOKUP(tblMaster[[#This Row],[Attendance_Date]],tblHoliday[Holiday_Date],tblHoliday[Holiday_Type],"Working Day ")</f>
        <v xml:space="preserve">Working Day </v>
      </c>
    </row>
    <row r="751" spans="1:35" hidden="1" x14ac:dyDescent="0.3">
      <c r="A751" t="s">
        <v>940</v>
      </c>
      <c r="B751" s="3">
        <v>45725</v>
      </c>
      <c r="C751" t="s">
        <v>71</v>
      </c>
      <c r="D751" t="s">
        <v>50</v>
      </c>
      <c r="E751" t="s">
        <v>103</v>
      </c>
      <c r="F751" t="s">
        <v>281</v>
      </c>
      <c r="G751" t="s">
        <v>282</v>
      </c>
      <c r="H751" t="s">
        <v>90</v>
      </c>
      <c r="I751" t="s">
        <v>91</v>
      </c>
      <c r="J751" t="s">
        <v>30</v>
      </c>
      <c r="K751" t="s">
        <v>54</v>
      </c>
      <c r="L751" s="2">
        <v>0.375</v>
      </c>
      <c r="M751" s="2">
        <v>0.75</v>
      </c>
      <c r="N751">
        <v>8</v>
      </c>
      <c r="O751">
        <v>0</v>
      </c>
      <c r="P751" t="s">
        <v>32</v>
      </c>
      <c r="R751">
        <v>4</v>
      </c>
      <c r="S751" t="s">
        <v>92</v>
      </c>
      <c r="T751" t="s">
        <v>93</v>
      </c>
      <c r="U751" t="s">
        <v>85</v>
      </c>
      <c r="V751" t="s">
        <v>60</v>
      </c>
      <c r="W751">
        <f>_xlfn.XLOOKUP(F751,tblEmployee[Employee_ID],tblEmployee[Age],"Not Found")</f>
        <v>31</v>
      </c>
      <c r="X751" t="str">
        <f>_xlfn.XLOOKUP(F751,tblEmployee[Employee_ID],tblEmployee[Gender],"Not Found")</f>
        <v>Male</v>
      </c>
      <c r="Y751">
        <f>_xlfn.XLOOKUP(F751,tblEmployee[Employee_ID],tblEmployee[Joining_Date],"")</f>
        <v>44119</v>
      </c>
      <c r="Z751">
        <f>_xlfn.XLOOKUP(H751,tblDepartment[Department],tblDepartment[Annual_Budget_INR],"")</f>
        <v>18000000</v>
      </c>
      <c r="AA751" t="str">
        <f>_xlfn.XLOOKUP(H751,tblDepartment[Department],tblDepartment[Monthly_Target],"")</f>
        <v>&lt;30 Days Hiring Cycle</v>
      </c>
      <c r="AB751">
        <f>_xlfn.XLOOKUP(H751,tblDepartment[Department],tblDepartment[Average_Salary_INR],"")</f>
        <v>560000</v>
      </c>
      <c r="AC751" t="str">
        <f>_xlfn.XLOOKUP(H751,tblDepartment[Department],tblDepartment[Priority_Level],"")</f>
        <v>Medium</v>
      </c>
      <c r="AD751" t="str">
        <f>_xlfn.XLOOKUP(H751,tblDepartment[Department],tblDepartment[Key_KPI],"")</f>
        <v>Hiring &amp; Retention</v>
      </c>
      <c r="AE751">
        <f>_xlfn.XLOOKUP(tblMaster[[#This Row],[Shift]],tblShift[Shift_Name],tblShift[Login_Time],"")</f>
        <v>0.58333333333333337</v>
      </c>
      <c r="AF751">
        <f>_xlfn.XLOOKUP(tblMaster[[#This Row],[Shift]],tblShift[Shift_Name],tblShift[Logout_Time]," ")</f>
        <v>0.95833333333333337</v>
      </c>
      <c r="AG751">
        <f>_xlfn.XLOOKUP(tblMaster[[#This Row],[Shift]],tblShift[Shift_Name],tblShift[Standard_Working_Hours],"")</f>
        <v>8</v>
      </c>
      <c r="AH751" t="str">
        <f>_xlfn.XLOOKUP(tblMaster[[#This Row],[Attendance_Date]],tblHoliday[Holiday_Date],tblHoliday[Holiday_Name],"Working Day")</f>
        <v>Working Day</v>
      </c>
      <c r="AI751" t="str">
        <f>_xlfn.XLOOKUP(tblMaster[[#This Row],[Attendance_Date]],tblHoliday[Holiday_Date],tblHoliday[Holiday_Type],"Working Day ")</f>
        <v xml:space="preserve">Working Day </v>
      </c>
    </row>
    <row r="752" spans="1:35" x14ac:dyDescent="0.3">
      <c r="A752" t="s">
        <v>941</v>
      </c>
      <c r="B752" s="1">
        <v>45665</v>
      </c>
      <c r="C752" t="s">
        <v>49</v>
      </c>
      <c r="D752" t="s">
        <v>50</v>
      </c>
      <c r="E752" t="s">
        <v>51</v>
      </c>
      <c r="F752" t="s">
        <v>243</v>
      </c>
      <c r="G752" t="s">
        <v>244</v>
      </c>
      <c r="H752" t="s">
        <v>90</v>
      </c>
      <c r="I752" t="s">
        <v>91</v>
      </c>
      <c r="J752" t="s">
        <v>30</v>
      </c>
      <c r="K752" t="s">
        <v>54</v>
      </c>
      <c r="L752" s="2">
        <v>0.375</v>
      </c>
      <c r="M752" s="2">
        <v>0.75</v>
      </c>
      <c r="N752">
        <v>8</v>
      </c>
      <c r="O752">
        <v>0</v>
      </c>
      <c r="P752" t="s">
        <v>32</v>
      </c>
      <c r="R752">
        <v>5</v>
      </c>
      <c r="S752" t="s">
        <v>67</v>
      </c>
      <c r="T752" t="s">
        <v>93</v>
      </c>
      <c r="U752" t="str">
        <f>_xlfn.XLOOKUP(tblMaster[[#This Row],[Employee_ID]],tblEmployee[Employee_ID],tblEmployee[Work_Mode]," ")</f>
        <v>Remote</v>
      </c>
      <c r="V752" t="s">
        <v>60</v>
      </c>
      <c r="W752">
        <f>_xlfn.XLOOKUP(F752,tblEmployee[Employee_ID],tblEmployee[Age],"Not Found")</f>
        <v>30</v>
      </c>
      <c r="X752" t="str">
        <f>_xlfn.XLOOKUP(F752,tblEmployee[Employee_ID],tblEmployee[Gender],"Not Found")</f>
        <v>Female</v>
      </c>
      <c r="Y752">
        <f>_xlfn.XLOOKUP(F752,tblEmployee[Employee_ID],tblEmployee[Joining_Date],"")</f>
        <v>44089</v>
      </c>
      <c r="Z752">
        <f>_xlfn.XLOOKUP(H752,tblDepartment[Department],tblDepartment[Annual_Budget_INR],"")</f>
        <v>18000000</v>
      </c>
      <c r="AA752" t="str">
        <f>_xlfn.XLOOKUP(H752,tblDepartment[Department],tblDepartment[Monthly_Target],"")</f>
        <v>&lt;30 Days Hiring Cycle</v>
      </c>
      <c r="AB752">
        <f>_xlfn.XLOOKUP(H752,tblDepartment[Department],tblDepartment[Average_Salary_INR],"")</f>
        <v>560000</v>
      </c>
      <c r="AC752" t="str">
        <f>_xlfn.XLOOKUP(H752,tblDepartment[Department],tblDepartment[Priority_Level],"")</f>
        <v>Medium</v>
      </c>
      <c r="AD752" t="str">
        <f>_xlfn.XLOOKUP(H752,tblDepartment[Department],tblDepartment[Key_KPI],"")</f>
        <v>Hiring &amp; Retention</v>
      </c>
      <c r="AE752">
        <f>_xlfn.XLOOKUP(tblMaster[[#This Row],[Shift]],tblShift[Shift_Name],tblShift[Login_Time],"")</f>
        <v>0.58333333333333337</v>
      </c>
      <c r="AF752">
        <f>_xlfn.XLOOKUP(tblMaster[[#This Row],[Shift]],tblShift[Shift_Name],tblShift[Logout_Time]," ")</f>
        <v>0.95833333333333337</v>
      </c>
      <c r="AG752">
        <f>_xlfn.XLOOKUP(tblMaster[[#This Row],[Shift]],tblShift[Shift_Name],tblShift[Standard_Working_Hours],"")</f>
        <v>8</v>
      </c>
      <c r="AH752" t="str">
        <f>_xlfn.XLOOKUP(tblMaster[[#This Row],[Attendance_Date]],tblHoliday[Holiday_Date],tblHoliday[Holiday_Name],"Working Day")</f>
        <v>Working Day</v>
      </c>
      <c r="AI752" t="str">
        <f>_xlfn.XLOOKUP(tblMaster[[#This Row],[Attendance_Date]],tblHoliday[Holiday_Date],tblHoliday[Holiday_Type],"Working Day ")</f>
        <v xml:space="preserve">Working Day </v>
      </c>
    </row>
    <row r="753" spans="1:35" hidden="1" x14ac:dyDescent="0.3">
      <c r="A753" t="s">
        <v>942</v>
      </c>
      <c r="B753" s="1">
        <v>45768</v>
      </c>
      <c r="C753" t="s">
        <v>37</v>
      </c>
      <c r="D753" t="s">
        <v>24</v>
      </c>
      <c r="E753" t="s">
        <v>109</v>
      </c>
      <c r="F753" t="s">
        <v>207</v>
      </c>
      <c r="G753" t="s">
        <v>208</v>
      </c>
      <c r="H753" t="s">
        <v>421</v>
      </c>
      <c r="I753" t="s">
        <v>65</v>
      </c>
      <c r="J753" t="s">
        <v>30</v>
      </c>
      <c r="K753" t="s">
        <v>31</v>
      </c>
      <c r="L753" s="2">
        <v>0.375</v>
      </c>
      <c r="M753" s="2">
        <v>0.75</v>
      </c>
      <c r="N753">
        <v>9.5</v>
      </c>
      <c r="O753">
        <v>1.5</v>
      </c>
      <c r="P753" t="s">
        <v>32</v>
      </c>
      <c r="S753" t="s">
        <v>92</v>
      </c>
      <c r="T753" t="s">
        <v>68</v>
      </c>
      <c r="U753" t="s">
        <v>47</v>
      </c>
      <c r="W753">
        <f>_xlfn.XLOOKUP(F753,tblEmployee[Employee_ID],tblEmployee[Age],"Not Found")</f>
        <v>33</v>
      </c>
      <c r="X753" t="str">
        <f>_xlfn.XLOOKUP(F753,tblEmployee[Employee_ID],tblEmployee[Gender],"Not Found")</f>
        <v>Male</v>
      </c>
      <c r="Y753">
        <f>_xlfn.XLOOKUP(F753,tblEmployee[Employee_ID],tblEmployee[Joining_Date],"")</f>
        <v>43631</v>
      </c>
      <c r="Z753">
        <f>_xlfn.XLOOKUP(H753,tblDepartment[Department],tblDepartment[Annual_Budget_INR],"")</f>
        <v>85000000</v>
      </c>
      <c r="AA753" t="str">
        <f>_xlfn.XLOOKUP(H753,tblDepartment[Department],tblDepartment[Monthly_Target],"")</f>
        <v>99.5% System Uptime</v>
      </c>
      <c r="AB753">
        <f>_xlfn.XLOOKUP(H753,tblDepartment[Department],tblDepartment[Average_Salary_INR],"")</f>
        <v>720000</v>
      </c>
      <c r="AC753" t="str">
        <f>_xlfn.XLOOKUP(H753,tblDepartment[Department],tblDepartment[Priority_Level],"")</f>
        <v>High</v>
      </c>
      <c r="AD753" t="str">
        <f>_xlfn.XLOOKUP(H753,tblDepartment[Department],tblDepartment[Key_KPI],"")</f>
        <v>Project Delivery</v>
      </c>
      <c r="AE753">
        <f>_xlfn.XLOOKUP(tblMaster[[#This Row],[Shift]],tblShift[Shift_Name],tblShift[Login_Time],"")</f>
        <v>0.25</v>
      </c>
      <c r="AF753">
        <f>_xlfn.XLOOKUP(tblMaster[[#This Row],[Shift]],tblShift[Shift_Name],tblShift[Logout_Time]," ")</f>
        <v>0.625</v>
      </c>
      <c r="AG753">
        <f>_xlfn.XLOOKUP(tblMaster[[#This Row],[Shift]],tblShift[Shift_Name],tblShift[Standard_Working_Hours],"")</f>
        <v>8</v>
      </c>
      <c r="AH753" t="str">
        <f>_xlfn.XLOOKUP(tblMaster[[#This Row],[Attendance_Date]],tblHoliday[Holiday_Date],tblHoliday[Holiday_Name],"Working Day")</f>
        <v>Working Day</v>
      </c>
      <c r="AI753" t="str">
        <f>_xlfn.XLOOKUP(tblMaster[[#This Row],[Attendance_Date]],tblHoliday[Holiday_Date],tblHoliday[Holiday_Type],"Working Day ")</f>
        <v xml:space="preserve">Working Day </v>
      </c>
    </row>
    <row r="754" spans="1:35" hidden="1" x14ac:dyDescent="0.3">
      <c r="A754" t="s">
        <v>943</v>
      </c>
      <c r="B754" s="3">
        <v>45768</v>
      </c>
      <c r="C754" t="s">
        <v>37</v>
      </c>
      <c r="D754" t="s">
        <v>24</v>
      </c>
      <c r="E754" t="s">
        <v>109</v>
      </c>
      <c r="F754" t="s">
        <v>204</v>
      </c>
      <c r="G754" t="s">
        <v>205</v>
      </c>
      <c r="H754" t="s">
        <v>90</v>
      </c>
      <c r="I754" t="s">
        <v>91</v>
      </c>
      <c r="J754" t="s">
        <v>74</v>
      </c>
      <c r="K754" t="s">
        <v>75</v>
      </c>
      <c r="L754" s="2">
        <v>0.375</v>
      </c>
      <c r="M754" s="2">
        <v>0.75</v>
      </c>
      <c r="N754">
        <v>8</v>
      </c>
      <c r="O754">
        <v>0</v>
      </c>
      <c r="P754" t="s">
        <v>32</v>
      </c>
      <c r="S754" t="s">
        <v>92</v>
      </c>
      <c r="T754" t="s">
        <v>93</v>
      </c>
      <c r="U754" t="s">
        <v>85</v>
      </c>
      <c r="W754">
        <f>_xlfn.XLOOKUP(F754,tblEmployee[Employee_ID],tblEmployee[Age],"Not Found")</f>
        <v>24</v>
      </c>
      <c r="X754" t="str">
        <f>_xlfn.XLOOKUP(F754,tblEmployee[Employee_ID],tblEmployee[Gender],"Not Found")</f>
        <v>Female</v>
      </c>
      <c r="Y754">
        <f>_xlfn.XLOOKUP(F754,tblEmployee[Employee_ID],tblEmployee[Joining_Date],"")</f>
        <v>43905</v>
      </c>
      <c r="Z754">
        <f>_xlfn.XLOOKUP(H754,tblDepartment[Department],tblDepartment[Annual_Budget_INR],"")</f>
        <v>18000000</v>
      </c>
      <c r="AA754" t="str">
        <f>_xlfn.XLOOKUP(H754,tblDepartment[Department],tblDepartment[Monthly_Target],"")</f>
        <v>&lt;30 Days Hiring Cycle</v>
      </c>
      <c r="AB754">
        <f>_xlfn.XLOOKUP(H754,tblDepartment[Department],tblDepartment[Average_Salary_INR],"")</f>
        <v>560000</v>
      </c>
      <c r="AC754" t="str">
        <f>_xlfn.XLOOKUP(H754,tblDepartment[Department],tblDepartment[Priority_Level],"")</f>
        <v>Medium</v>
      </c>
      <c r="AD754" t="str">
        <f>_xlfn.XLOOKUP(H754,tblDepartment[Department],tblDepartment[Key_KPI],"")</f>
        <v>Hiring &amp; Retention</v>
      </c>
      <c r="AE754">
        <f>_xlfn.XLOOKUP(tblMaster[[#This Row],[Shift]],tblShift[Shift_Name],tblShift[Login_Time],"")</f>
        <v>0.375</v>
      </c>
      <c r="AF754">
        <f>_xlfn.XLOOKUP(tblMaster[[#This Row],[Shift]],tblShift[Shift_Name],tblShift[Logout_Time]," ")</f>
        <v>0.75</v>
      </c>
      <c r="AG754">
        <f>_xlfn.XLOOKUP(tblMaster[[#This Row],[Shift]],tblShift[Shift_Name],tblShift[Standard_Working_Hours],"")</f>
        <v>8</v>
      </c>
      <c r="AH754" t="str">
        <f>_xlfn.XLOOKUP(tblMaster[[#This Row],[Attendance_Date]],tblHoliday[Holiday_Date],tblHoliday[Holiday_Name],"Working Day")</f>
        <v>Working Day</v>
      </c>
      <c r="AI754" t="str">
        <f>_xlfn.XLOOKUP(tblMaster[[#This Row],[Attendance_Date]],tblHoliday[Holiday_Date],tblHoliday[Holiday_Type],"Working Day ")</f>
        <v xml:space="preserve">Working Day </v>
      </c>
    </row>
    <row r="755" spans="1:35" hidden="1" x14ac:dyDescent="0.3">
      <c r="A755" t="s">
        <v>944</v>
      </c>
      <c r="B755" s="3">
        <v>45802</v>
      </c>
      <c r="C755" t="s">
        <v>57</v>
      </c>
      <c r="D755" t="s">
        <v>24</v>
      </c>
      <c r="E755" t="s">
        <v>103</v>
      </c>
      <c r="F755" t="s">
        <v>96</v>
      </c>
      <c r="G755" t="s">
        <v>97</v>
      </c>
      <c r="H755" t="s">
        <v>98</v>
      </c>
      <c r="I755" t="s">
        <v>99</v>
      </c>
      <c r="J755" t="s">
        <v>100</v>
      </c>
      <c r="K755" t="s">
        <v>44</v>
      </c>
      <c r="L755" s="2">
        <v>0.375</v>
      </c>
      <c r="M755" s="2">
        <v>0.75</v>
      </c>
      <c r="N755">
        <v>8</v>
      </c>
      <c r="O755">
        <v>0</v>
      </c>
      <c r="P755" t="s">
        <v>32</v>
      </c>
      <c r="R755">
        <v>5</v>
      </c>
      <c r="S755" t="s">
        <v>33</v>
      </c>
      <c r="T755" t="s">
        <v>101</v>
      </c>
      <c r="U755" t="s">
        <v>55</v>
      </c>
      <c r="V755" t="s">
        <v>35</v>
      </c>
      <c r="W755">
        <f>_xlfn.XLOOKUP(F755,tblEmployee[Employee_ID],tblEmployee[Age],"Not Found")</f>
        <v>34</v>
      </c>
      <c r="X755" t="str">
        <f>_xlfn.XLOOKUP(F755,tblEmployee[Employee_ID],tblEmployee[Gender],"Not Found")</f>
        <v>Female</v>
      </c>
      <c r="Y755">
        <f>_xlfn.XLOOKUP(F755,tblEmployee[Employee_ID],tblEmployee[Joining_Date],"")</f>
        <v>45306</v>
      </c>
      <c r="Z755">
        <f>_xlfn.XLOOKUP(H755,tblDepartment[Department],tblDepartment[Annual_Budget_INR],"")</f>
        <v>22000000</v>
      </c>
      <c r="AA755" t="str">
        <f>_xlfn.XLOOKUP(H755,tblDepartment[Department],tblDepartment[Monthly_Target],"")</f>
        <v>2500 Qualified Leads</v>
      </c>
      <c r="AB755">
        <f>_xlfn.XLOOKUP(H755,tblDepartment[Department],tblDepartment[Average_Salary_INR],"")</f>
        <v>590000</v>
      </c>
      <c r="AC755" t="str">
        <f>_xlfn.XLOOKUP(H755,tblDepartment[Department],tblDepartment[Priority_Level],"")</f>
        <v>Medium</v>
      </c>
      <c r="AD755" t="str">
        <f>_xlfn.XLOOKUP(H755,tblDepartment[Department],tblDepartment[Key_KPI],"")</f>
        <v>Lead Generation</v>
      </c>
      <c r="AE755">
        <f>_xlfn.XLOOKUP(tblMaster[[#This Row],[Shift]],tblShift[Shift_Name],tblShift[Login_Time],"")</f>
        <v>0.41666666666666669</v>
      </c>
      <c r="AF755">
        <f>_xlfn.XLOOKUP(tblMaster[[#This Row],[Shift]],tblShift[Shift_Name],tblShift[Logout_Time]," ")</f>
        <v>0.79166666666666663</v>
      </c>
      <c r="AG755">
        <f>_xlfn.XLOOKUP(tblMaster[[#This Row],[Shift]],tblShift[Shift_Name],tblShift[Standard_Working_Hours],"")</f>
        <v>8</v>
      </c>
      <c r="AH755" t="str">
        <f>_xlfn.XLOOKUP(tblMaster[[#This Row],[Attendance_Date]],tblHoliday[Holiday_Date],tblHoliday[Holiday_Name],"Working Day")</f>
        <v>Working Day</v>
      </c>
      <c r="AI755" t="str">
        <f>_xlfn.XLOOKUP(tblMaster[[#This Row],[Attendance_Date]],tblHoliday[Holiday_Date],tblHoliday[Holiday_Type],"Working Day ")</f>
        <v xml:space="preserve">Working Day </v>
      </c>
    </row>
    <row r="756" spans="1:35" hidden="1" x14ac:dyDescent="0.3">
      <c r="A756" t="s">
        <v>945</v>
      </c>
      <c r="B756" s="3">
        <v>45829</v>
      </c>
      <c r="C756" t="s">
        <v>23</v>
      </c>
      <c r="D756" t="s">
        <v>24</v>
      </c>
      <c r="E756" t="s">
        <v>38</v>
      </c>
      <c r="F756" t="s">
        <v>163</v>
      </c>
      <c r="G756" t="s">
        <v>164</v>
      </c>
      <c r="H756" t="s">
        <v>112</v>
      </c>
      <c r="I756" t="s">
        <v>113</v>
      </c>
      <c r="J756" t="s">
        <v>100</v>
      </c>
      <c r="K756" t="s">
        <v>31</v>
      </c>
      <c r="L756" s="2">
        <v>0.38194444444444442</v>
      </c>
      <c r="M756" s="2">
        <v>0.75</v>
      </c>
      <c r="N756">
        <v>8</v>
      </c>
      <c r="O756">
        <v>0</v>
      </c>
      <c r="P756" t="s">
        <v>32</v>
      </c>
      <c r="R756">
        <v>3</v>
      </c>
      <c r="S756" t="s">
        <v>45</v>
      </c>
      <c r="T756" t="s">
        <v>114</v>
      </c>
      <c r="U756" t="s">
        <v>85</v>
      </c>
      <c r="V756" t="s">
        <v>35</v>
      </c>
      <c r="W756">
        <f>_xlfn.XLOOKUP(F756,tblEmployee[Employee_ID],tblEmployee[Age],"Not Found")</f>
        <v>25</v>
      </c>
      <c r="X756" t="str">
        <f>_xlfn.XLOOKUP(F756,tblEmployee[Employee_ID],tblEmployee[Gender],"Not Found")</f>
        <v>Male</v>
      </c>
      <c r="Y756">
        <f>_xlfn.XLOOKUP(F756,tblEmployee[Employee_ID],tblEmployee[Joining_Date],"")</f>
        <v>44301</v>
      </c>
      <c r="Z756">
        <f>_xlfn.XLOOKUP(H756,tblDepartment[Department],tblDepartment[Annual_Budget_INR],"")</f>
        <v>42000000</v>
      </c>
      <c r="AA756" t="str">
        <f>_xlfn.XLOOKUP(H756,tblDepartment[Department],tblDepartment[Monthly_Target],"")</f>
        <v>₹2.5 Cr Monthly Sales</v>
      </c>
      <c r="AB756">
        <f>_xlfn.XLOOKUP(H756,tblDepartment[Department],tblDepartment[Average_Salary_INR],"")</f>
        <v>680000</v>
      </c>
      <c r="AC756" t="str">
        <f>_xlfn.XLOOKUP(H756,tblDepartment[Department],tblDepartment[Priority_Level],"")</f>
        <v>High</v>
      </c>
      <c r="AD756" t="str">
        <f>_xlfn.XLOOKUP(H756,tblDepartment[Department],tblDepartment[Key_KPI],"")</f>
        <v>Revenue Achievement</v>
      </c>
      <c r="AE756">
        <f>_xlfn.XLOOKUP(tblMaster[[#This Row],[Shift]],tblShift[Shift_Name],tblShift[Login_Time],"")</f>
        <v>0.25</v>
      </c>
      <c r="AF756">
        <f>_xlfn.XLOOKUP(tblMaster[[#This Row],[Shift]],tblShift[Shift_Name],tblShift[Logout_Time]," ")</f>
        <v>0.625</v>
      </c>
      <c r="AG756">
        <f>_xlfn.XLOOKUP(tblMaster[[#This Row],[Shift]],tblShift[Shift_Name],tblShift[Standard_Working_Hours],"")</f>
        <v>8</v>
      </c>
      <c r="AH756" t="str">
        <f>_xlfn.XLOOKUP(tblMaster[[#This Row],[Attendance_Date]],tblHoliday[Holiday_Date],tblHoliday[Holiday_Name],"Working Day")</f>
        <v>Working Day</v>
      </c>
      <c r="AI756" t="str">
        <f>_xlfn.XLOOKUP(tblMaster[[#This Row],[Attendance_Date]],tblHoliday[Holiday_Date],tblHoliday[Holiday_Type],"Working Day ")</f>
        <v xml:space="preserve">Working Day </v>
      </c>
    </row>
    <row r="757" spans="1:35" hidden="1" x14ac:dyDescent="0.3">
      <c r="A757" t="s">
        <v>946</v>
      </c>
      <c r="B757" s="1">
        <v>45663</v>
      </c>
      <c r="C757" t="s">
        <v>49</v>
      </c>
      <c r="D757" t="s">
        <v>50</v>
      </c>
      <c r="E757" t="s">
        <v>109</v>
      </c>
      <c r="F757" t="s">
        <v>116</v>
      </c>
      <c r="G757" t="s">
        <v>117</v>
      </c>
      <c r="H757" t="s">
        <v>112</v>
      </c>
      <c r="I757" t="s">
        <v>113</v>
      </c>
      <c r="J757" t="s">
        <v>100</v>
      </c>
      <c r="K757" t="s">
        <v>75</v>
      </c>
      <c r="L757" s="2">
        <v>0.39930555555555558</v>
      </c>
      <c r="M757" s="2">
        <v>0.75</v>
      </c>
      <c r="N757">
        <v>8</v>
      </c>
      <c r="O757">
        <v>0</v>
      </c>
      <c r="P757" t="s">
        <v>32</v>
      </c>
      <c r="R757">
        <v>4</v>
      </c>
      <c r="S757" t="s">
        <v>92</v>
      </c>
      <c r="T757" t="s">
        <v>114</v>
      </c>
      <c r="U757" t="s">
        <v>47</v>
      </c>
      <c r="V757" t="s">
        <v>69</v>
      </c>
      <c r="W757">
        <f>_xlfn.XLOOKUP(F757,tblEmployee[Employee_ID],tblEmployee[Age],"Not Found")</f>
        <v>24</v>
      </c>
      <c r="X757" t="str">
        <f>_xlfn.XLOOKUP(F757,tblEmployee[Employee_ID],tblEmployee[Gender],"Not Found")</f>
        <v>Male</v>
      </c>
      <c r="Y757">
        <f>_xlfn.XLOOKUP(F757,tblEmployee[Employee_ID],tblEmployee[Joining_Date],"")</f>
        <v>44270</v>
      </c>
      <c r="Z757">
        <f>_xlfn.XLOOKUP(H757,tblDepartment[Department],tblDepartment[Annual_Budget_INR],"")</f>
        <v>42000000</v>
      </c>
      <c r="AA757" t="str">
        <f>_xlfn.XLOOKUP(H757,tblDepartment[Department],tblDepartment[Monthly_Target],"")</f>
        <v>₹2.5 Cr Monthly Sales</v>
      </c>
      <c r="AB757">
        <f>_xlfn.XLOOKUP(H757,tblDepartment[Department],tblDepartment[Average_Salary_INR],"")</f>
        <v>680000</v>
      </c>
      <c r="AC757" t="str">
        <f>_xlfn.XLOOKUP(H757,tblDepartment[Department],tblDepartment[Priority_Level],"")</f>
        <v>High</v>
      </c>
      <c r="AD757" t="str">
        <f>_xlfn.XLOOKUP(H757,tblDepartment[Department],tblDepartment[Key_KPI],"")</f>
        <v>Revenue Achievement</v>
      </c>
      <c r="AE757">
        <f>_xlfn.XLOOKUP(tblMaster[[#This Row],[Shift]],tblShift[Shift_Name],tblShift[Login_Time],"")</f>
        <v>0.375</v>
      </c>
      <c r="AF757">
        <f>_xlfn.XLOOKUP(tblMaster[[#This Row],[Shift]],tblShift[Shift_Name],tblShift[Logout_Time]," ")</f>
        <v>0.75</v>
      </c>
      <c r="AG757">
        <f>_xlfn.XLOOKUP(tblMaster[[#This Row],[Shift]],tblShift[Shift_Name],tblShift[Standard_Working_Hours],"")</f>
        <v>8</v>
      </c>
      <c r="AH757" t="str">
        <f>_xlfn.XLOOKUP(tblMaster[[#This Row],[Attendance_Date]],tblHoliday[Holiday_Date],tblHoliday[Holiday_Name],"Working Day")</f>
        <v>Working Day</v>
      </c>
      <c r="AI757" t="str">
        <f>_xlfn.XLOOKUP(tblMaster[[#This Row],[Attendance_Date]],tblHoliday[Holiday_Date],tblHoliday[Holiday_Type],"Working Day ")</f>
        <v xml:space="preserve">Working Day </v>
      </c>
    </row>
    <row r="758" spans="1:35" hidden="1" x14ac:dyDescent="0.3">
      <c r="A758" t="s">
        <v>947</v>
      </c>
      <c r="B758" s="3">
        <v>45703</v>
      </c>
      <c r="C758" t="s">
        <v>95</v>
      </c>
      <c r="D758" t="s">
        <v>50</v>
      </c>
      <c r="E758" t="s">
        <v>38</v>
      </c>
      <c r="F758" t="s">
        <v>58</v>
      </c>
      <c r="G758" t="s">
        <v>59</v>
      </c>
      <c r="H758" t="s">
        <v>41</v>
      </c>
      <c r="I758" t="s">
        <v>42</v>
      </c>
      <c r="J758" t="s">
        <v>30</v>
      </c>
      <c r="K758" t="s">
        <v>75</v>
      </c>
      <c r="L758" s="2">
        <v>0.375</v>
      </c>
      <c r="M758" s="2">
        <v>0.75</v>
      </c>
      <c r="N758">
        <v>8</v>
      </c>
      <c r="O758">
        <v>0</v>
      </c>
      <c r="P758" t="s">
        <v>32</v>
      </c>
      <c r="R758">
        <v>4</v>
      </c>
      <c r="S758" t="s">
        <v>33</v>
      </c>
      <c r="T758" t="s">
        <v>46</v>
      </c>
      <c r="U758" t="s">
        <v>55</v>
      </c>
      <c r="V758" t="s">
        <v>69</v>
      </c>
      <c r="W758">
        <f>_xlfn.XLOOKUP(F758,tblEmployee[Employee_ID],tblEmployee[Age],"Not Found")</f>
        <v>23</v>
      </c>
      <c r="X758" t="str">
        <f>_xlfn.XLOOKUP(F758,tblEmployee[Employee_ID],tblEmployee[Gender],"Not Found")</f>
        <v>Female</v>
      </c>
      <c r="Y758">
        <f>_xlfn.XLOOKUP(F758,tblEmployee[Employee_ID],tblEmployee[Joining_Date],"")</f>
        <v>45153</v>
      </c>
      <c r="Z758">
        <f>_xlfn.XLOOKUP(H758,tblDepartment[Department],tblDepartment[Annual_Budget_INR],"")</f>
        <v>34000000</v>
      </c>
      <c r="AA758" t="str">
        <f>_xlfn.XLOOKUP(H758,tblDepartment[Department],tblDepartment[Monthly_Target],"")</f>
        <v>95% Process Efficiency</v>
      </c>
      <c r="AB758">
        <f>_xlfn.XLOOKUP(H758,tblDepartment[Department],tblDepartment[Average_Salary_INR],"")</f>
        <v>610000</v>
      </c>
      <c r="AC758" t="str">
        <f>_xlfn.XLOOKUP(H758,tblDepartment[Department],tblDepartment[Priority_Level],"")</f>
        <v>High</v>
      </c>
      <c r="AD758" t="str">
        <f>_xlfn.XLOOKUP(H758,tblDepartment[Department],tblDepartment[Key_KPI],"")</f>
        <v>Operational Efficiency</v>
      </c>
      <c r="AE758">
        <f>_xlfn.XLOOKUP(tblMaster[[#This Row],[Shift]],tblShift[Shift_Name],tblShift[Login_Time],"")</f>
        <v>0.375</v>
      </c>
      <c r="AF758">
        <f>_xlfn.XLOOKUP(tblMaster[[#This Row],[Shift]],tblShift[Shift_Name],tblShift[Logout_Time]," ")</f>
        <v>0.75</v>
      </c>
      <c r="AG758">
        <f>_xlfn.XLOOKUP(tblMaster[[#This Row],[Shift]],tblShift[Shift_Name],tblShift[Standard_Working_Hours],"")</f>
        <v>8</v>
      </c>
      <c r="AH758" t="str">
        <f>_xlfn.XLOOKUP(tblMaster[[#This Row],[Attendance_Date]],tblHoliday[Holiday_Date],tblHoliday[Holiday_Name],"Working Day")</f>
        <v>Working Day</v>
      </c>
      <c r="AI758" t="str">
        <f>_xlfn.XLOOKUP(tblMaster[[#This Row],[Attendance_Date]],tblHoliday[Holiday_Date],tblHoliday[Holiday_Type],"Working Day ")</f>
        <v xml:space="preserve">Working Day </v>
      </c>
    </row>
    <row r="759" spans="1:35" hidden="1" x14ac:dyDescent="0.3">
      <c r="A759" t="s">
        <v>948</v>
      </c>
      <c r="B759" s="3">
        <v>45739</v>
      </c>
      <c r="C759" t="s">
        <v>71</v>
      </c>
      <c r="D759" t="s">
        <v>50</v>
      </c>
      <c r="E759" t="s">
        <v>103</v>
      </c>
      <c r="F759" t="s">
        <v>243</v>
      </c>
      <c r="G759" t="s">
        <v>244</v>
      </c>
      <c r="H759" t="s">
        <v>90</v>
      </c>
      <c r="I759" t="s">
        <v>91</v>
      </c>
      <c r="J759" t="s">
        <v>30</v>
      </c>
      <c r="K759" t="s">
        <v>44</v>
      </c>
      <c r="L759" s="2">
        <v>0.375</v>
      </c>
      <c r="M759" s="2">
        <v>0.75</v>
      </c>
      <c r="N759">
        <v>8</v>
      </c>
      <c r="O759">
        <v>0</v>
      </c>
      <c r="P759" t="s">
        <v>32</v>
      </c>
      <c r="R759">
        <v>4</v>
      </c>
      <c r="S759" t="s">
        <v>67</v>
      </c>
      <c r="T759" t="s">
        <v>93</v>
      </c>
      <c r="U759" t="s">
        <v>55</v>
      </c>
      <c r="V759" t="s">
        <v>60</v>
      </c>
      <c r="W759">
        <f>_xlfn.XLOOKUP(F759,tblEmployee[Employee_ID],tblEmployee[Age],"Not Found")</f>
        <v>30</v>
      </c>
      <c r="X759" t="str">
        <f>_xlfn.XLOOKUP(F759,tblEmployee[Employee_ID],tblEmployee[Gender],"Not Found")</f>
        <v>Female</v>
      </c>
      <c r="Y759">
        <f>_xlfn.XLOOKUP(F759,tblEmployee[Employee_ID],tblEmployee[Joining_Date],"")</f>
        <v>44089</v>
      </c>
      <c r="Z759">
        <f>_xlfn.XLOOKUP(H759,tblDepartment[Department],tblDepartment[Annual_Budget_INR],"")</f>
        <v>18000000</v>
      </c>
      <c r="AA759" t="str">
        <f>_xlfn.XLOOKUP(H759,tblDepartment[Department],tblDepartment[Monthly_Target],"")</f>
        <v>&lt;30 Days Hiring Cycle</v>
      </c>
      <c r="AB759">
        <f>_xlfn.XLOOKUP(H759,tblDepartment[Department],tblDepartment[Average_Salary_INR],"")</f>
        <v>560000</v>
      </c>
      <c r="AC759" t="str">
        <f>_xlfn.XLOOKUP(H759,tblDepartment[Department],tblDepartment[Priority_Level],"")</f>
        <v>Medium</v>
      </c>
      <c r="AD759" t="str">
        <f>_xlfn.XLOOKUP(H759,tblDepartment[Department],tblDepartment[Key_KPI],"")</f>
        <v>Hiring &amp; Retention</v>
      </c>
      <c r="AE759">
        <f>_xlfn.XLOOKUP(tblMaster[[#This Row],[Shift]],tblShift[Shift_Name],tblShift[Login_Time],"")</f>
        <v>0.41666666666666669</v>
      </c>
      <c r="AF759">
        <f>_xlfn.XLOOKUP(tblMaster[[#This Row],[Shift]],tblShift[Shift_Name],tblShift[Logout_Time]," ")</f>
        <v>0.79166666666666663</v>
      </c>
      <c r="AG759">
        <f>_xlfn.XLOOKUP(tblMaster[[#This Row],[Shift]],tblShift[Shift_Name],tblShift[Standard_Working_Hours],"")</f>
        <v>8</v>
      </c>
      <c r="AH759" t="str">
        <f>_xlfn.XLOOKUP(tblMaster[[#This Row],[Attendance_Date]],tblHoliday[Holiday_Date],tblHoliday[Holiday_Name],"Working Day")</f>
        <v>Working Day</v>
      </c>
      <c r="AI759" t="str">
        <f>_xlfn.XLOOKUP(tblMaster[[#This Row],[Attendance_Date]],tblHoliday[Holiday_Date],tblHoliday[Holiday_Type],"Working Day ")</f>
        <v xml:space="preserve">Working Day </v>
      </c>
    </row>
    <row r="760" spans="1:35" hidden="1" x14ac:dyDescent="0.3">
      <c r="A760" t="s">
        <v>949</v>
      </c>
      <c r="B760" s="1">
        <v>45784</v>
      </c>
      <c r="C760" t="s">
        <v>57</v>
      </c>
      <c r="D760" t="s">
        <v>24</v>
      </c>
      <c r="E760" t="s">
        <v>51</v>
      </c>
      <c r="F760" t="s">
        <v>127</v>
      </c>
      <c r="G760" t="s">
        <v>128</v>
      </c>
      <c r="H760" t="s">
        <v>137</v>
      </c>
      <c r="I760" t="s">
        <v>91</v>
      </c>
      <c r="J760" t="s">
        <v>66</v>
      </c>
      <c r="K760" t="s">
        <v>81</v>
      </c>
      <c r="L760" s="2">
        <v>0.91666666666666663</v>
      </c>
      <c r="M760" s="2">
        <v>0.29166666666666669</v>
      </c>
      <c r="N760">
        <v>9</v>
      </c>
      <c r="O760">
        <v>1</v>
      </c>
      <c r="P760" t="s">
        <v>32</v>
      </c>
      <c r="R760">
        <v>5</v>
      </c>
      <c r="S760" t="s">
        <v>67</v>
      </c>
      <c r="T760" t="s">
        <v>93</v>
      </c>
      <c r="U760" t="s">
        <v>85</v>
      </c>
      <c r="V760" t="s">
        <v>69</v>
      </c>
      <c r="W760">
        <f>_xlfn.XLOOKUP(F760,tblEmployee[Employee_ID],tblEmployee[Age],"Not Found")</f>
        <v>38</v>
      </c>
      <c r="X760" t="str">
        <f>_xlfn.XLOOKUP(F760,tblEmployee[Employee_ID],tblEmployee[Gender],"Not Found")</f>
        <v>Female</v>
      </c>
      <c r="Y760">
        <f>_xlfn.XLOOKUP(F760,tblEmployee[Employee_ID],tblEmployee[Joining_Date],"")</f>
        <v>43966</v>
      </c>
      <c r="Z760">
        <f>_xlfn.XLOOKUP(H760,tblDepartment[Department],tblDepartment[Annual_Budget_INR],"")</f>
        <v>18000000</v>
      </c>
      <c r="AA760" t="str">
        <f>_xlfn.XLOOKUP(H760,tblDepartment[Department],tblDepartment[Monthly_Target],"")</f>
        <v>&lt;30 Days Hiring Cycle</v>
      </c>
      <c r="AB760">
        <f>_xlfn.XLOOKUP(H760,tblDepartment[Department],tblDepartment[Average_Salary_INR],"")</f>
        <v>560000</v>
      </c>
      <c r="AC760" t="str">
        <f>_xlfn.XLOOKUP(H760,tblDepartment[Department],tblDepartment[Priority_Level],"")</f>
        <v>Medium</v>
      </c>
      <c r="AD760" t="str">
        <f>_xlfn.XLOOKUP(H760,tblDepartment[Department],tblDepartment[Key_KPI],"")</f>
        <v>Hiring &amp; Retention</v>
      </c>
      <c r="AE760">
        <f>_xlfn.XLOOKUP(tblMaster[[#This Row],[Shift]],tblShift[Shift_Name],tblShift[Login_Time],"")</f>
        <v>0.91666666666666663</v>
      </c>
      <c r="AF760">
        <f>_xlfn.XLOOKUP(tblMaster[[#This Row],[Shift]],tblShift[Shift_Name],tblShift[Logout_Time]," ")</f>
        <v>0.29166666666666669</v>
      </c>
      <c r="AG760">
        <f>_xlfn.XLOOKUP(tblMaster[[#This Row],[Shift]],tblShift[Shift_Name],tblShift[Standard_Working_Hours],"")</f>
        <v>8</v>
      </c>
      <c r="AH760" t="str">
        <f>_xlfn.XLOOKUP(tblMaster[[#This Row],[Attendance_Date]],tblHoliday[Holiday_Date],tblHoliday[Holiday_Name],"Working Day")</f>
        <v>Working Day</v>
      </c>
      <c r="AI760" t="str">
        <f>_xlfn.XLOOKUP(tblMaster[[#This Row],[Attendance_Date]],tblHoliday[Holiday_Date],tblHoliday[Holiday_Type],"Working Day ")</f>
        <v xml:space="preserve">Working Day </v>
      </c>
    </row>
    <row r="761" spans="1:35" x14ac:dyDescent="0.3">
      <c r="A761" t="s">
        <v>950</v>
      </c>
      <c r="B761" s="3">
        <v>45804</v>
      </c>
      <c r="C761" t="s">
        <v>57</v>
      </c>
      <c r="D761" t="s">
        <v>24</v>
      </c>
      <c r="E761" t="s">
        <v>87</v>
      </c>
      <c r="F761" t="s">
        <v>110</v>
      </c>
      <c r="G761" t="s">
        <v>111</v>
      </c>
      <c r="H761" t="s">
        <v>112</v>
      </c>
      <c r="I761" t="s">
        <v>113</v>
      </c>
      <c r="J761" t="s">
        <v>43</v>
      </c>
      <c r="K761" t="s">
        <v>75</v>
      </c>
      <c r="L761" s="2">
        <v>0.3888888888888889</v>
      </c>
      <c r="M761" s="2">
        <v>0.75</v>
      </c>
      <c r="N761">
        <v>8</v>
      </c>
      <c r="O761">
        <v>0</v>
      </c>
      <c r="P761" t="s">
        <v>32</v>
      </c>
      <c r="R761">
        <v>4</v>
      </c>
      <c r="S761" t="s">
        <v>92</v>
      </c>
      <c r="T761" t="s">
        <v>114</v>
      </c>
      <c r="U761" t="str">
        <f>_xlfn.XLOOKUP(tblMaster[[#This Row],[Employee_ID]],tblEmployee[Employee_ID],tblEmployee[Work_Mode]," ")</f>
        <v>Hybrid</v>
      </c>
      <c r="V761" t="s">
        <v>60</v>
      </c>
      <c r="W761">
        <f>_xlfn.XLOOKUP(F761,tblEmployee[Employee_ID],tblEmployee[Age],"Not Found")</f>
        <v>32</v>
      </c>
      <c r="X761" t="str">
        <f>_xlfn.XLOOKUP(F761,tblEmployee[Employee_ID],tblEmployee[Gender],"Not Found")</f>
        <v>Female</v>
      </c>
      <c r="Y761">
        <f>_xlfn.XLOOKUP(F761,tblEmployee[Employee_ID],tblEmployee[Joining_Date],"")</f>
        <v>44515</v>
      </c>
      <c r="Z761">
        <f>_xlfn.XLOOKUP(H761,tblDepartment[Department],tblDepartment[Annual_Budget_INR],"")</f>
        <v>42000000</v>
      </c>
      <c r="AA761" t="str">
        <f>_xlfn.XLOOKUP(H761,tblDepartment[Department],tblDepartment[Monthly_Target],"")</f>
        <v>₹2.5 Cr Monthly Sales</v>
      </c>
      <c r="AB761">
        <f>_xlfn.XLOOKUP(H761,tblDepartment[Department],tblDepartment[Average_Salary_INR],"")</f>
        <v>680000</v>
      </c>
      <c r="AC761" t="str">
        <f>_xlfn.XLOOKUP(H761,tblDepartment[Department],tblDepartment[Priority_Level],"")</f>
        <v>High</v>
      </c>
      <c r="AD761" t="str">
        <f>_xlfn.XLOOKUP(H761,tblDepartment[Department],tblDepartment[Key_KPI],"")</f>
        <v>Revenue Achievement</v>
      </c>
      <c r="AE761">
        <f>_xlfn.XLOOKUP(tblMaster[[#This Row],[Shift]],tblShift[Shift_Name],tblShift[Login_Time],"")</f>
        <v>0.375</v>
      </c>
      <c r="AF761">
        <f>_xlfn.XLOOKUP(tblMaster[[#This Row],[Shift]],tblShift[Shift_Name],tblShift[Logout_Time]," ")</f>
        <v>0.75</v>
      </c>
      <c r="AG761">
        <f>_xlfn.XLOOKUP(tblMaster[[#This Row],[Shift]],tblShift[Shift_Name],tblShift[Standard_Working_Hours],"")</f>
        <v>8</v>
      </c>
      <c r="AH761" t="str">
        <f>_xlfn.XLOOKUP(tblMaster[[#This Row],[Attendance_Date]],tblHoliday[Holiday_Date],tblHoliday[Holiday_Name],"Working Day")</f>
        <v>Working Day</v>
      </c>
      <c r="AI761" t="str">
        <f>_xlfn.XLOOKUP(tblMaster[[#This Row],[Attendance_Date]],tblHoliday[Holiday_Date],tblHoliday[Holiday_Type],"Working Day ")</f>
        <v xml:space="preserve">Working Day </v>
      </c>
    </row>
    <row r="762" spans="1:35" hidden="1" x14ac:dyDescent="0.3">
      <c r="A762" t="s">
        <v>951</v>
      </c>
      <c r="B762" s="3">
        <v>45807</v>
      </c>
      <c r="C762" t="s">
        <v>57</v>
      </c>
      <c r="D762" t="s">
        <v>24</v>
      </c>
      <c r="E762" t="s">
        <v>119</v>
      </c>
      <c r="F762" t="s">
        <v>182</v>
      </c>
      <c r="G762" t="s">
        <v>183</v>
      </c>
      <c r="H762" t="s">
        <v>112</v>
      </c>
      <c r="I762" t="s">
        <v>113</v>
      </c>
      <c r="J762" t="s">
        <v>30</v>
      </c>
      <c r="K762" t="s">
        <v>54</v>
      </c>
      <c r="L762" s="2">
        <v>0.38194444444444442</v>
      </c>
      <c r="M762" s="2">
        <v>0.75</v>
      </c>
      <c r="N762">
        <v>8</v>
      </c>
      <c r="O762">
        <v>0</v>
      </c>
      <c r="P762" t="s">
        <v>32</v>
      </c>
      <c r="R762">
        <v>3</v>
      </c>
      <c r="S762" t="s">
        <v>92</v>
      </c>
      <c r="T762" t="s">
        <v>114</v>
      </c>
      <c r="U762" t="s">
        <v>47</v>
      </c>
      <c r="V762" t="s">
        <v>35</v>
      </c>
      <c r="W762">
        <f>_xlfn.XLOOKUP(F762,tblEmployee[Employee_ID],tblEmployee[Age],"Not Found")</f>
        <v>28</v>
      </c>
      <c r="X762" t="str">
        <f>_xlfn.XLOOKUP(F762,tblEmployee[Employee_ID],tblEmployee[Gender],"Not Found")</f>
        <v>Male</v>
      </c>
      <c r="Y762">
        <f>_xlfn.XLOOKUP(F762,tblEmployee[Employee_ID],tblEmployee[Joining_Date],"")</f>
        <v>44211</v>
      </c>
      <c r="Z762">
        <f>_xlfn.XLOOKUP(H762,tblDepartment[Department],tblDepartment[Annual_Budget_INR],"")</f>
        <v>42000000</v>
      </c>
      <c r="AA762" t="str">
        <f>_xlfn.XLOOKUP(H762,tblDepartment[Department],tblDepartment[Monthly_Target],"")</f>
        <v>₹2.5 Cr Monthly Sales</v>
      </c>
      <c r="AB762">
        <f>_xlfn.XLOOKUP(H762,tblDepartment[Department],tblDepartment[Average_Salary_INR],"")</f>
        <v>680000</v>
      </c>
      <c r="AC762" t="str">
        <f>_xlfn.XLOOKUP(H762,tblDepartment[Department],tblDepartment[Priority_Level],"")</f>
        <v>High</v>
      </c>
      <c r="AD762" t="str">
        <f>_xlfn.XLOOKUP(H762,tblDepartment[Department],tblDepartment[Key_KPI],"")</f>
        <v>Revenue Achievement</v>
      </c>
      <c r="AE762">
        <f>_xlfn.XLOOKUP(tblMaster[[#This Row],[Shift]],tblShift[Shift_Name],tblShift[Login_Time],"")</f>
        <v>0.58333333333333337</v>
      </c>
      <c r="AF762">
        <f>_xlfn.XLOOKUP(tblMaster[[#This Row],[Shift]],tblShift[Shift_Name],tblShift[Logout_Time]," ")</f>
        <v>0.95833333333333337</v>
      </c>
      <c r="AG762">
        <f>_xlfn.XLOOKUP(tblMaster[[#This Row],[Shift]],tblShift[Shift_Name],tblShift[Standard_Working_Hours],"")</f>
        <v>8</v>
      </c>
      <c r="AH762" t="str">
        <f>_xlfn.XLOOKUP(tblMaster[[#This Row],[Attendance_Date]],tblHoliday[Holiday_Date],tblHoliday[Holiday_Name],"Working Day")</f>
        <v>Working Day</v>
      </c>
      <c r="AI762" t="str">
        <f>_xlfn.XLOOKUP(tblMaster[[#This Row],[Attendance_Date]],tblHoliday[Holiday_Date],tblHoliday[Holiday_Type],"Working Day ")</f>
        <v xml:space="preserve">Working Day </v>
      </c>
    </row>
    <row r="763" spans="1:35" hidden="1" x14ac:dyDescent="0.3">
      <c r="A763" t="s">
        <v>952</v>
      </c>
      <c r="B763" s="3">
        <v>45749</v>
      </c>
      <c r="C763" t="s">
        <v>37</v>
      </c>
      <c r="D763" t="s">
        <v>24</v>
      </c>
      <c r="E763" t="s">
        <v>51</v>
      </c>
      <c r="F763" t="s">
        <v>309</v>
      </c>
      <c r="G763" t="s">
        <v>310</v>
      </c>
      <c r="H763" t="s">
        <v>28</v>
      </c>
      <c r="I763" t="s">
        <v>29</v>
      </c>
      <c r="J763" t="s">
        <v>43</v>
      </c>
      <c r="K763" t="s">
        <v>54</v>
      </c>
      <c r="P763" t="s">
        <v>82</v>
      </c>
      <c r="Q763" t="s">
        <v>83</v>
      </c>
      <c r="S763" t="s">
        <v>45</v>
      </c>
      <c r="T763" t="s">
        <v>34</v>
      </c>
      <c r="U763" t="s">
        <v>85</v>
      </c>
      <c r="W763">
        <f>_xlfn.XLOOKUP(F763,tblEmployee[Employee_ID],tblEmployee[Age],"Not Found")</f>
        <v>39</v>
      </c>
      <c r="X763" t="str">
        <f>_xlfn.XLOOKUP(F763,tblEmployee[Employee_ID],tblEmployee[Gender],"Not Found")</f>
        <v>Male</v>
      </c>
      <c r="Y763">
        <f>_xlfn.XLOOKUP(F763,tblEmployee[Employee_ID],tblEmployee[Joining_Date],"")</f>
        <v>43449</v>
      </c>
      <c r="Z763">
        <f>_xlfn.XLOOKUP(H763,tblDepartment[Department],tblDepartment[Annual_Budget_INR],"")</f>
        <v>24000000</v>
      </c>
      <c r="AA763" t="str">
        <f>_xlfn.XLOOKUP(H763,tblDepartment[Department],tblDepartment[Monthly_Target],"")</f>
        <v>90% Customer Satisfaction</v>
      </c>
      <c r="AB763">
        <f>_xlfn.XLOOKUP(H763,tblDepartment[Department],tblDepartment[Average_Salary_INR],"")</f>
        <v>520000</v>
      </c>
      <c r="AC763" t="str">
        <f>_xlfn.XLOOKUP(H763,tblDepartment[Department],tblDepartment[Priority_Level],"")</f>
        <v>High</v>
      </c>
      <c r="AD763" t="str">
        <f>_xlfn.XLOOKUP(H763,tblDepartment[Department],tblDepartment[Key_KPI],"")</f>
        <v>Customer Satisfaction</v>
      </c>
      <c r="AE763">
        <f>_xlfn.XLOOKUP(tblMaster[[#This Row],[Shift]],tblShift[Shift_Name],tblShift[Login_Time],"")</f>
        <v>0.58333333333333337</v>
      </c>
      <c r="AF763">
        <f>_xlfn.XLOOKUP(tblMaster[[#This Row],[Shift]],tblShift[Shift_Name],tblShift[Logout_Time]," ")</f>
        <v>0.95833333333333337</v>
      </c>
      <c r="AG763">
        <f>_xlfn.XLOOKUP(tblMaster[[#This Row],[Shift]],tblShift[Shift_Name],tblShift[Standard_Working_Hours],"")</f>
        <v>8</v>
      </c>
      <c r="AH763" t="str">
        <f>_xlfn.XLOOKUP(tblMaster[[#This Row],[Attendance_Date]],tblHoliday[Holiday_Date],tblHoliday[Holiday_Name],"Working Day")</f>
        <v>Working Day</v>
      </c>
      <c r="AI763" t="str">
        <f>_xlfn.XLOOKUP(tblMaster[[#This Row],[Attendance_Date]],tblHoliday[Holiday_Date],tblHoliday[Holiday_Type],"Working Day ")</f>
        <v xml:space="preserve">Working Day </v>
      </c>
    </row>
    <row r="764" spans="1:35" hidden="1" x14ac:dyDescent="0.3">
      <c r="A764" t="s">
        <v>953</v>
      </c>
      <c r="B764" s="1">
        <v>45696</v>
      </c>
      <c r="C764" t="s">
        <v>95</v>
      </c>
      <c r="D764" t="s">
        <v>50</v>
      </c>
      <c r="E764" t="s">
        <v>38</v>
      </c>
      <c r="F764" t="s">
        <v>240</v>
      </c>
      <c r="G764" t="s">
        <v>241</v>
      </c>
      <c r="H764" t="s">
        <v>41</v>
      </c>
      <c r="I764" t="s">
        <v>42</v>
      </c>
      <c r="J764" t="s">
        <v>66</v>
      </c>
      <c r="K764" t="s">
        <v>31</v>
      </c>
      <c r="L764" s="2">
        <v>0.375</v>
      </c>
      <c r="M764" s="2">
        <v>0.75</v>
      </c>
      <c r="N764">
        <v>8</v>
      </c>
      <c r="O764">
        <v>0</v>
      </c>
      <c r="P764" t="s">
        <v>32</v>
      </c>
      <c r="R764">
        <v>4</v>
      </c>
      <c r="S764" t="s">
        <v>92</v>
      </c>
      <c r="T764" t="s">
        <v>46</v>
      </c>
      <c r="U764" t="s">
        <v>85</v>
      </c>
      <c r="V764" t="s">
        <v>69</v>
      </c>
      <c r="W764">
        <f>_xlfn.XLOOKUP(F764,tblEmployee[Employee_ID],tblEmployee[Age],"Not Found")</f>
        <v>30</v>
      </c>
      <c r="X764" t="str">
        <f>_xlfn.XLOOKUP(F764,tblEmployee[Employee_ID],tblEmployee[Gender],"Not Found")</f>
        <v>Female</v>
      </c>
      <c r="Y764">
        <f>_xlfn.XLOOKUP(F764,tblEmployee[Employee_ID],tblEmployee[Joining_Date],"")</f>
        <v>45000</v>
      </c>
      <c r="Z764">
        <f>_xlfn.XLOOKUP(H764,tblDepartment[Department],tblDepartment[Annual_Budget_INR],"")</f>
        <v>34000000</v>
      </c>
      <c r="AA764" t="str">
        <f>_xlfn.XLOOKUP(H764,tblDepartment[Department],tblDepartment[Monthly_Target],"")</f>
        <v>95% Process Efficiency</v>
      </c>
      <c r="AB764">
        <f>_xlfn.XLOOKUP(H764,tblDepartment[Department],tblDepartment[Average_Salary_INR],"")</f>
        <v>610000</v>
      </c>
      <c r="AC764" t="str">
        <f>_xlfn.XLOOKUP(H764,tblDepartment[Department],tblDepartment[Priority_Level],"")</f>
        <v>High</v>
      </c>
      <c r="AD764" t="str">
        <f>_xlfn.XLOOKUP(H764,tblDepartment[Department],tblDepartment[Key_KPI],"")</f>
        <v>Operational Efficiency</v>
      </c>
      <c r="AE764">
        <f>_xlfn.XLOOKUP(tblMaster[[#This Row],[Shift]],tblShift[Shift_Name],tblShift[Login_Time],"")</f>
        <v>0.25</v>
      </c>
      <c r="AF764">
        <f>_xlfn.XLOOKUP(tblMaster[[#This Row],[Shift]],tblShift[Shift_Name],tblShift[Logout_Time]," ")</f>
        <v>0.625</v>
      </c>
      <c r="AG764">
        <f>_xlfn.XLOOKUP(tblMaster[[#This Row],[Shift]],tblShift[Shift_Name],tblShift[Standard_Working_Hours],"")</f>
        <v>8</v>
      </c>
      <c r="AH764" t="str">
        <f>_xlfn.XLOOKUP(tblMaster[[#This Row],[Attendance_Date]],tblHoliday[Holiday_Date],tblHoliday[Holiday_Name],"Working Day")</f>
        <v>Working Day</v>
      </c>
      <c r="AI764" t="str">
        <f>_xlfn.XLOOKUP(tblMaster[[#This Row],[Attendance_Date]],tblHoliday[Holiday_Date],tblHoliday[Holiday_Type],"Working Day ")</f>
        <v xml:space="preserve">Working Day </v>
      </c>
    </row>
    <row r="765" spans="1:35" x14ac:dyDescent="0.3">
      <c r="A765" t="s">
        <v>954</v>
      </c>
      <c r="B765" s="3">
        <v>45671</v>
      </c>
      <c r="C765" t="s">
        <v>49</v>
      </c>
      <c r="D765" t="s">
        <v>50</v>
      </c>
      <c r="E765" t="s">
        <v>87</v>
      </c>
      <c r="F765" t="s">
        <v>104</v>
      </c>
      <c r="G765" t="s">
        <v>105</v>
      </c>
      <c r="H765" t="s">
        <v>28</v>
      </c>
      <c r="I765" t="s">
        <v>29</v>
      </c>
      <c r="J765" t="s">
        <v>30</v>
      </c>
      <c r="K765" t="s">
        <v>75</v>
      </c>
      <c r="L765" s="2">
        <v>0.375</v>
      </c>
      <c r="M765" s="2">
        <v>0.75</v>
      </c>
      <c r="N765">
        <v>8</v>
      </c>
      <c r="O765">
        <v>0</v>
      </c>
      <c r="P765" t="s">
        <v>32</v>
      </c>
      <c r="R765">
        <v>3</v>
      </c>
      <c r="S765" t="s">
        <v>67</v>
      </c>
      <c r="T765" t="s">
        <v>34</v>
      </c>
      <c r="U765" t="str">
        <f>_xlfn.XLOOKUP(tblMaster[[#This Row],[Employee_ID]],tblEmployee[Employee_ID],tblEmployee[Work_Mode]," ")</f>
        <v>Hybrid</v>
      </c>
      <c r="V765" t="s">
        <v>69</v>
      </c>
      <c r="W765">
        <f>_xlfn.XLOOKUP(F765,tblEmployee[Employee_ID],tblEmployee[Age],"Not Found")</f>
        <v>35</v>
      </c>
      <c r="X765" t="str">
        <f>_xlfn.XLOOKUP(F765,tblEmployee[Employee_ID],tblEmployee[Gender],"Not Found")</f>
        <v>Male</v>
      </c>
      <c r="Y765">
        <f>_xlfn.XLOOKUP(F765,tblEmployee[Employee_ID],tblEmployee[Joining_Date],"")</f>
        <v>43146</v>
      </c>
      <c r="Z765">
        <f>_xlfn.XLOOKUP(H765,tblDepartment[Department],tblDepartment[Annual_Budget_INR],"")</f>
        <v>24000000</v>
      </c>
      <c r="AA765" t="str">
        <f>_xlfn.XLOOKUP(H765,tblDepartment[Department],tblDepartment[Monthly_Target],"")</f>
        <v>90% Customer Satisfaction</v>
      </c>
      <c r="AB765">
        <f>_xlfn.XLOOKUP(H765,tblDepartment[Department],tblDepartment[Average_Salary_INR],"")</f>
        <v>520000</v>
      </c>
      <c r="AC765" t="str">
        <f>_xlfn.XLOOKUP(H765,tblDepartment[Department],tblDepartment[Priority_Level],"")</f>
        <v>High</v>
      </c>
      <c r="AD765" t="str">
        <f>_xlfn.XLOOKUP(H765,tblDepartment[Department],tblDepartment[Key_KPI],"")</f>
        <v>Customer Satisfaction</v>
      </c>
      <c r="AE765">
        <f>_xlfn.XLOOKUP(tblMaster[[#This Row],[Shift]],tblShift[Shift_Name],tblShift[Login_Time],"")</f>
        <v>0.375</v>
      </c>
      <c r="AF765">
        <f>_xlfn.XLOOKUP(tblMaster[[#This Row],[Shift]],tblShift[Shift_Name],tblShift[Logout_Time]," ")</f>
        <v>0.75</v>
      </c>
      <c r="AG765">
        <f>_xlfn.XLOOKUP(tblMaster[[#This Row],[Shift]],tblShift[Shift_Name],tblShift[Standard_Working_Hours],"")</f>
        <v>8</v>
      </c>
      <c r="AH765" t="str">
        <f>_xlfn.XLOOKUP(tblMaster[[#This Row],[Attendance_Date]],tblHoliday[Holiday_Date],tblHoliday[Holiday_Name],"Working Day")</f>
        <v>Pongal</v>
      </c>
      <c r="AI765" t="str">
        <f>_xlfn.XLOOKUP(tblMaster[[#This Row],[Attendance_Date]],tblHoliday[Holiday_Date],tblHoliday[Holiday_Type],"Working Day ")</f>
        <v>Festival</v>
      </c>
    </row>
    <row r="766" spans="1:35" hidden="1" x14ac:dyDescent="0.3">
      <c r="A766" t="s">
        <v>955</v>
      </c>
      <c r="B766" s="3">
        <v>45744</v>
      </c>
      <c r="C766" t="s">
        <v>71</v>
      </c>
      <c r="D766" t="s">
        <v>50</v>
      </c>
      <c r="E766" t="s">
        <v>119</v>
      </c>
      <c r="F766" t="s">
        <v>154</v>
      </c>
      <c r="G766" t="s">
        <v>155</v>
      </c>
      <c r="H766" t="s">
        <v>41</v>
      </c>
      <c r="I766" t="s">
        <v>42</v>
      </c>
      <c r="J766" t="s">
        <v>74</v>
      </c>
      <c r="K766" t="s">
        <v>54</v>
      </c>
      <c r="L766" s="2">
        <v>0.375</v>
      </c>
      <c r="M766" s="2">
        <v>0.75</v>
      </c>
      <c r="N766">
        <v>8</v>
      </c>
      <c r="O766">
        <v>0</v>
      </c>
      <c r="P766" t="s">
        <v>32</v>
      </c>
      <c r="R766">
        <v>5</v>
      </c>
      <c r="S766" t="s">
        <v>33</v>
      </c>
      <c r="T766" t="s">
        <v>46</v>
      </c>
      <c r="U766" t="s">
        <v>55</v>
      </c>
      <c r="V766" t="s">
        <v>69</v>
      </c>
      <c r="W766">
        <f>_xlfn.XLOOKUP(F766,tblEmployee[Employee_ID],tblEmployee[Age],"Not Found")</f>
        <v>33</v>
      </c>
      <c r="X766" t="str">
        <f>_xlfn.XLOOKUP(F766,tblEmployee[Employee_ID],tblEmployee[Gender],"Not Found")</f>
        <v>Male</v>
      </c>
      <c r="Y766">
        <f>_xlfn.XLOOKUP(F766,tblEmployee[Employee_ID],tblEmployee[Joining_Date],"")</f>
        <v>45275</v>
      </c>
      <c r="Z766">
        <f>_xlfn.XLOOKUP(H766,tblDepartment[Department],tblDepartment[Annual_Budget_INR],"")</f>
        <v>34000000</v>
      </c>
      <c r="AA766" t="str">
        <f>_xlfn.XLOOKUP(H766,tblDepartment[Department],tblDepartment[Monthly_Target],"")</f>
        <v>95% Process Efficiency</v>
      </c>
      <c r="AB766">
        <f>_xlfn.XLOOKUP(H766,tblDepartment[Department],tblDepartment[Average_Salary_INR],"")</f>
        <v>610000</v>
      </c>
      <c r="AC766" t="str">
        <f>_xlfn.XLOOKUP(H766,tblDepartment[Department],tblDepartment[Priority_Level],"")</f>
        <v>High</v>
      </c>
      <c r="AD766" t="str">
        <f>_xlfn.XLOOKUP(H766,tblDepartment[Department],tblDepartment[Key_KPI],"")</f>
        <v>Operational Efficiency</v>
      </c>
      <c r="AE766">
        <f>_xlfn.XLOOKUP(tblMaster[[#This Row],[Shift]],tblShift[Shift_Name],tblShift[Login_Time],"")</f>
        <v>0.58333333333333337</v>
      </c>
      <c r="AF766">
        <f>_xlfn.XLOOKUP(tblMaster[[#This Row],[Shift]],tblShift[Shift_Name],tblShift[Logout_Time]," ")</f>
        <v>0.95833333333333337</v>
      </c>
      <c r="AG766">
        <f>_xlfn.XLOOKUP(tblMaster[[#This Row],[Shift]],tblShift[Shift_Name],tblShift[Standard_Working_Hours],"")</f>
        <v>8</v>
      </c>
      <c r="AH766" t="str">
        <f>_xlfn.XLOOKUP(tblMaster[[#This Row],[Attendance_Date]],tblHoliday[Holiday_Date],tblHoliday[Holiday_Name],"Working Day")</f>
        <v>Working Day</v>
      </c>
      <c r="AI766" t="str">
        <f>_xlfn.XLOOKUP(tblMaster[[#This Row],[Attendance_Date]],tblHoliday[Holiday_Date],tblHoliday[Holiday_Type],"Working Day ")</f>
        <v xml:space="preserve">Working Day </v>
      </c>
    </row>
    <row r="767" spans="1:35" hidden="1" x14ac:dyDescent="0.3">
      <c r="A767" t="s">
        <v>956</v>
      </c>
      <c r="B767" s="3">
        <v>45776</v>
      </c>
      <c r="C767" t="s">
        <v>37</v>
      </c>
      <c r="D767" t="s">
        <v>24</v>
      </c>
      <c r="E767" t="s">
        <v>87</v>
      </c>
      <c r="F767" t="s">
        <v>96</v>
      </c>
      <c r="G767" t="s">
        <v>97</v>
      </c>
      <c r="H767" t="s">
        <v>98</v>
      </c>
      <c r="I767" t="s">
        <v>99</v>
      </c>
      <c r="J767" t="s">
        <v>100</v>
      </c>
      <c r="K767" t="s">
        <v>81</v>
      </c>
      <c r="P767" t="s">
        <v>82</v>
      </c>
      <c r="S767" t="s">
        <v>33</v>
      </c>
      <c r="T767" t="s">
        <v>101</v>
      </c>
      <c r="U767" t="s">
        <v>85</v>
      </c>
      <c r="V767" t="s">
        <v>35</v>
      </c>
      <c r="W767">
        <f>_xlfn.XLOOKUP(F767,tblEmployee[Employee_ID],tblEmployee[Age],"Not Found")</f>
        <v>34</v>
      </c>
      <c r="X767" t="str">
        <f>_xlfn.XLOOKUP(F767,tblEmployee[Employee_ID],tblEmployee[Gender],"Not Found")</f>
        <v>Female</v>
      </c>
      <c r="Y767">
        <f>_xlfn.XLOOKUP(F767,tblEmployee[Employee_ID],tblEmployee[Joining_Date],"")</f>
        <v>45306</v>
      </c>
      <c r="Z767">
        <f>_xlfn.XLOOKUP(H767,tblDepartment[Department],tblDepartment[Annual_Budget_INR],"")</f>
        <v>22000000</v>
      </c>
      <c r="AA767" t="str">
        <f>_xlfn.XLOOKUP(H767,tblDepartment[Department],tblDepartment[Monthly_Target],"")</f>
        <v>2500 Qualified Leads</v>
      </c>
      <c r="AB767">
        <f>_xlfn.XLOOKUP(H767,tblDepartment[Department],tblDepartment[Average_Salary_INR],"")</f>
        <v>590000</v>
      </c>
      <c r="AC767" t="str">
        <f>_xlfn.XLOOKUP(H767,tblDepartment[Department],tblDepartment[Priority_Level],"")</f>
        <v>Medium</v>
      </c>
      <c r="AD767" t="str">
        <f>_xlfn.XLOOKUP(H767,tblDepartment[Department],tblDepartment[Key_KPI],"")</f>
        <v>Lead Generation</v>
      </c>
      <c r="AE767">
        <f>_xlfn.XLOOKUP(tblMaster[[#This Row],[Shift]],tblShift[Shift_Name],tblShift[Login_Time],"")</f>
        <v>0.91666666666666663</v>
      </c>
      <c r="AF767">
        <f>_xlfn.XLOOKUP(tblMaster[[#This Row],[Shift]],tblShift[Shift_Name],tblShift[Logout_Time]," ")</f>
        <v>0.29166666666666669</v>
      </c>
      <c r="AG767">
        <f>_xlfn.XLOOKUP(tblMaster[[#This Row],[Shift]],tblShift[Shift_Name],tblShift[Standard_Working_Hours],"")</f>
        <v>8</v>
      </c>
      <c r="AH767" t="str">
        <f>_xlfn.XLOOKUP(tblMaster[[#This Row],[Attendance_Date]],tblHoliday[Holiday_Date],tblHoliday[Holiday_Name],"Working Day")</f>
        <v>Working Day</v>
      </c>
      <c r="AI767" t="str">
        <f>_xlfn.XLOOKUP(tblMaster[[#This Row],[Attendance_Date]],tblHoliday[Holiday_Date],tblHoliday[Holiday_Type],"Working Day ")</f>
        <v xml:space="preserve">Working Day </v>
      </c>
    </row>
    <row r="768" spans="1:35" hidden="1" x14ac:dyDescent="0.3">
      <c r="A768" t="s">
        <v>957</v>
      </c>
      <c r="B768" s="3">
        <v>45747</v>
      </c>
      <c r="C768" t="s">
        <v>71</v>
      </c>
      <c r="D768" t="s">
        <v>50</v>
      </c>
      <c r="E768" t="s">
        <v>109</v>
      </c>
      <c r="F768" t="s">
        <v>154</v>
      </c>
      <c r="G768" t="s">
        <v>155</v>
      </c>
      <c r="H768" t="s">
        <v>41</v>
      </c>
      <c r="I768" t="s">
        <v>42</v>
      </c>
      <c r="J768" t="s">
        <v>74</v>
      </c>
      <c r="K768" t="s">
        <v>81</v>
      </c>
      <c r="L768" s="2">
        <v>0.91666666666666663</v>
      </c>
      <c r="M768" s="2">
        <v>0.29166666666666669</v>
      </c>
      <c r="N768">
        <v>9.5</v>
      </c>
      <c r="O768">
        <v>1.5</v>
      </c>
      <c r="P768" t="s">
        <v>32</v>
      </c>
      <c r="R768">
        <v>3</v>
      </c>
      <c r="S768" t="s">
        <v>92</v>
      </c>
      <c r="T768" t="s">
        <v>46</v>
      </c>
      <c r="U768" t="s">
        <v>55</v>
      </c>
      <c r="V768" t="s">
        <v>35</v>
      </c>
      <c r="W768">
        <f>_xlfn.XLOOKUP(F768,tblEmployee[Employee_ID],tblEmployee[Age],"Not Found")</f>
        <v>33</v>
      </c>
      <c r="X768" t="str">
        <f>_xlfn.XLOOKUP(F768,tblEmployee[Employee_ID],tblEmployee[Gender],"Not Found")</f>
        <v>Male</v>
      </c>
      <c r="Y768">
        <f>_xlfn.XLOOKUP(F768,tblEmployee[Employee_ID],tblEmployee[Joining_Date],"")</f>
        <v>45275</v>
      </c>
      <c r="Z768">
        <f>_xlfn.XLOOKUP(H768,tblDepartment[Department],tblDepartment[Annual_Budget_INR],"")</f>
        <v>34000000</v>
      </c>
      <c r="AA768" t="str">
        <f>_xlfn.XLOOKUP(H768,tblDepartment[Department],tblDepartment[Monthly_Target],"")</f>
        <v>95% Process Efficiency</v>
      </c>
      <c r="AB768">
        <f>_xlfn.XLOOKUP(H768,tblDepartment[Department],tblDepartment[Average_Salary_INR],"")</f>
        <v>610000</v>
      </c>
      <c r="AC768" t="str">
        <f>_xlfn.XLOOKUP(H768,tblDepartment[Department],tblDepartment[Priority_Level],"")</f>
        <v>High</v>
      </c>
      <c r="AD768" t="str">
        <f>_xlfn.XLOOKUP(H768,tblDepartment[Department],tblDepartment[Key_KPI],"")</f>
        <v>Operational Efficiency</v>
      </c>
      <c r="AE768">
        <f>_xlfn.XLOOKUP(tblMaster[[#This Row],[Shift]],tblShift[Shift_Name],tblShift[Login_Time],"")</f>
        <v>0.91666666666666663</v>
      </c>
      <c r="AF768">
        <f>_xlfn.XLOOKUP(tblMaster[[#This Row],[Shift]],tblShift[Shift_Name],tblShift[Logout_Time]," ")</f>
        <v>0.29166666666666669</v>
      </c>
      <c r="AG768">
        <f>_xlfn.XLOOKUP(tblMaster[[#This Row],[Shift]],tblShift[Shift_Name],tblShift[Standard_Working_Hours],"")</f>
        <v>8</v>
      </c>
      <c r="AH768" t="str">
        <f>_xlfn.XLOOKUP(tblMaster[[#This Row],[Attendance_Date]],tblHoliday[Holiday_Date],tblHoliday[Holiday_Name],"Working Day")</f>
        <v>Working Day</v>
      </c>
      <c r="AI768" t="str">
        <f>_xlfn.XLOOKUP(tblMaster[[#This Row],[Attendance_Date]],tblHoliday[Holiday_Date],tblHoliday[Holiday_Type],"Working Day ")</f>
        <v xml:space="preserve">Working Day </v>
      </c>
    </row>
    <row r="769" spans="1:35" hidden="1" x14ac:dyDescent="0.3">
      <c r="A769" t="s">
        <v>958</v>
      </c>
      <c r="B769" s="3">
        <v>45795</v>
      </c>
      <c r="C769" t="s">
        <v>57</v>
      </c>
      <c r="D769" t="s">
        <v>24</v>
      </c>
      <c r="E769" t="s">
        <v>103</v>
      </c>
      <c r="F769" t="s">
        <v>182</v>
      </c>
      <c r="G769" t="s">
        <v>183</v>
      </c>
      <c r="H769" t="s">
        <v>112</v>
      </c>
      <c r="I769" t="s">
        <v>113</v>
      </c>
      <c r="J769" t="s">
        <v>30</v>
      </c>
      <c r="K769" t="s">
        <v>81</v>
      </c>
      <c r="L769" s="2">
        <v>0.375</v>
      </c>
      <c r="M769" s="2">
        <v>0.29166666666666669</v>
      </c>
      <c r="N769">
        <v>9</v>
      </c>
      <c r="O769">
        <v>1</v>
      </c>
      <c r="P769" t="s">
        <v>32</v>
      </c>
      <c r="R769">
        <v>4</v>
      </c>
      <c r="S769" t="s">
        <v>67</v>
      </c>
      <c r="T769" t="s">
        <v>114</v>
      </c>
      <c r="U769" t="s">
        <v>55</v>
      </c>
      <c r="V769" t="s">
        <v>35</v>
      </c>
      <c r="W769">
        <f>_xlfn.XLOOKUP(F769,tblEmployee[Employee_ID],tblEmployee[Age],"Not Found")</f>
        <v>28</v>
      </c>
      <c r="X769" t="str">
        <f>_xlfn.XLOOKUP(F769,tblEmployee[Employee_ID],tblEmployee[Gender],"Not Found")</f>
        <v>Male</v>
      </c>
      <c r="Y769">
        <f>_xlfn.XLOOKUP(F769,tblEmployee[Employee_ID],tblEmployee[Joining_Date],"")</f>
        <v>44211</v>
      </c>
      <c r="Z769">
        <f>_xlfn.XLOOKUP(H769,tblDepartment[Department],tblDepartment[Annual_Budget_INR],"")</f>
        <v>42000000</v>
      </c>
      <c r="AA769" t="str">
        <f>_xlfn.XLOOKUP(H769,tblDepartment[Department],tblDepartment[Monthly_Target],"")</f>
        <v>₹2.5 Cr Monthly Sales</v>
      </c>
      <c r="AB769">
        <f>_xlfn.XLOOKUP(H769,tblDepartment[Department],tblDepartment[Average_Salary_INR],"")</f>
        <v>680000</v>
      </c>
      <c r="AC769" t="str">
        <f>_xlfn.XLOOKUP(H769,tblDepartment[Department],tblDepartment[Priority_Level],"")</f>
        <v>High</v>
      </c>
      <c r="AD769" t="str">
        <f>_xlfn.XLOOKUP(H769,tblDepartment[Department],tblDepartment[Key_KPI],"")</f>
        <v>Revenue Achievement</v>
      </c>
      <c r="AE769">
        <f>_xlfn.XLOOKUP(tblMaster[[#This Row],[Shift]],tblShift[Shift_Name],tblShift[Login_Time],"")</f>
        <v>0.91666666666666663</v>
      </c>
      <c r="AF769">
        <f>_xlfn.XLOOKUP(tblMaster[[#This Row],[Shift]],tblShift[Shift_Name],tblShift[Logout_Time]," ")</f>
        <v>0.29166666666666669</v>
      </c>
      <c r="AG769">
        <f>_xlfn.XLOOKUP(tblMaster[[#This Row],[Shift]],tblShift[Shift_Name],tblShift[Standard_Working_Hours],"")</f>
        <v>8</v>
      </c>
      <c r="AH769" t="str">
        <f>_xlfn.XLOOKUP(tblMaster[[#This Row],[Attendance_Date]],tblHoliday[Holiday_Date],tblHoliday[Holiday_Name],"Working Day")</f>
        <v>Working Day</v>
      </c>
      <c r="AI769" t="str">
        <f>_xlfn.XLOOKUP(tblMaster[[#This Row],[Attendance_Date]],tblHoliday[Holiday_Date],tblHoliday[Holiday_Type],"Working Day ")</f>
        <v xml:space="preserve">Working Day </v>
      </c>
    </row>
    <row r="770" spans="1:35" hidden="1" x14ac:dyDescent="0.3">
      <c r="A770" t="s">
        <v>959</v>
      </c>
      <c r="B770" s="3">
        <v>45721</v>
      </c>
      <c r="C770" t="s">
        <v>71</v>
      </c>
      <c r="D770" t="s">
        <v>50</v>
      </c>
      <c r="E770" t="s">
        <v>51</v>
      </c>
      <c r="F770" t="s">
        <v>151</v>
      </c>
      <c r="G770" t="s">
        <v>152</v>
      </c>
      <c r="H770" t="s">
        <v>98</v>
      </c>
      <c r="I770" t="s">
        <v>99</v>
      </c>
      <c r="J770" t="s">
        <v>30</v>
      </c>
      <c r="K770" t="s">
        <v>54</v>
      </c>
      <c r="L770" s="2">
        <v>0.375</v>
      </c>
      <c r="M770" s="2">
        <v>0.75</v>
      </c>
      <c r="N770">
        <v>8</v>
      </c>
      <c r="O770">
        <v>0</v>
      </c>
      <c r="P770" t="s">
        <v>32</v>
      </c>
      <c r="S770" t="s">
        <v>45</v>
      </c>
      <c r="T770" t="s">
        <v>101</v>
      </c>
      <c r="U770" t="s">
        <v>85</v>
      </c>
      <c r="V770" t="s">
        <v>60</v>
      </c>
      <c r="W770">
        <f>_xlfn.XLOOKUP(F770,tblEmployee[Employee_ID],tblEmployee[Age],"Not Found")</f>
        <v>38</v>
      </c>
      <c r="X770" t="str">
        <f>_xlfn.XLOOKUP(F770,tblEmployee[Employee_ID],tblEmployee[Gender],"Not Found")</f>
        <v>Female</v>
      </c>
      <c r="Y770">
        <f>_xlfn.XLOOKUP(F770,tblEmployee[Employee_ID],tblEmployee[Joining_Date],"")</f>
        <v>45611</v>
      </c>
      <c r="Z770">
        <f>_xlfn.XLOOKUP(H770,tblDepartment[Department],tblDepartment[Annual_Budget_INR],"")</f>
        <v>22000000</v>
      </c>
      <c r="AA770" t="str">
        <f>_xlfn.XLOOKUP(H770,tblDepartment[Department],tblDepartment[Monthly_Target],"")</f>
        <v>2500 Qualified Leads</v>
      </c>
      <c r="AB770">
        <f>_xlfn.XLOOKUP(H770,tblDepartment[Department],tblDepartment[Average_Salary_INR],"")</f>
        <v>590000</v>
      </c>
      <c r="AC770" t="str">
        <f>_xlfn.XLOOKUP(H770,tblDepartment[Department],tblDepartment[Priority_Level],"")</f>
        <v>Medium</v>
      </c>
      <c r="AD770" t="str">
        <f>_xlfn.XLOOKUP(H770,tblDepartment[Department],tblDepartment[Key_KPI],"")</f>
        <v>Lead Generation</v>
      </c>
      <c r="AE770">
        <f>_xlfn.XLOOKUP(tblMaster[[#This Row],[Shift]],tblShift[Shift_Name],tblShift[Login_Time],"")</f>
        <v>0.58333333333333337</v>
      </c>
      <c r="AF770">
        <f>_xlfn.XLOOKUP(tblMaster[[#This Row],[Shift]],tblShift[Shift_Name],tblShift[Logout_Time]," ")</f>
        <v>0.95833333333333337</v>
      </c>
      <c r="AG770">
        <f>_xlfn.XLOOKUP(tblMaster[[#This Row],[Shift]],tblShift[Shift_Name],tblShift[Standard_Working_Hours],"")</f>
        <v>8</v>
      </c>
      <c r="AH770" t="str">
        <f>_xlfn.XLOOKUP(tblMaster[[#This Row],[Attendance_Date]],tblHoliday[Holiday_Date],tblHoliday[Holiday_Name],"Working Day")</f>
        <v>Working Day</v>
      </c>
      <c r="AI770" t="str">
        <f>_xlfn.XLOOKUP(tblMaster[[#This Row],[Attendance_Date]],tblHoliday[Holiday_Date],tblHoliday[Holiday_Type],"Working Day ")</f>
        <v xml:space="preserve">Working Day </v>
      </c>
    </row>
    <row r="771" spans="1:35" x14ac:dyDescent="0.3">
      <c r="A771" t="s">
        <v>960</v>
      </c>
      <c r="B771" s="3">
        <v>45704</v>
      </c>
      <c r="C771" t="s">
        <v>95</v>
      </c>
      <c r="D771" t="s">
        <v>50</v>
      </c>
      <c r="E771" t="s">
        <v>103</v>
      </c>
      <c r="F771" t="s">
        <v>39</v>
      </c>
      <c r="G771" t="s">
        <v>40</v>
      </c>
      <c r="H771" t="s">
        <v>41</v>
      </c>
      <c r="I771" t="s">
        <v>42</v>
      </c>
      <c r="J771" t="s">
        <v>43</v>
      </c>
      <c r="K771" t="s">
        <v>44</v>
      </c>
      <c r="L771" s="2">
        <v>0.375</v>
      </c>
      <c r="M771" s="2">
        <v>0.75</v>
      </c>
      <c r="N771">
        <v>8</v>
      </c>
      <c r="O771">
        <v>0</v>
      </c>
      <c r="P771" t="s">
        <v>32</v>
      </c>
      <c r="R771">
        <v>3</v>
      </c>
      <c r="S771" t="s">
        <v>67</v>
      </c>
      <c r="T771" t="s">
        <v>46</v>
      </c>
      <c r="U771" t="str">
        <f>_xlfn.XLOOKUP(tblMaster[[#This Row],[Employee_ID]],tblEmployee[Employee_ID],tblEmployee[Work_Mode]," ")</f>
        <v>Hybrid</v>
      </c>
      <c r="V771" t="s">
        <v>69</v>
      </c>
      <c r="W771">
        <f>_xlfn.XLOOKUP(F771,tblEmployee[Employee_ID],tblEmployee[Age],"Not Found")</f>
        <v>26</v>
      </c>
      <c r="X771" t="str">
        <f>_xlfn.XLOOKUP(F771,tblEmployee[Employee_ID],tblEmployee[Gender],"Not Found")</f>
        <v>Male</v>
      </c>
      <c r="Y771">
        <f>_xlfn.XLOOKUP(F771,tblEmployee[Employee_ID],tblEmployee[Joining_Date],"")</f>
        <v>45061</v>
      </c>
      <c r="Z771">
        <f>_xlfn.XLOOKUP(H771,tblDepartment[Department],tblDepartment[Annual_Budget_INR],"")</f>
        <v>34000000</v>
      </c>
      <c r="AA771" t="str">
        <f>_xlfn.XLOOKUP(H771,tblDepartment[Department],tblDepartment[Monthly_Target],"")</f>
        <v>95% Process Efficiency</v>
      </c>
      <c r="AB771">
        <f>_xlfn.XLOOKUP(H771,tblDepartment[Department],tblDepartment[Average_Salary_INR],"")</f>
        <v>610000</v>
      </c>
      <c r="AC771" t="str">
        <f>_xlfn.XLOOKUP(H771,tblDepartment[Department],tblDepartment[Priority_Level],"")</f>
        <v>High</v>
      </c>
      <c r="AD771" t="str">
        <f>_xlfn.XLOOKUP(H771,tblDepartment[Department],tblDepartment[Key_KPI],"")</f>
        <v>Operational Efficiency</v>
      </c>
      <c r="AE771">
        <f>_xlfn.XLOOKUP(tblMaster[[#This Row],[Shift]],tblShift[Shift_Name],tblShift[Login_Time],"")</f>
        <v>0.41666666666666669</v>
      </c>
      <c r="AF771">
        <f>_xlfn.XLOOKUP(tblMaster[[#This Row],[Shift]],tblShift[Shift_Name],tblShift[Logout_Time]," ")</f>
        <v>0.79166666666666663</v>
      </c>
      <c r="AG771">
        <f>_xlfn.XLOOKUP(tblMaster[[#This Row],[Shift]],tblShift[Shift_Name],tblShift[Standard_Working_Hours],"")</f>
        <v>8</v>
      </c>
      <c r="AH771" t="str">
        <f>_xlfn.XLOOKUP(tblMaster[[#This Row],[Attendance_Date]],tblHoliday[Holiday_Date],tblHoliday[Holiday_Name],"Working Day")</f>
        <v>Working Day</v>
      </c>
      <c r="AI771" t="str">
        <f>_xlfn.XLOOKUP(tblMaster[[#This Row],[Attendance_Date]],tblHoliday[Holiday_Date],tblHoliday[Holiday_Type],"Working Day ")</f>
        <v xml:space="preserve">Working Day </v>
      </c>
    </row>
    <row r="772" spans="1:35" hidden="1" x14ac:dyDescent="0.3">
      <c r="A772" t="s">
        <v>961</v>
      </c>
      <c r="B772" s="3">
        <v>45721</v>
      </c>
      <c r="C772" t="s">
        <v>71</v>
      </c>
      <c r="D772" t="s">
        <v>50</v>
      </c>
      <c r="E772" t="s">
        <v>51</v>
      </c>
      <c r="F772" t="s">
        <v>201</v>
      </c>
      <c r="G772" t="s">
        <v>202</v>
      </c>
      <c r="H772" t="s">
        <v>112</v>
      </c>
      <c r="I772" t="s">
        <v>113</v>
      </c>
      <c r="J772" t="s">
        <v>66</v>
      </c>
      <c r="K772" t="s">
        <v>81</v>
      </c>
      <c r="L772" s="2">
        <v>0.38194444444444442</v>
      </c>
      <c r="M772" s="2">
        <v>0.29166666666666669</v>
      </c>
      <c r="N772">
        <v>8.5</v>
      </c>
      <c r="O772">
        <v>0.5</v>
      </c>
      <c r="P772" t="s">
        <v>32</v>
      </c>
      <c r="R772">
        <v>4</v>
      </c>
      <c r="S772" t="s">
        <v>92</v>
      </c>
      <c r="T772" t="s">
        <v>114</v>
      </c>
      <c r="U772" t="s">
        <v>85</v>
      </c>
      <c r="W772">
        <f>_xlfn.XLOOKUP(F772,tblEmployee[Employee_ID],tblEmployee[Age],"Not Found")</f>
        <v>35</v>
      </c>
      <c r="X772" t="str">
        <f>_xlfn.XLOOKUP(F772,tblEmployee[Employee_ID],tblEmployee[Gender],"Not Found")</f>
        <v>Male</v>
      </c>
      <c r="Y772">
        <f>_xlfn.XLOOKUP(F772,tblEmployee[Employee_ID],tblEmployee[Joining_Date],"")</f>
        <v>44423</v>
      </c>
      <c r="Z772">
        <f>_xlfn.XLOOKUP(H772,tblDepartment[Department],tblDepartment[Annual_Budget_INR],"")</f>
        <v>42000000</v>
      </c>
      <c r="AA772" t="str">
        <f>_xlfn.XLOOKUP(H772,tblDepartment[Department],tblDepartment[Monthly_Target],"")</f>
        <v>₹2.5 Cr Monthly Sales</v>
      </c>
      <c r="AB772">
        <f>_xlfn.XLOOKUP(H772,tblDepartment[Department],tblDepartment[Average_Salary_INR],"")</f>
        <v>680000</v>
      </c>
      <c r="AC772" t="str">
        <f>_xlfn.XLOOKUP(H772,tblDepartment[Department],tblDepartment[Priority_Level],"")</f>
        <v>High</v>
      </c>
      <c r="AD772" t="str">
        <f>_xlfn.XLOOKUP(H772,tblDepartment[Department],tblDepartment[Key_KPI],"")</f>
        <v>Revenue Achievement</v>
      </c>
      <c r="AE772">
        <f>_xlfn.XLOOKUP(tblMaster[[#This Row],[Shift]],tblShift[Shift_Name],tblShift[Login_Time],"")</f>
        <v>0.91666666666666663</v>
      </c>
      <c r="AF772">
        <f>_xlfn.XLOOKUP(tblMaster[[#This Row],[Shift]],tblShift[Shift_Name],tblShift[Logout_Time]," ")</f>
        <v>0.29166666666666669</v>
      </c>
      <c r="AG772">
        <f>_xlfn.XLOOKUP(tblMaster[[#This Row],[Shift]],tblShift[Shift_Name],tblShift[Standard_Working_Hours],"")</f>
        <v>8</v>
      </c>
      <c r="AH772" t="str">
        <f>_xlfn.XLOOKUP(tblMaster[[#This Row],[Attendance_Date]],tblHoliday[Holiday_Date],tblHoliday[Holiday_Name],"Working Day")</f>
        <v>Working Day</v>
      </c>
      <c r="AI772" t="str">
        <f>_xlfn.XLOOKUP(tblMaster[[#This Row],[Attendance_Date]],tblHoliday[Holiday_Date],tblHoliday[Holiday_Type],"Working Day ")</f>
        <v xml:space="preserve">Working Day </v>
      </c>
    </row>
    <row r="773" spans="1:35" hidden="1" x14ac:dyDescent="0.3">
      <c r="A773" t="s">
        <v>962</v>
      </c>
      <c r="B773" s="3">
        <v>45679</v>
      </c>
      <c r="C773" t="s">
        <v>49</v>
      </c>
      <c r="D773" t="s">
        <v>50</v>
      </c>
      <c r="E773" t="s">
        <v>51</v>
      </c>
      <c r="F773" t="s">
        <v>58</v>
      </c>
      <c r="G773" t="s">
        <v>59</v>
      </c>
      <c r="H773" t="s">
        <v>41</v>
      </c>
      <c r="I773" t="s">
        <v>42</v>
      </c>
      <c r="J773" t="s">
        <v>30</v>
      </c>
      <c r="K773" t="s">
        <v>81</v>
      </c>
      <c r="L773" s="2">
        <v>0.91666666666666663</v>
      </c>
      <c r="N773">
        <v>10</v>
      </c>
      <c r="O773">
        <v>2</v>
      </c>
      <c r="P773" t="s">
        <v>32</v>
      </c>
      <c r="S773" t="s">
        <v>33</v>
      </c>
      <c r="T773" t="s">
        <v>46</v>
      </c>
      <c r="U773" t="s">
        <v>47</v>
      </c>
      <c r="V773" t="s">
        <v>69</v>
      </c>
      <c r="W773">
        <f>_xlfn.XLOOKUP(F773,tblEmployee[Employee_ID],tblEmployee[Age],"Not Found")</f>
        <v>23</v>
      </c>
      <c r="X773" t="str">
        <f>_xlfn.XLOOKUP(F773,tblEmployee[Employee_ID],tblEmployee[Gender],"Not Found")</f>
        <v>Female</v>
      </c>
      <c r="Y773">
        <f>_xlfn.XLOOKUP(F773,tblEmployee[Employee_ID],tblEmployee[Joining_Date],"")</f>
        <v>45153</v>
      </c>
      <c r="Z773">
        <f>_xlfn.XLOOKUP(H773,tblDepartment[Department],tblDepartment[Annual_Budget_INR],"")</f>
        <v>34000000</v>
      </c>
      <c r="AA773" t="str">
        <f>_xlfn.XLOOKUP(H773,tblDepartment[Department],tblDepartment[Monthly_Target],"")</f>
        <v>95% Process Efficiency</v>
      </c>
      <c r="AB773">
        <f>_xlfn.XLOOKUP(H773,tblDepartment[Department],tblDepartment[Average_Salary_INR],"")</f>
        <v>610000</v>
      </c>
      <c r="AC773" t="str">
        <f>_xlfn.XLOOKUP(H773,tblDepartment[Department],tblDepartment[Priority_Level],"")</f>
        <v>High</v>
      </c>
      <c r="AD773" t="str">
        <f>_xlfn.XLOOKUP(H773,tblDepartment[Department],tblDepartment[Key_KPI],"")</f>
        <v>Operational Efficiency</v>
      </c>
      <c r="AE773">
        <f>_xlfn.XLOOKUP(tblMaster[[#This Row],[Shift]],tblShift[Shift_Name],tblShift[Login_Time],"")</f>
        <v>0.91666666666666663</v>
      </c>
      <c r="AF773">
        <f>_xlfn.XLOOKUP(tblMaster[[#This Row],[Shift]],tblShift[Shift_Name],tblShift[Logout_Time]," ")</f>
        <v>0.29166666666666669</v>
      </c>
      <c r="AG773">
        <f>_xlfn.XLOOKUP(tblMaster[[#This Row],[Shift]],tblShift[Shift_Name],tblShift[Standard_Working_Hours],"")</f>
        <v>8</v>
      </c>
      <c r="AH773" t="str">
        <f>_xlfn.XLOOKUP(tblMaster[[#This Row],[Attendance_Date]],tblHoliday[Holiday_Date],tblHoliday[Holiday_Name],"Working Day")</f>
        <v>Working Day</v>
      </c>
      <c r="AI773" t="str">
        <f>_xlfn.XLOOKUP(tblMaster[[#This Row],[Attendance_Date]],tblHoliday[Holiday_Date],tblHoliday[Holiday_Type],"Working Day ")</f>
        <v xml:space="preserve">Working Day </v>
      </c>
    </row>
    <row r="774" spans="1:35" hidden="1" x14ac:dyDescent="0.3">
      <c r="A774" t="s">
        <v>963</v>
      </c>
      <c r="B774" s="3">
        <v>45661</v>
      </c>
      <c r="C774" t="s">
        <v>49</v>
      </c>
      <c r="D774" t="s">
        <v>50</v>
      </c>
      <c r="E774" t="s">
        <v>38</v>
      </c>
      <c r="F774" t="s">
        <v>96</v>
      </c>
      <c r="G774" t="s">
        <v>97</v>
      </c>
      <c r="H774" t="s">
        <v>98</v>
      </c>
      <c r="I774" t="s">
        <v>99</v>
      </c>
      <c r="J774" t="s">
        <v>100</v>
      </c>
      <c r="K774" t="s">
        <v>44</v>
      </c>
      <c r="L774" s="2">
        <v>0.375</v>
      </c>
      <c r="M774" s="2">
        <v>0.75</v>
      </c>
      <c r="N774">
        <v>8</v>
      </c>
      <c r="O774">
        <v>0</v>
      </c>
      <c r="P774" t="s">
        <v>32</v>
      </c>
      <c r="S774" t="s">
        <v>33</v>
      </c>
      <c r="T774" t="s">
        <v>101</v>
      </c>
      <c r="U774" t="s">
        <v>47</v>
      </c>
      <c r="V774" t="s">
        <v>35</v>
      </c>
      <c r="W774">
        <f>_xlfn.XLOOKUP(F774,tblEmployee[Employee_ID],tblEmployee[Age],"Not Found")</f>
        <v>34</v>
      </c>
      <c r="X774" t="str">
        <f>_xlfn.XLOOKUP(F774,tblEmployee[Employee_ID],tblEmployee[Gender],"Not Found")</f>
        <v>Female</v>
      </c>
      <c r="Y774">
        <f>_xlfn.XLOOKUP(F774,tblEmployee[Employee_ID],tblEmployee[Joining_Date],"")</f>
        <v>45306</v>
      </c>
      <c r="Z774">
        <f>_xlfn.XLOOKUP(H774,tblDepartment[Department],tblDepartment[Annual_Budget_INR],"")</f>
        <v>22000000</v>
      </c>
      <c r="AA774" t="str">
        <f>_xlfn.XLOOKUP(H774,tblDepartment[Department],tblDepartment[Monthly_Target],"")</f>
        <v>2500 Qualified Leads</v>
      </c>
      <c r="AB774">
        <f>_xlfn.XLOOKUP(H774,tblDepartment[Department],tblDepartment[Average_Salary_INR],"")</f>
        <v>590000</v>
      </c>
      <c r="AC774" t="str">
        <f>_xlfn.XLOOKUP(H774,tblDepartment[Department],tblDepartment[Priority_Level],"")</f>
        <v>Medium</v>
      </c>
      <c r="AD774" t="str">
        <f>_xlfn.XLOOKUP(H774,tblDepartment[Department],tblDepartment[Key_KPI],"")</f>
        <v>Lead Generation</v>
      </c>
      <c r="AE774">
        <f>_xlfn.XLOOKUP(tblMaster[[#This Row],[Shift]],tblShift[Shift_Name],tblShift[Login_Time],"")</f>
        <v>0.41666666666666669</v>
      </c>
      <c r="AF774">
        <f>_xlfn.XLOOKUP(tblMaster[[#This Row],[Shift]],tblShift[Shift_Name],tblShift[Logout_Time]," ")</f>
        <v>0.79166666666666663</v>
      </c>
      <c r="AG774">
        <f>_xlfn.XLOOKUP(tblMaster[[#This Row],[Shift]],tblShift[Shift_Name],tblShift[Standard_Working_Hours],"")</f>
        <v>8</v>
      </c>
      <c r="AH774" t="str">
        <f>_xlfn.XLOOKUP(tblMaster[[#This Row],[Attendance_Date]],tblHoliday[Holiday_Date],tblHoliday[Holiday_Name],"Working Day")</f>
        <v>Working Day</v>
      </c>
      <c r="AI774" t="str">
        <f>_xlfn.XLOOKUP(tblMaster[[#This Row],[Attendance_Date]],tblHoliday[Holiday_Date],tblHoliday[Holiday_Type],"Working Day ")</f>
        <v xml:space="preserve">Working Day </v>
      </c>
    </row>
    <row r="775" spans="1:35" hidden="1" x14ac:dyDescent="0.3">
      <c r="A775" t="s">
        <v>964</v>
      </c>
      <c r="B775" s="1">
        <v>45660</v>
      </c>
      <c r="C775" t="s">
        <v>49</v>
      </c>
      <c r="D775" t="s">
        <v>50</v>
      </c>
      <c r="E775" t="s">
        <v>119</v>
      </c>
      <c r="F775" t="s">
        <v>120</v>
      </c>
      <c r="G775" t="s">
        <v>121</v>
      </c>
      <c r="H775" t="s">
        <v>41</v>
      </c>
      <c r="I775" t="s">
        <v>42</v>
      </c>
      <c r="J775" t="s">
        <v>74</v>
      </c>
      <c r="K775" t="s">
        <v>44</v>
      </c>
      <c r="L775" s="2">
        <v>0.375</v>
      </c>
      <c r="M775" s="2">
        <v>0.75</v>
      </c>
      <c r="N775">
        <v>8</v>
      </c>
      <c r="O775">
        <v>0</v>
      </c>
      <c r="P775" t="s">
        <v>32</v>
      </c>
      <c r="R775">
        <v>3</v>
      </c>
      <c r="S775" t="s">
        <v>92</v>
      </c>
      <c r="T775" t="s">
        <v>46</v>
      </c>
      <c r="U775" t="s">
        <v>47</v>
      </c>
      <c r="W775">
        <f>_xlfn.XLOOKUP(F775,tblEmployee[Employee_ID],tblEmployee[Age],"Not Found")</f>
        <v>34</v>
      </c>
      <c r="X775" t="str">
        <f>_xlfn.XLOOKUP(F775,tblEmployee[Employee_ID],tblEmployee[Gender],"Not Found")</f>
        <v>Female</v>
      </c>
      <c r="Y775">
        <f>_xlfn.XLOOKUP(F775,tblEmployee[Employee_ID],tblEmployee[Joining_Date],"")</f>
        <v>44941</v>
      </c>
      <c r="Z775">
        <f>_xlfn.XLOOKUP(H775,tblDepartment[Department],tblDepartment[Annual_Budget_INR],"")</f>
        <v>34000000</v>
      </c>
      <c r="AA775" t="str">
        <f>_xlfn.XLOOKUP(H775,tblDepartment[Department],tblDepartment[Monthly_Target],"")</f>
        <v>95% Process Efficiency</v>
      </c>
      <c r="AB775">
        <f>_xlfn.XLOOKUP(H775,tblDepartment[Department],tblDepartment[Average_Salary_INR],"")</f>
        <v>610000</v>
      </c>
      <c r="AC775" t="str">
        <f>_xlfn.XLOOKUP(H775,tblDepartment[Department],tblDepartment[Priority_Level],"")</f>
        <v>High</v>
      </c>
      <c r="AD775" t="str">
        <f>_xlfn.XLOOKUP(H775,tblDepartment[Department],tblDepartment[Key_KPI],"")</f>
        <v>Operational Efficiency</v>
      </c>
      <c r="AE775">
        <f>_xlfn.XLOOKUP(tblMaster[[#This Row],[Shift]],tblShift[Shift_Name],tblShift[Login_Time],"")</f>
        <v>0.41666666666666669</v>
      </c>
      <c r="AF775">
        <f>_xlfn.XLOOKUP(tblMaster[[#This Row],[Shift]],tblShift[Shift_Name],tblShift[Logout_Time]," ")</f>
        <v>0.79166666666666663</v>
      </c>
      <c r="AG775">
        <f>_xlfn.XLOOKUP(tblMaster[[#This Row],[Shift]],tblShift[Shift_Name],tblShift[Standard_Working_Hours],"")</f>
        <v>8</v>
      </c>
      <c r="AH775" t="str">
        <f>_xlfn.XLOOKUP(tblMaster[[#This Row],[Attendance_Date]],tblHoliday[Holiday_Date],tblHoliday[Holiday_Name],"Working Day")</f>
        <v>Working Day</v>
      </c>
      <c r="AI775" t="str">
        <f>_xlfn.XLOOKUP(tblMaster[[#This Row],[Attendance_Date]],tblHoliday[Holiday_Date],tblHoliday[Holiday_Type],"Working Day ")</f>
        <v xml:space="preserve">Working Day </v>
      </c>
    </row>
    <row r="776" spans="1:35" hidden="1" x14ac:dyDescent="0.3">
      <c r="A776" t="s">
        <v>965</v>
      </c>
      <c r="B776" s="3">
        <v>45803</v>
      </c>
      <c r="C776" t="s">
        <v>57</v>
      </c>
      <c r="D776" t="s">
        <v>24</v>
      </c>
      <c r="E776" t="s">
        <v>109</v>
      </c>
      <c r="F776" t="s">
        <v>309</v>
      </c>
      <c r="G776" t="s">
        <v>310</v>
      </c>
      <c r="H776" t="s">
        <v>28</v>
      </c>
      <c r="I776" t="s">
        <v>29</v>
      </c>
      <c r="J776" t="s">
        <v>43</v>
      </c>
      <c r="K776" t="s">
        <v>31</v>
      </c>
      <c r="L776" s="2">
        <v>0.375</v>
      </c>
      <c r="M776" s="2">
        <v>0.75</v>
      </c>
      <c r="N776">
        <v>8</v>
      </c>
      <c r="O776">
        <v>0</v>
      </c>
      <c r="P776" t="s">
        <v>32</v>
      </c>
      <c r="R776">
        <v>4</v>
      </c>
      <c r="S776" t="s">
        <v>45</v>
      </c>
      <c r="T776" t="s">
        <v>34</v>
      </c>
      <c r="U776" t="s">
        <v>55</v>
      </c>
      <c r="V776" t="s">
        <v>69</v>
      </c>
      <c r="W776">
        <f>_xlfn.XLOOKUP(F776,tblEmployee[Employee_ID],tblEmployee[Age],"Not Found")</f>
        <v>39</v>
      </c>
      <c r="X776" t="str">
        <f>_xlfn.XLOOKUP(F776,tblEmployee[Employee_ID],tblEmployee[Gender],"Not Found")</f>
        <v>Male</v>
      </c>
      <c r="Y776">
        <f>_xlfn.XLOOKUP(F776,tblEmployee[Employee_ID],tblEmployee[Joining_Date],"")</f>
        <v>43449</v>
      </c>
      <c r="Z776">
        <f>_xlfn.XLOOKUP(H776,tblDepartment[Department],tblDepartment[Annual_Budget_INR],"")</f>
        <v>24000000</v>
      </c>
      <c r="AA776" t="str">
        <f>_xlfn.XLOOKUP(H776,tblDepartment[Department],tblDepartment[Monthly_Target],"")</f>
        <v>90% Customer Satisfaction</v>
      </c>
      <c r="AB776">
        <f>_xlfn.XLOOKUP(H776,tblDepartment[Department],tblDepartment[Average_Salary_INR],"")</f>
        <v>520000</v>
      </c>
      <c r="AC776" t="str">
        <f>_xlfn.XLOOKUP(H776,tblDepartment[Department],tblDepartment[Priority_Level],"")</f>
        <v>High</v>
      </c>
      <c r="AD776" t="str">
        <f>_xlfn.XLOOKUP(H776,tblDepartment[Department],tblDepartment[Key_KPI],"")</f>
        <v>Customer Satisfaction</v>
      </c>
      <c r="AE776">
        <f>_xlfn.XLOOKUP(tblMaster[[#This Row],[Shift]],tblShift[Shift_Name],tblShift[Login_Time],"")</f>
        <v>0.25</v>
      </c>
      <c r="AF776">
        <f>_xlfn.XLOOKUP(tblMaster[[#This Row],[Shift]],tblShift[Shift_Name],tblShift[Logout_Time]," ")</f>
        <v>0.625</v>
      </c>
      <c r="AG776">
        <f>_xlfn.XLOOKUP(tblMaster[[#This Row],[Shift]],tblShift[Shift_Name],tblShift[Standard_Working_Hours],"")</f>
        <v>8</v>
      </c>
      <c r="AH776" t="str">
        <f>_xlfn.XLOOKUP(tblMaster[[#This Row],[Attendance_Date]],tblHoliday[Holiday_Date],tblHoliday[Holiday_Name],"Working Day")</f>
        <v>Working Day</v>
      </c>
      <c r="AI776" t="str">
        <f>_xlfn.XLOOKUP(tblMaster[[#This Row],[Attendance_Date]],tblHoliday[Holiday_Date],tblHoliday[Holiday_Type],"Working Day ")</f>
        <v xml:space="preserve">Working Day </v>
      </c>
    </row>
    <row r="777" spans="1:35" hidden="1" x14ac:dyDescent="0.3">
      <c r="A777" t="s">
        <v>966</v>
      </c>
      <c r="B777" s="1">
        <v>45767</v>
      </c>
      <c r="C777" t="s">
        <v>37</v>
      </c>
      <c r="D777" t="s">
        <v>24</v>
      </c>
      <c r="E777" t="s">
        <v>103</v>
      </c>
      <c r="F777" t="s">
        <v>142</v>
      </c>
      <c r="G777" t="s">
        <v>143</v>
      </c>
      <c r="H777" t="s">
        <v>64</v>
      </c>
      <c r="I777" t="s">
        <v>65</v>
      </c>
      <c r="J777" t="s">
        <v>43</v>
      </c>
      <c r="K777" t="s">
        <v>31</v>
      </c>
      <c r="L777" s="2">
        <v>0.375</v>
      </c>
      <c r="M777" s="2">
        <v>0.75</v>
      </c>
      <c r="N777">
        <v>8.5</v>
      </c>
      <c r="O777">
        <v>0.5</v>
      </c>
      <c r="P777" t="s">
        <v>32</v>
      </c>
      <c r="R777">
        <v>4</v>
      </c>
      <c r="S777" t="s">
        <v>92</v>
      </c>
      <c r="T777" t="s">
        <v>68</v>
      </c>
      <c r="U777" t="s">
        <v>85</v>
      </c>
      <c r="V777" t="s">
        <v>35</v>
      </c>
      <c r="W777">
        <f>_xlfn.XLOOKUP(F777,tblEmployee[Employee_ID],tblEmployee[Age],"Not Found")</f>
        <v>37</v>
      </c>
      <c r="X777" t="str">
        <f>_xlfn.XLOOKUP(F777,tblEmployee[Employee_ID],tblEmployee[Gender],"Not Found")</f>
        <v>Male</v>
      </c>
      <c r="Y777">
        <f>_xlfn.XLOOKUP(F777,tblEmployee[Employee_ID],tblEmployee[Joining_Date],"")</f>
        <v>43570</v>
      </c>
      <c r="Z777">
        <f>_xlfn.XLOOKUP(H777,tblDepartment[Department],tblDepartment[Annual_Budget_INR],"")</f>
        <v>85000000</v>
      </c>
      <c r="AA777" t="str">
        <f>_xlfn.XLOOKUP(H777,tblDepartment[Department],tblDepartment[Monthly_Target],"")</f>
        <v>99.5% System Uptime</v>
      </c>
      <c r="AB777">
        <f>_xlfn.XLOOKUP(H777,tblDepartment[Department],tblDepartment[Average_Salary_INR],"")</f>
        <v>720000</v>
      </c>
      <c r="AC777" t="str">
        <f>_xlfn.XLOOKUP(H777,tblDepartment[Department],tblDepartment[Priority_Level],"")</f>
        <v>High</v>
      </c>
      <c r="AD777" t="str">
        <f>_xlfn.XLOOKUP(H777,tblDepartment[Department],tblDepartment[Key_KPI],"")</f>
        <v>Project Delivery</v>
      </c>
      <c r="AE777">
        <f>_xlfn.XLOOKUP(tblMaster[[#This Row],[Shift]],tblShift[Shift_Name],tblShift[Login_Time],"")</f>
        <v>0.25</v>
      </c>
      <c r="AF777">
        <f>_xlfn.XLOOKUP(tblMaster[[#This Row],[Shift]],tblShift[Shift_Name],tblShift[Logout_Time]," ")</f>
        <v>0.625</v>
      </c>
      <c r="AG777">
        <f>_xlfn.XLOOKUP(tblMaster[[#This Row],[Shift]],tblShift[Shift_Name],tblShift[Standard_Working_Hours],"")</f>
        <v>8</v>
      </c>
      <c r="AH777" t="str">
        <f>_xlfn.XLOOKUP(tblMaster[[#This Row],[Attendance_Date]],tblHoliday[Holiday_Date],tblHoliday[Holiday_Name],"Working Day")</f>
        <v>Working Day</v>
      </c>
      <c r="AI777" t="str">
        <f>_xlfn.XLOOKUP(tblMaster[[#This Row],[Attendance_Date]],tblHoliday[Holiday_Date],tblHoliday[Holiday_Type],"Working Day ")</f>
        <v xml:space="preserve">Working Day </v>
      </c>
    </row>
    <row r="778" spans="1:35" x14ac:dyDescent="0.3">
      <c r="A778" t="s">
        <v>967</v>
      </c>
      <c r="B778" s="3">
        <v>45706</v>
      </c>
      <c r="C778" t="s">
        <v>95</v>
      </c>
      <c r="D778" t="s">
        <v>50</v>
      </c>
      <c r="E778" t="s">
        <v>87</v>
      </c>
      <c r="F778" t="s">
        <v>182</v>
      </c>
      <c r="G778" t="s">
        <v>183</v>
      </c>
      <c r="H778" t="s">
        <v>112</v>
      </c>
      <c r="I778" t="s">
        <v>113</v>
      </c>
      <c r="J778" t="s">
        <v>30</v>
      </c>
      <c r="K778" t="s">
        <v>81</v>
      </c>
      <c r="L778" s="2">
        <v>0.39930555555555558</v>
      </c>
      <c r="M778" s="2">
        <v>0.29166666666666669</v>
      </c>
      <c r="N778">
        <v>9.5</v>
      </c>
      <c r="O778">
        <v>1.5</v>
      </c>
      <c r="P778" t="s">
        <v>32</v>
      </c>
      <c r="R778">
        <v>4</v>
      </c>
      <c r="S778" t="s">
        <v>67</v>
      </c>
      <c r="T778" t="s">
        <v>114</v>
      </c>
      <c r="U778" t="str">
        <f>_xlfn.XLOOKUP(tblMaster[[#This Row],[Employee_ID]],tblEmployee[Employee_ID],tblEmployee[Work_Mode]," ")</f>
        <v>Office</v>
      </c>
      <c r="V778" t="s">
        <v>35</v>
      </c>
      <c r="W778">
        <f>_xlfn.XLOOKUP(F778,tblEmployee[Employee_ID],tblEmployee[Age],"Not Found")</f>
        <v>28</v>
      </c>
      <c r="X778" t="str">
        <f>_xlfn.XLOOKUP(F778,tblEmployee[Employee_ID],tblEmployee[Gender],"Not Found")</f>
        <v>Male</v>
      </c>
      <c r="Y778">
        <f>_xlfn.XLOOKUP(F778,tblEmployee[Employee_ID],tblEmployee[Joining_Date],"")</f>
        <v>44211</v>
      </c>
      <c r="Z778">
        <f>_xlfn.XLOOKUP(H778,tblDepartment[Department],tblDepartment[Annual_Budget_INR],"")</f>
        <v>42000000</v>
      </c>
      <c r="AA778" t="str">
        <f>_xlfn.XLOOKUP(H778,tblDepartment[Department],tblDepartment[Monthly_Target],"")</f>
        <v>₹2.5 Cr Monthly Sales</v>
      </c>
      <c r="AB778">
        <f>_xlfn.XLOOKUP(H778,tblDepartment[Department],tblDepartment[Average_Salary_INR],"")</f>
        <v>680000</v>
      </c>
      <c r="AC778" t="str">
        <f>_xlfn.XLOOKUP(H778,tblDepartment[Department],tblDepartment[Priority_Level],"")</f>
        <v>High</v>
      </c>
      <c r="AD778" t="str">
        <f>_xlfn.XLOOKUP(H778,tblDepartment[Department],tblDepartment[Key_KPI],"")</f>
        <v>Revenue Achievement</v>
      </c>
      <c r="AE778">
        <f>_xlfn.XLOOKUP(tblMaster[[#This Row],[Shift]],tblShift[Shift_Name],tblShift[Login_Time],"")</f>
        <v>0.91666666666666663</v>
      </c>
      <c r="AF778">
        <f>_xlfn.XLOOKUP(tblMaster[[#This Row],[Shift]],tblShift[Shift_Name],tblShift[Logout_Time]," ")</f>
        <v>0.29166666666666669</v>
      </c>
      <c r="AG778">
        <f>_xlfn.XLOOKUP(tblMaster[[#This Row],[Shift]],tblShift[Shift_Name],tblShift[Standard_Working_Hours],"")</f>
        <v>8</v>
      </c>
      <c r="AH778" t="str">
        <f>_xlfn.XLOOKUP(tblMaster[[#This Row],[Attendance_Date]],tblHoliday[Holiday_Date],tblHoliday[Holiday_Name],"Working Day")</f>
        <v>Working Day</v>
      </c>
      <c r="AI778" t="str">
        <f>_xlfn.XLOOKUP(tblMaster[[#This Row],[Attendance_Date]],tblHoliday[Holiday_Date],tblHoliday[Holiday_Type],"Working Day ")</f>
        <v xml:space="preserve">Working Day </v>
      </c>
    </row>
    <row r="779" spans="1:35" x14ac:dyDescent="0.3">
      <c r="A779" t="s">
        <v>968</v>
      </c>
      <c r="B779" s="3">
        <v>45667</v>
      </c>
      <c r="C779" t="s">
        <v>49</v>
      </c>
      <c r="D779" t="s">
        <v>50</v>
      </c>
      <c r="E779" t="s">
        <v>119</v>
      </c>
      <c r="F779" t="s">
        <v>243</v>
      </c>
      <c r="G779" t="s">
        <v>244</v>
      </c>
      <c r="H779" t="s">
        <v>90</v>
      </c>
      <c r="I779" t="s">
        <v>91</v>
      </c>
      <c r="J779" t="s">
        <v>30</v>
      </c>
      <c r="K779" t="s">
        <v>54</v>
      </c>
      <c r="L779" s="2">
        <v>0.375</v>
      </c>
      <c r="M779" s="2">
        <v>0.75</v>
      </c>
      <c r="N779">
        <v>8</v>
      </c>
      <c r="O779">
        <v>0</v>
      </c>
      <c r="P779" t="s">
        <v>32</v>
      </c>
      <c r="R779">
        <v>4</v>
      </c>
      <c r="S779" t="s">
        <v>45</v>
      </c>
      <c r="T779" t="s">
        <v>93</v>
      </c>
      <c r="U779" t="str">
        <f>_xlfn.XLOOKUP(tblMaster[[#This Row],[Employee_ID]],tblEmployee[Employee_ID],tblEmployee[Work_Mode]," ")</f>
        <v>Remote</v>
      </c>
      <c r="V779" t="s">
        <v>35</v>
      </c>
      <c r="W779">
        <f>_xlfn.XLOOKUP(F779,tblEmployee[Employee_ID],tblEmployee[Age],"Not Found")</f>
        <v>30</v>
      </c>
      <c r="X779" t="str">
        <f>_xlfn.XLOOKUP(F779,tblEmployee[Employee_ID],tblEmployee[Gender],"Not Found")</f>
        <v>Female</v>
      </c>
      <c r="Y779">
        <f>_xlfn.XLOOKUP(F779,tblEmployee[Employee_ID],tblEmployee[Joining_Date],"")</f>
        <v>44089</v>
      </c>
      <c r="Z779">
        <f>_xlfn.XLOOKUP(H779,tblDepartment[Department],tblDepartment[Annual_Budget_INR],"")</f>
        <v>18000000</v>
      </c>
      <c r="AA779" t="str">
        <f>_xlfn.XLOOKUP(H779,tblDepartment[Department],tblDepartment[Monthly_Target],"")</f>
        <v>&lt;30 Days Hiring Cycle</v>
      </c>
      <c r="AB779">
        <f>_xlfn.XLOOKUP(H779,tblDepartment[Department],tblDepartment[Average_Salary_INR],"")</f>
        <v>560000</v>
      </c>
      <c r="AC779" t="str">
        <f>_xlfn.XLOOKUP(H779,tblDepartment[Department],tblDepartment[Priority_Level],"")</f>
        <v>Medium</v>
      </c>
      <c r="AD779" t="str">
        <f>_xlfn.XLOOKUP(H779,tblDepartment[Department],tblDepartment[Key_KPI],"")</f>
        <v>Hiring &amp; Retention</v>
      </c>
      <c r="AE779">
        <f>_xlfn.XLOOKUP(tblMaster[[#This Row],[Shift]],tblShift[Shift_Name],tblShift[Login_Time],"")</f>
        <v>0.58333333333333337</v>
      </c>
      <c r="AF779">
        <f>_xlfn.XLOOKUP(tblMaster[[#This Row],[Shift]],tblShift[Shift_Name],tblShift[Logout_Time]," ")</f>
        <v>0.95833333333333337</v>
      </c>
      <c r="AG779">
        <f>_xlfn.XLOOKUP(tblMaster[[#This Row],[Shift]],tblShift[Shift_Name],tblShift[Standard_Working_Hours],"")</f>
        <v>8</v>
      </c>
      <c r="AH779" t="str">
        <f>_xlfn.XLOOKUP(tblMaster[[#This Row],[Attendance_Date]],tblHoliday[Holiday_Date],tblHoliday[Holiday_Name],"Working Day")</f>
        <v>Working Day</v>
      </c>
      <c r="AI779" t="str">
        <f>_xlfn.XLOOKUP(tblMaster[[#This Row],[Attendance_Date]],tblHoliday[Holiday_Date],tblHoliday[Holiday_Type],"Working Day ")</f>
        <v xml:space="preserve">Working Day </v>
      </c>
    </row>
    <row r="780" spans="1:35" hidden="1" x14ac:dyDescent="0.3">
      <c r="A780" t="s">
        <v>969</v>
      </c>
      <c r="B780" s="3">
        <v>45688</v>
      </c>
      <c r="C780" t="s">
        <v>49</v>
      </c>
      <c r="D780" t="s">
        <v>50</v>
      </c>
      <c r="E780" t="s">
        <v>119</v>
      </c>
      <c r="F780" t="s">
        <v>166</v>
      </c>
      <c r="G780" t="s">
        <v>167</v>
      </c>
      <c r="H780" t="s">
        <v>41</v>
      </c>
      <c r="I780" t="s">
        <v>42</v>
      </c>
      <c r="J780" t="s">
        <v>100</v>
      </c>
      <c r="K780" t="s">
        <v>54</v>
      </c>
      <c r="L780" s="2">
        <v>0.375</v>
      </c>
      <c r="M780" s="2">
        <v>0.75</v>
      </c>
      <c r="N780">
        <v>8</v>
      </c>
      <c r="O780">
        <v>0</v>
      </c>
      <c r="P780" t="s">
        <v>32</v>
      </c>
      <c r="R780">
        <v>4</v>
      </c>
      <c r="S780" t="s">
        <v>67</v>
      </c>
      <c r="T780" t="s">
        <v>46</v>
      </c>
      <c r="U780" t="s">
        <v>85</v>
      </c>
      <c r="V780" t="s">
        <v>35</v>
      </c>
      <c r="W780">
        <f>_xlfn.XLOOKUP(F780,tblEmployee[Employee_ID],tblEmployee[Age],"Not Found")</f>
        <v>37</v>
      </c>
      <c r="X780" t="str">
        <f>_xlfn.XLOOKUP(F780,tblEmployee[Employee_ID],tblEmployee[Gender],"Not Found")</f>
        <v>Male</v>
      </c>
      <c r="Y780">
        <f>_xlfn.XLOOKUP(F780,tblEmployee[Employee_ID],tblEmployee[Joining_Date],"")</f>
        <v>45214</v>
      </c>
      <c r="Z780">
        <f>_xlfn.XLOOKUP(H780,tblDepartment[Department],tblDepartment[Annual_Budget_INR],"")</f>
        <v>34000000</v>
      </c>
      <c r="AA780" t="str">
        <f>_xlfn.XLOOKUP(H780,tblDepartment[Department],tblDepartment[Monthly_Target],"")</f>
        <v>95% Process Efficiency</v>
      </c>
      <c r="AB780">
        <f>_xlfn.XLOOKUP(H780,tblDepartment[Department],tblDepartment[Average_Salary_INR],"")</f>
        <v>610000</v>
      </c>
      <c r="AC780" t="str">
        <f>_xlfn.XLOOKUP(H780,tblDepartment[Department],tblDepartment[Priority_Level],"")</f>
        <v>High</v>
      </c>
      <c r="AD780" t="str">
        <f>_xlfn.XLOOKUP(H780,tblDepartment[Department],tblDepartment[Key_KPI],"")</f>
        <v>Operational Efficiency</v>
      </c>
      <c r="AE780">
        <f>_xlfn.XLOOKUP(tblMaster[[#This Row],[Shift]],tblShift[Shift_Name],tblShift[Login_Time],"")</f>
        <v>0.58333333333333337</v>
      </c>
      <c r="AF780">
        <f>_xlfn.XLOOKUP(tblMaster[[#This Row],[Shift]],tblShift[Shift_Name],tblShift[Logout_Time]," ")</f>
        <v>0.95833333333333337</v>
      </c>
      <c r="AG780">
        <f>_xlfn.XLOOKUP(tblMaster[[#This Row],[Shift]],tblShift[Shift_Name],tblShift[Standard_Working_Hours],"")</f>
        <v>8</v>
      </c>
      <c r="AH780" t="str">
        <f>_xlfn.XLOOKUP(tblMaster[[#This Row],[Attendance_Date]],tblHoliday[Holiday_Date],tblHoliday[Holiday_Name],"Working Day")</f>
        <v>Working Day</v>
      </c>
      <c r="AI780" t="str">
        <f>_xlfn.XLOOKUP(tblMaster[[#This Row],[Attendance_Date]],tblHoliday[Holiday_Date],tblHoliday[Holiday_Type],"Working Day ")</f>
        <v xml:space="preserve">Working Day </v>
      </c>
    </row>
    <row r="781" spans="1:35" x14ac:dyDescent="0.3">
      <c r="A781" t="s">
        <v>970</v>
      </c>
      <c r="B781" s="3">
        <v>45766</v>
      </c>
      <c r="C781" t="s">
        <v>37</v>
      </c>
      <c r="D781" t="s">
        <v>24</v>
      </c>
      <c r="E781" t="s">
        <v>38</v>
      </c>
      <c r="F781" t="s">
        <v>228</v>
      </c>
      <c r="G781" t="s">
        <v>229</v>
      </c>
      <c r="H781" t="s">
        <v>79</v>
      </c>
      <c r="I781" t="s">
        <v>80</v>
      </c>
      <c r="J781" t="s">
        <v>43</v>
      </c>
      <c r="K781" t="s">
        <v>31</v>
      </c>
      <c r="L781" s="2">
        <v>0.375</v>
      </c>
      <c r="M781" s="2">
        <v>0.75</v>
      </c>
      <c r="N781">
        <v>8</v>
      </c>
      <c r="O781">
        <v>0</v>
      </c>
      <c r="P781" t="s">
        <v>32</v>
      </c>
      <c r="R781">
        <v>3</v>
      </c>
      <c r="S781" t="s">
        <v>92</v>
      </c>
      <c r="T781" t="s">
        <v>84</v>
      </c>
      <c r="U781" t="str">
        <f>_xlfn.XLOOKUP(tblMaster[[#This Row],[Employee_ID]],tblEmployee[Employee_ID],tblEmployee[Work_Mode]," ")</f>
        <v>Hybrid</v>
      </c>
      <c r="V781" t="s">
        <v>60</v>
      </c>
      <c r="W781">
        <f>_xlfn.XLOOKUP(F781,tblEmployee[Employee_ID],tblEmployee[Age],"Not Found")</f>
        <v>29</v>
      </c>
      <c r="X781" t="str">
        <f>_xlfn.XLOOKUP(F781,tblEmployee[Employee_ID],tblEmployee[Gender],"Not Found")</f>
        <v>Female</v>
      </c>
      <c r="Y781">
        <f>_xlfn.XLOOKUP(F781,tblEmployee[Employee_ID],tblEmployee[Joining_Date],"")</f>
        <v>44607</v>
      </c>
      <c r="Z781">
        <f>_xlfn.XLOOKUP(H781,tblDepartment[Department],tblDepartment[Annual_Budget_INR],"")</f>
        <v>26000000</v>
      </c>
      <c r="AA781" t="str">
        <f>_xlfn.XLOOKUP(H781,tblDepartment[Department],tblDepartment[Monthly_Target],"")</f>
        <v>100% Payroll Accuracy</v>
      </c>
      <c r="AB781">
        <f>_xlfn.XLOOKUP(H781,tblDepartment[Department],tblDepartment[Average_Salary_INR],"")</f>
        <v>640000</v>
      </c>
      <c r="AC781" t="str">
        <f>_xlfn.XLOOKUP(H781,tblDepartment[Department],tblDepartment[Priority_Level],"")</f>
        <v>High</v>
      </c>
      <c r="AD781" t="str">
        <f>_xlfn.XLOOKUP(H781,tblDepartment[Department],tblDepartment[Key_KPI],"")</f>
        <v>Financial Compliance</v>
      </c>
      <c r="AE781">
        <f>_xlfn.XLOOKUP(tblMaster[[#This Row],[Shift]],tblShift[Shift_Name],tblShift[Login_Time],"")</f>
        <v>0.25</v>
      </c>
      <c r="AF781">
        <f>_xlfn.XLOOKUP(tblMaster[[#This Row],[Shift]],tblShift[Shift_Name],tblShift[Logout_Time]," ")</f>
        <v>0.625</v>
      </c>
      <c r="AG781">
        <f>_xlfn.XLOOKUP(tblMaster[[#This Row],[Shift]],tblShift[Shift_Name],tblShift[Standard_Working_Hours],"")</f>
        <v>8</v>
      </c>
      <c r="AH781" t="str">
        <f>_xlfn.XLOOKUP(tblMaster[[#This Row],[Attendance_Date]],tblHoliday[Holiday_Date],tblHoliday[Holiday_Name],"Working Day")</f>
        <v>Working Day</v>
      </c>
      <c r="AI781" t="str">
        <f>_xlfn.XLOOKUP(tblMaster[[#This Row],[Attendance_Date]],tblHoliday[Holiday_Date],tblHoliday[Holiday_Type],"Working Day ")</f>
        <v xml:space="preserve">Working Day </v>
      </c>
    </row>
    <row r="782" spans="1:35" x14ac:dyDescent="0.3">
      <c r="A782" t="s">
        <v>971</v>
      </c>
      <c r="B782" s="1">
        <v>45676</v>
      </c>
      <c r="C782" t="s">
        <v>49</v>
      </c>
      <c r="D782" t="s">
        <v>50</v>
      </c>
      <c r="E782" t="s">
        <v>103</v>
      </c>
      <c r="F782" t="s">
        <v>116</v>
      </c>
      <c r="G782" t="s">
        <v>117</v>
      </c>
      <c r="H782" t="s">
        <v>112</v>
      </c>
      <c r="I782" t="s">
        <v>113</v>
      </c>
      <c r="J782" t="s">
        <v>100</v>
      </c>
      <c r="K782" t="s">
        <v>54</v>
      </c>
      <c r="L782" s="2">
        <v>0.3888888888888889</v>
      </c>
      <c r="M782" s="2">
        <v>0.75</v>
      </c>
      <c r="N782">
        <v>8</v>
      </c>
      <c r="O782">
        <v>0</v>
      </c>
      <c r="P782" t="s">
        <v>32</v>
      </c>
      <c r="R782">
        <v>5</v>
      </c>
      <c r="S782" t="s">
        <v>92</v>
      </c>
      <c r="T782" t="s">
        <v>114</v>
      </c>
      <c r="U782" t="str">
        <f>_xlfn.XLOOKUP(tblMaster[[#This Row],[Employee_ID]],tblEmployee[Employee_ID],tblEmployee[Work_Mode]," ")</f>
        <v>Remote</v>
      </c>
      <c r="V782" t="s">
        <v>60</v>
      </c>
      <c r="W782">
        <f>_xlfn.XLOOKUP(F782,tblEmployee[Employee_ID],tblEmployee[Age],"Not Found")</f>
        <v>24</v>
      </c>
      <c r="X782" t="str">
        <f>_xlfn.XLOOKUP(F782,tblEmployee[Employee_ID],tblEmployee[Gender],"Not Found")</f>
        <v>Male</v>
      </c>
      <c r="Y782">
        <f>_xlfn.XLOOKUP(F782,tblEmployee[Employee_ID],tblEmployee[Joining_Date],"")</f>
        <v>44270</v>
      </c>
      <c r="Z782">
        <f>_xlfn.XLOOKUP(H782,tblDepartment[Department],tblDepartment[Annual_Budget_INR],"")</f>
        <v>42000000</v>
      </c>
      <c r="AA782" t="str">
        <f>_xlfn.XLOOKUP(H782,tblDepartment[Department],tblDepartment[Monthly_Target],"")</f>
        <v>₹2.5 Cr Monthly Sales</v>
      </c>
      <c r="AB782">
        <f>_xlfn.XLOOKUP(H782,tblDepartment[Department],tblDepartment[Average_Salary_INR],"")</f>
        <v>680000</v>
      </c>
      <c r="AC782" t="str">
        <f>_xlfn.XLOOKUP(H782,tblDepartment[Department],tblDepartment[Priority_Level],"")</f>
        <v>High</v>
      </c>
      <c r="AD782" t="str">
        <f>_xlfn.XLOOKUP(H782,tblDepartment[Department],tblDepartment[Key_KPI],"")</f>
        <v>Revenue Achievement</v>
      </c>
      <c r="AE782">
        <f>_xlfn.XLOOKUP(tblMaster[[#This Row],[Shift]],tblShift[Shift_Name],tblShift[Login_Time],"")</f>
        <v>0.58333333333333337</v>
      </c>
      <c r="AF782">
        <f>_xlfn.XLOOKUP(tblMaster[[#This Row],[Shift]],tblShift[Shift_Name],tblShift[Logout_Time]," ")</f>
        <v>0.95833333333333337</v>
      </c>
      <c r="AG782">
        <f>_xlfn.XLOOKUP(tblMaster[[#This Row],[Shift]],tblShift[Shift_Name],tblShift[Standard_Working_Hours],"")</f>
        <v>8</v>
      </c>
      <c r="AH782" t="str">
        <f>_xlfn.XLOOKUP(tblMaster[[#This Row],[Attendance_Date]],tblHoliday[Holiday_Date],tblHoliday[Holiday_Name],"Working Day")</f>
        <v>Working Day</v>
      </c>
      <c r="AI782" t="str">
        <f>_xlfn.XLOOKUP(tblMaster[[#This Row],[Attendance_Date]],tblHoliday[Holiday_Date],tblHoliday[Holiday_Type],"Working Day ")</f>
        <v xml:space="preserve">Working Day </v>
      </c>
    </row>
    <row r="783" spans="1:35" hidden="1" x14ac:dyDescent="0.3">
      <c r="A783" t="s">
        <v>972</v>
      </c>
      <c r="B783" s="3">
        <v>45704</v>
      </c>
      <c r="C783" t="s">
        <v>95</v>
      </c>
      <c r="D783" t="s">
        <v>50</v>
      </c>
      <c r="E783" t="s">
        <v>103</v>
      </c>
      <c r="F783" t="s">
        <v>204</v>
      </c>
      <c r="G783" t="s">
        <v>205</v>
      </c>
      <c r="H783" t="s">
        <v>90</v>
      </c>
      <c r="I783" t="s">
        <v>91</v>
      </c>
      <c r="J783" t="s">
        <v>74</v>
      </c>
      <c r="K783" t="s">
        <v>31</v>
      </c>
      <c r="L783" s="2">
        <v>0.375</v>
      </c>
      <c r="M783" s="2">
        <v>0.75</v>
      </c>
      <c r="N783">
        <v>8</v>
      </c>
      <c r="O783">
        <v>0</v>
      </c>
      <c r="P783" t="s">
        <v>32</v>
      </c>
      <c r="R783">
        <v>5</v>
      </c>
      <c r="S783" t="s">
        <v>67</v>
      </c>
      <c r="T783" t="s">
        <v>93</v>
      </c>
      <c r="U783" t="s">
        <v>47</v>
      </c>
      <c r="V783" t="s">
        <v>35</v>
      </c>
      <c r="W783">
        <f>_xlfn.XLOOKUP(F783,tblEmployee[Employee_ID],tblEmployee[Age],"Not Found")</f>
        <v>24</v>
      </c>
      <c r="X783" t="str">
        <f>_xlfn.XLOOKUP(F783,tblEmployee[Employee_ID],tblEmployee[Gender],"Not Found")</f>
        <v>Female</v>
      </c>
      <c r="Y783">
        <f>_xlfn.XLOOKUP(F783,tblEmployee[Employee_ID],tblEmployee[Joining_Date],"")</f>
        <v>43905</v>
      </c>
      <c r="Z783">
        <f>_xlfn.XLOOKUP(H783,tblDepartment[Department],tblDepartment[Annual_Budget_INR],"")</f>
        <v>18000000</v>
      </c>
      <c r="AA783" t="str">
        <f>_xlfn.XLOOKUP(H783,tblDepartment[Department],tblDepartment[Monthly_Target],"")</f>
        <v>&lt;30 Days Hiring Cycle</v>
      </c>
      <c r="AB783">
        <f>_xlfn.XLOOKUP(H783,tblDepartment[Department],tblDepartment[Average_Salary_INR],"")</f>
        <v>560000</v>
      </c>
      <c r="AC783" t="str">
        <f>_xlfn.XLOOKUP(H783,tblDepartment[Department],tblDepartment[Priority_Level],"")</f>
        <v>Medium</v>
      </c>
      <c r="AD783" t="str">
        <f>_xlfn.XLOOKUP(H783,tblDepartment[Department],tblDepartment[Key_KPI],"")</f>
        <v>Hiring &amp; Retention</v>
      </c>
      <c r="AE783">
        <f>_xlfn.XLOOKUP(tblMaster[[#This Row],[Shift]],tblShift[Shift_Name],tblShift[Login_Time],"")</f>
        <v>0.25</v>
      </c>
      <c r="AF783">
        <f>_xlfn.XLOOKUP(tblMaster[[#This Row],[Shift]],tblShift[Shift_Name],tblShift[Logout_Time]," ")</f>
        <v>0.625</v>
      </c>
      <c r="AG783">
        <f>_xlfn.XLOOKUP(tblMaster[[#This Row],[Shift]],tblShift[Shift_Name],tblShift[Standard_Working_Hours],"")</f>
        <v>8</v>
      </c>
      <c r="AH783" t="str">
        <f>_xlfn.XLOOKUP(tblMaster[[#This Row],[Attendance_Date]],tblHoliday[Holiday_Date],tblHoliday[Holiday_Name],"Working Day")</f>
        <v>Working Day</v>
      </c>
      <c r="AI783" t="str">
        <f>_xlfn.XLOOKUP(tblMaster[[#This Row],[Attendance_Date]],tblHoliday[Holiday_Date],tblHoliday[Holiday_Type],"Working Day ")</f>
        <v xml:space="preserve">Working Day </v>
      </c>
    </row>
    <row r="784" spans="1:35" hidden="1" x14ac:dyDescent="0.3">
      <c r="A784" t="s">
        <v>973</v>
      </c>
      <c r="B784" s="1">
        <v>45785</v>
      </c>
      <c r="C784" t="s">
        <v>57</v>
      </c>
      <c r="D784" t="s">
        <v>24</v>
      </c>
      <c r="E784" t="s">
        <v>25</v>
      </c>
      <c r="F784" t="s">
        <v>26</v>
      </c>
      <c r="G784" t="s">
        <v>27</v>
      </c>
      <c r="H784" t="s">
        <v>28</v>
      </c>
      <c r="I784" t="s">
        <v>29</v>
      </c>
      <c r="J784" t="s">
        <v>30</v>
      </c>
      <c r="K784" t="s">
        <v>44</v>
      </c>
      <c r="L784" s="2">
        <v>0.375</v>
      </c>
      <c r="M784" s="2">
        <v>0.75</v>
      </c>
      <c r="N784">
        <v>8</v>
      </c>
      <c r="O784">
        <v>0</v>
      </c>
      <c r="P784" t="s">
        <v>32</v>
      </c>
      <c r="S784" t="s">
        <v>33</v>
      </c>
      <c r="T784" t="s">
        <v>34</v>
      </c>
      <c r="U784" t="s">
        <v>85</v>
      </c>
      <c r="V784" t="s">
        <v>60</v>
      </c>
      <c r="W784">
        <f>_xlfn.XLOOKUP(F784,tblEmployee[Employee_ID],tblEmployee[Age],"Not Found")</f>
        <v>36</v>
      </c>
      <c r="X784" t="str">
        <f>_xlfn.XLOOKUP(F784,tblEmployee[Employee_ID],tblEmployee[Gender],"Not Found")</f>
        <v>Female</v>
      </c>
      <c r="Y784">
        <f>_xlfn.XLOOKUP(F784,tblEmployee[Employee_ID],tblEmployee[Joining_Date],"")</f>
        <v>43174</v>
      </c>
      <c r="Z784">
        <f>_xlfn.XLOOKUP(H784,tblDepartment[Department],tblDepartment[Annual_Budget_INR],"")</f>
        <v>24000000</v>
      </c>
      <c r="AA784" t="str">
        <f>_xlfn.XLOOKUP(H784,tblDepartment[Department],tblDepartment[Monthly_Target],"")</f>
        <v>90% Customer Satisfaction</v>
      </c>
      <c r="AB784">
        <f>_xlfn.XLOOKUP(H784,tblDepartment[Department],tblDepartment[Average_Salary_INR],"")</f>
        <v>520000</v>
      </c>
      <c r="AC784" t="str">
        <f>_xlfn.XLOOKUP(H784,tblDepartment[Department],tblDepartment[Priority_Level],"")</f>
        <v>High</v>
      </c>
      <c r="AD784" t="str">
        <f>_xlfn.XLOOKUP(H784,tblDepartment[Department],tblDepartment[Key_KPI],"")</f>
        <v>Customer Satisfaction</v>
      </c>
      <c r="AE784">
        <f>_xlfn.XLOOKUP(tblMaster[[#This Row],[Shift]],tblShift[Shift_Name],tblShift[Login_Time],"")</f>
        <v>0.41666666666666669</v>
      </c>
      <c r="AF784">
        <f>_xlfn.XLOOKUP(tblMaster[[#This Row],[Shift]],tblShift[Shift_Name],tblShift[Logout_Time]," ")</f>
        <v>0.79166666666666663</v>
      </c>
      <c r="AG784">
        <f>_xlfn.XLOOKUP(tblMaster[[#This Row],[Shift]],tblShift[Shift_Name],tblShift[Standard_Working_Hours],"")</f>
        <v>8</v>
      </c>
      <c r="AH784" t="str">
        <f>_xlfn.XLOOKUP(tblMaster[[#This Row],[Attendance_Date]],tblHoliday[Holiday_Date],tblHoliday[Holiday_Name],"Working Day")</f>
        <v>Working Day</v>
      </c>
      <c r="AI784" t="str">
        <f>_xlfn.XLOOKUP(tblMaster[[#This Row],[Attendance_Date]],tblHoliday[Holiday_Date],tblHoliday[Holiday_Type],"Working Day ")</f>
        <v xml:space="preserve">Working Day </v>
      </c>
    </row>
    <row r="785" spans="1:35" hidden="1" x14ac:dyDescent="0.3">
      <c r="A785" t="s">
        <v>974</v>
      </c>
      <c r="B785" s="3">
        <v>45812</v>
      </c>
      <c r="C785" t="s">
        <v>23</v>
      </c>
      <c r="D785" t="s">
        <v>24</v>
      </c>
      <c r="E785" t="s">
        <v>51</v>
      </c>
      <c r="F785" t="s">
        <v>220</v>
      </c>
      <c r="G785" t="s">
        <v>221</v>
      </c>
      <c r="H785" t="s">
        <v>79</v>
      </c>
      <c r="I785" t="s">
        <v>80</v>
      </c>
      <c r="J785" t="s">
        <v>100</v>
      </c>
      <c r="K785" t="s">
        <v>81</v>
      </c>
      <c r="L785" s="2">
        <v>0.91666666666666663</v>
      </c>
      <c r="N785">
        <v>10</v>
      </c>
      <c r="O785">
        <v>2</v>
      </c>
      <c r="P785" t="s">
        <v>32</v>
      </c>
      <c r="S785" t="s">
        <v>33</v>
      </c>
      <c r="T785" t="s">
        <v>84</v>
      </c>
      <c r="U785" t="s">
        <v>47</v>
      </c>
      <c r="V785" t="s">
        <v>35</v>
      </c>
      <c r="W785">
        <f>_xlfn.XLOOKUP(F785,tblEmployee[Employee_ID],tblEmployee[Age],"Not Found")</f>
        <v>22</v>
      </c>
      <c r="X785" t="str">
        <f>_xlfn.XLOOKUP(F785,tblEmployee[Employee_ID],tblEmployee[Gender],"Not Found")</f>
        <v>Male</v>
      </c>
      <c r="Y785">
        <f>_xlfn.XLOOKUP(F785,tblEmployee[Employee_ID],tblEmployee[Joining_Date],"")</f>
        <v>44757</v>
      </c>
      <c r="Z785">
        <f>_xlfn.XLOOKUP(H785,tblDepartment[Department],tblDepartment[Annual_Budget_INR],"")</f>
        <v>26000000</v>
      </c>
      <c r="AA785" t="str">
        <f>_xlfn.XLOOKUP(H785,tblDepartment[Department],tblDepartment[Monthly_Target],"")</f>
        <v>100% Payroll Accuracy</v>
      </c>
      <c r="AB785">
        <f>_xlfn.XLOOKUP(H785,tblDepartment[Department],tblDepartment[Average_Salary_INR],"")</f>
        <v>640000</v>
      </c>
      <c r="AC785" t="str">
        <f>_xlfn.XLOOKUP(H785,tblDepartment[Department],tblDepartment[Priority_Level],"")</f>
        <v>High</v>
      </c>
      <c r="AD785" t="str">
        <f>_xlfn.XLOOKUP(H785,tblDepartment[Department],tblDepartment[Key_KPI],"")</f>
        <v>Financial Compliance</v>
      </c>
      <c r="AE785">
        <f>_xlfn.XLOOKUP(tblMaster[[#This Row],[Shift]],tblShift[Shift_Name],tblShift[Login_Time],"")</f>
        <v>0.91666666666666663</v>
      </c>
      <c r="AF785">
        <f>_xlfn.XLOOKUP(tblMaster[[#This Row],[Shift]],tblShift[Shift_Name],tblShift[Logout_Time]," ")</f>
        <v>0.29166666666666669</v>
      </c>
      <c r="AG785">
        <f>_xlfn.XLOOKUP(tblMaster[[#This Row],[Shift]],tblShift[Shift_Name],tblShift[Standard_Working_Hours],"")</f>
        <v>8</v>
      </c>
      <c r="AH785" t="str">
        <f>_xlfn.XLOOKUP(tblMaster[[#This Row],[Attendance_Date]],tblHoliday[Holiday_Date],tblHoliday[Holiday_Name],"Working Day")</f>
        <v>Working Day</v>
      </c>
      <c r="AI785" t="str">
        <f>_xlfn.XLOOKUP(tblMaster[[#This Row],[Attendance_Date]],tblHoliday[Holiday_Date],tblHoliday[Holiday_Type],"Working Day ")</f>
        <v xml:space="preserve">Working Day </v>
      </c>
    </row>
    <row r="786" spans="1:35" hidden="1" x14ac:dyDescent="0.3">
      <c r="A786" t="s">
        <v>975</v>
      </c>
      <c r="B786" s="3">
        <v>45788</v>
      </c>
      <c r="C786" t="s">
        <v>57</v>
      </c>
      <c r="D786" t="s">
        <v>24</v>
      </c>
      <c r="E786" t="s">
        <v>103</v>
      </c>
      <c r="F786" t="s">
        <v>243</v>
      </c>
      <c r="G786" t="s">
        <v>244</v>
      </c>
      <c r="H786" t="s">
        <v>90</v>
      </c>
      <c r="I786" t="s">
        <v>91</v>
      </c>
      <c r="J786" t="s">
        <v>30</v>
      </c>
      <c r="K786" t="s">
        <v>31</v>
      </c>
      <c r="L786" s="2">
        <v>0.375</v>
      </c>
      <c r="M786" s="2">
        <v>0.75</v>
      </c>
      <c r="N786">
        <v>8</v>
      </c>
      <c r="O786">
        <v>0</v>
      </c>
      <c r="P786" t="s">
        <v>32</v>
      </c>
      <c r="R786">
        <v>5</v>
      </c>
      <c r="S786" t="s">
        <v>67</v>
      </c>
      <c r="T786" t="s">
        <v>93</v>
      </c>
      <c r="U786" t="s">
        <v>55</v>
      </c>
      <c r="V786" t="s">
        <v>69</v>
      </c>
      <c r="W786">
        <f>_xlfn.XLOOKUP(F786,tblEmployee[Employee_ID],tblEmployee[Age],"Not Found")</f>
        <v>30</v>
      </c>
      <c r="X786" t="str">
        <f>_xlfn.XLOOKUP(F786,tblEmployee[Employee_ID],tblEmployee[Gender],"Not Found")</f>
        <v>Female</v>
      </c>
      <c r="Y786">
        <f>_xlfn.XLOOKUP(F786,tblEmployee[Employee_ID],tblEmployee[Joining_Date],"")</f>
        <v>44089</v>
      </c>
      <c r="Z786">
        <f>_xlfn.XLOOKUP(H786,tblDepartment[Department],tblDepartment[Annual_Budget_INR],"")</f>
        <v>18000000</v>
      </c>
      <c r="AA786" t="str">
        <f>_xlfn.XLOOKUP(H786,tblDepartment[Department],tblDepartment[Monthly_Target],"")</f>
        <v>&lt;30 Days Hiring Cycle</v>
      </c>
      <c r="AB786">
        <f>_xlfn.XLOOKUP(H786,tblDepartment[Department],tblDepartment[Average_Salary_INR],"")</f>
        <v>560000</v>
      </c>
      <c r="AC786" t="str">
        <f>_xlfn.XLOOKUP(H786,tblDepartment[Department],tblDepartment[Priority_Level],"")</f>
        <v>Medium</v>
      </c>
      <c r="AD786" t="str">
        <f>_xlfn.XLOOKUP(H786,tblDepartment[Department],tblDepartment[Key_KPI],"")</f>
        <v>Hiring &amp; Retention</v>
      </c>
      <c r="AE786">
        <f>_xlfn.XLOOKUP(tblMaster[[#This Row],[Shift]],tblShift[Shift_Name],tblShift[Login_Time],"")</f>
        <v>0.25</v>
      </c>
      <c r="AF786">
        <f>_xlfn.XLOOKUP(tblMaster[[#This Row],[Shift]],tblShift[Shift_Name],tblShift[Logout_Time]," ")</f>
        <v>0.625</v>
      </c>
      <c r="AG786">
        <f>_xlfn.XLOOKUP(tblMaster[[#This Row],[Shift]],tblShift[Shift_Name],tblShift[Standard_Working_Hours],"")</f>
        <v>8</v>
      </c>
      <c r="AH786" t="str">
        <f>_xlfn.XLOOKUP(tblMaster[[#This Row],[Attendance_Date]],tblHoliday[Holiday_Date],tblHoliday[Holiday_Name],"Working Day")</f>
        <v>Working Day</v>
      </c>
      <c r="AI786" t="str">
        <f>_xlfn.XLOOKUP(tblMaster[[#This Row],[Attendance_Date]],tblHoliday[Holiday_Date],tblHoliday[Holiday_Type],"Working Day ")</f>
        <v xml:space="preserve">Working Day </v>
      </c>
    </row>
    <row r="787" spans="1:35" hidden="1" x14ac:dyDescent="0.3">
      <c r="A787" t="s">
        <v>976</v>
      </c>
      <c r="B787" s="3">
        <v>45832</v>
      </c>
      <c r="C787" t="s">
        <v>23</v>
      </c>
      <c r="D787" t="s">
        <v>24</v>
      </c>
      <c r="E787" t="s">
        <v>87</v>
      </c>
      <c r="F787" t="s">
        <v>504</v>
      </c>
      <c r="G787" t="s">
        <v>505</v>
      </c>
      <c r="H787" t="s">
        <v>98</v>
      </c>
      <c r="I787" t="s">
        <v>99</v>
      </c>
      <c r="J787" t="s">
        <v>100</v>
      </c>
      <c r="K787" t="s">
        <v>81</v>
      </c>
      <c r="L787" s="2">
        <v>0.91666666666666663</v>
      </c>
      <c r="M787" s="2">
        <v>0.29166666666666669</v>
      </c>
      <c r="N787">
        <v>8.5</v>
      </c>
      <c r="O787">
        <v>0.5</v>
      </c>
      <c r="P787" t="s">
        <v>32</v>
      </c>
      <c r="R787">
        <v>4</v>
      </c>
      <c r="S787" t="s">
        <v>33</v>
      </c>
      <c r="T787" t="s">
        <v>101</v>
      </c>
      <c r="U787" t="s">
        <v>47</v>
      </c>
      <c r="V787" t="s">
        <v>69</v>
      </c>
      <c r="W787">
        <f>_xlfn.XLOOKUP(F787,tblEmployee[Employee_ID],tblEmployee[Age],"Not Found")</f>
        <v>35</v>
      </c>
      <c r="X787" t="str">
        <f>_xlfn.XLOOKUP(F787,tblEmployee[Employee_ID],tblEmployee[Gender],"Not Found")</f>
        <v>Male</v>
      </c>
      <c r="Y787">
        <f>_xlfn.XLOOKUP(F787,tblEmployee[Employee_ID],tblEmployee[Joining_Date],"")</f>
        <v>45337</v>
      </c>
      <c r="Z787">
        <f>_xlfn.XLOOKUP(H787,tblDepartment[Department],tblDepartment[Annual_Budget_INR],"")</f>
        <v>22000000</v>
      </c>
      <c r="AA787" t="str">
        <f>_xlfn.XLOOKUP(H787,tblDepartment[Department],tblDepartment[Monthly_Target],"")</f>
        <v>2500 Qualified Leads</v>
      </c>
      <c r="AB787">
        <f>_xlfn.XLOOKUP(H787,tblDepartment[Department],tblDepartment[Average_Salary_INR],"")</f>
        <v>590000</v>
      </c>
      <c r="AC787" t="str">
        <f>_xlfn.XLOOKUP(H787,tblDepartment[Department],tblDepartment[Priority_Level],"")</f>
        <v>Medium</v>
      </c>
      <c r="AD787" t="str">
        <f>_xlfn.XLOOKUP(H787,tblDepartment[Department],tblDepartment[Key_KPI],"")</f>
        <v>Lead Generation</v>
      </c>
      <c r="AE787">
        <f>_xlfn.XLOOKUP(tblMaster[[#This Row],[Shift]],tblShift[Shift_Name],tblShift[Login_Time],"")</f>
        <v>0.91666666666666663</v>
      </c>
      <c r="AF787">
        <f>_xlfn.XLOOKUP(tblMaster[[#This Row],[Shift]],tblShift[Shift_Name],tblShift[Logout_Time]," ")</f>
        <v>0.29166666666666669</v>
      </c>
      <c r="AG787">
        <f>_xlfn.XLOOKUP(tblMaster[[#This Row],[Shift]],tblShift[Shift_Name],tblShift[Standard_Working_Hours],"")</f>
        <v>8</v>
      </c>
      <c r="AH787" t="str">
        <f>_xlfn.XLOOKUP(tblMaster[[#This Row],[Attendance_Date]],tblHoliday[Holiday_Date],tblHoliday[Holiday_Name],"Working Day")</f>
        <v>Working Day</v>
      </c>
      <c r="AI787" t="str">
        <f>_xlfn.XLOOKUP(tblMaster[[#This Row],[Attendance_Date]],tblHoliday[Holiday_Date],tblHoliday[Holiday_Type],"Working Day ")</f>
        <v xml:space="preserve">Working Day </v>
      </c>
    </row>
    <row r="788" spans="1:35" hidden="1" x14ac:dyDescent="0.3">
      <c r="A788" t="s">
        <v>977</v>
      </c>
      <c r="B788" s="3">
        <v>45826</v>
      </c>
      <c r="C788" t="s">
        <v>23</v>
      </c>
      <c r="D788" t="s">
        <v>24</v>
      </c>
      <c r="E788" t="s">
        <v>51</v>
      </c>
      <c r="F788" t="s">
        <v>185</v>
      </c>
      <c r="G788" t="s">
        <v>186</v>
      </c>
      <c r="H788" t="s">
        <v>79</v>
      </c>
      <c r="I788" t="s">
        <v>80</v>
      </c>
      <c r="J788" t="s">
        <v>66</v>
      </c>
      <c r="K788" t="s">
        <v>44</v>
      </c>
      <c r="L788" s="2">
        <v>0.375</v>
      </c>
      <c r="M788" s="2">
        <v>0.75</v>
      </c>
      <c r="N788">
        <v>8</v>
      </c>
      <c r="O788">
        <v>0</v>
      </c>
      <c r="P788" t="s">
        <v>32</v>
      </c>
      <c r="R788">
        <v>4</v>
      </c>
      <c r="S788" t="s">
        <v>45</v>
      </c>
      <c r="T788" t="s">
        <v>84</v>
      </c>
      <c r="U788" t="s">
        <v>85</v>
      </c>
      <c r="V788" t="s">
        <v>69</v>
      </c>
      <c r="W788">
        <f>_xlfn.XLOOKUP(F788,tblEmployee[Employee_ID],tblEmployee[Age],"Not Found")</f>
        <v>33</v>
      </c>
      <c r="X788" t="str">
        <f>_xlfn.XLOOKUP(F788,tblEmployee[Employee_ID],tblEmployee[Gender],"Not Found")</f>
        <v>Male</v>
      </c>
      <c r="Y788">
        <f>_xlfn.XLOOKUP(F788,tblEmployee[Employee_ID],tblEmployee[Joining_Date],"")</f>
        <v>44910</v>
      </c>
      <c r="Z788">
        <f>_xlfn.XLOOKUP(H788,tblDepartment[Department],tblDepartment[Annual_Budget_INR],"")</f>
        <v>26000000</v>
      </c>
      <c r="AA788" t="str">
        <f>_xlfn.XLOOKUP(H788,tblDepartment[Department],tblDepartment[Monthly_Target],"")</f>
        <v>100% Payroll Accuracy</v>
      </c>
      <c r="AB788">
        <f>_xlfn.XLOOKUP(H788,tblDepartment[Department],tblDepartment[Average_Salary_INR],"")</f>
        <v>640000</v>
      </c>
      <c r="AC788" t="str">
        <f>_xlfn.XLOOKUP(H788,tblDepartment[Department],tblDepartment[Priority_Level],"")</f>
        <v>High</v>
      </c>
      <c r="AD788" t="str">
        <f>_xlfn.XLOOKUP(H788,tblDepartment[Department],tblDepartment[Key_KPI],"")</f>
        <v>Financial Compliance</v>
      </c>
      <c r="AE788">
        <f>_xlfn.XLOOKUP(tblMaster[[#This Row],[Shift]],tblShift[Shift_Name],tblShift[Login_Time],"")</f>
        <v>0.41666666666666669</v>
      </c>
      <c r="AF788">
        <f>_xlfn.XLOOKUP(tblMaster[[#This Row],[Shift]],tblShift[Shift_Name],tblShift[Logout_Time]," ")</f>
        <v>0.79166666666666663</v>
      </c>
      <c r="AG788">
        <f>_xlfn.XLOOKUP(tblMaster[[#This Row],[Shift]],tblShift[Shift_Name],tblShift[Standard_Working_Hours],"")</f>
        <v>8</v>
      </c>
      <c r="AH788" t="str">
        <f>_xlfn.XLOOKUP(tblMaster[[#This Row],[Attendance_Date]],tblHoliday[Holiday_Date],tblHoliday[Holiday_Name],"Working Day")</f>
        <v>Working Day</v>
      </c>
      <c r="AI788" t="str">
        <f>_xlfn.XLOOKUP(tblMaster[[#This Row],[Attendance_Date]],tblHoliday[Holiday_Date],tblHoliday[Holiday_Type],"Working Day ")</f>
        <v xml:space="preserve">Working Day </v>
      </c>
    </row>
    <row r="789" spans="1:35" hidden="1" x14ac:dyDescent="0.3">
      <c r="A789" t="s">
        <v>978</v>
      </c>
      <c r="B789" s="3">
        <v>45835</v>
      </c>
      <c r="C789" t="s">
        <v>23</v>
      </c>
      <c r="D789" t="s">
        <v>24</v>
      </c>
      <c r="E789" t="s">
        <v>119</v>
      </c>
      <c r="F789" t="s">
        <v>145</v>
      </c>
      <c r="G789" t="s">
        <v>146</v>
      </c>
      <c r="H789" t="s">
        <v>90</v>
      </c>
      <c r="I789" t="s">
        <v>91</v>
      </c>
      <c r="J789" t="s">
        <v>100</v>
      </c>
      <c r="K789" t="s">
        <v>75</v>
      </c>
      <c r="L789" s="2">
        <v>0.375</v>
      </c>
      <c r="M789" s="2">
        <v>0.75</v>
      </c>
      <c r="N789">
        <v>8</v>
      </c>
      <c r="O789">
        <v>0</v>
      </c>
      <c r="P789" t="s">
        <v>32</v>
      </c>
      <c r="R789">
        <v>3</v>
      </c>
      <c r="S789" t="s">
        <v>92</v>
      </c>
      <c r="T789" t="s">
        <v>93</v>
      </c>
      <c r="U789" t="s">
        <v>47</v>
      </c>
      <c r="W789">
        <f>_xlfn.XLOOKUP(F789,tblEmployee[Employee_ID],tblEmployee[Age],"Not Found")</f>
        <v>27</v>
      </c>
      <c r="X789" t="str">
        <f>_xlfn.XLOOKUP(F789,tblEmployee[Employee_ID],tblEmployee[Gender],"Not Found")</f>
        <v>Male</v>
      </c>
      <c r="Y789">
        <f>_xlfn.XLOOKUP(F789,tblEmployee[Employee_ID],tblEmployee[Joining_Date],"")</f>
        <v>44180</v>
      </c>
      <c r="Z789">
        <f>_xlfn.XLOOKUP(H789,tblDepartment[Department],tblDepartment[Annual_Budget_INR],"")</f>
        <v>18000000</v>
      </c>
      <c r="AA789" t="str">
        <f>_xlfn.XLOOKUP(H789,tblDepartment[Department],tblDepartment[Monthly_Target],"")</f>
        <v>&lt;30 Days Hiring Cycle</v>
      </c>
      <c r="AB789">
        <f>_xlfn.XLOOKUP(H789,tblDepartment[Department],tblDepartment[Average_Salary_INR],"")</f>
        <v>560000</v>
      </c>
      <c r="AC789" t="str">
        <f>_xlfn.XLOOKUP(H789,tblDepartment[Department],tblDepartment[Priority_Level],"")</f>
        <v>Medium</v>
      </c>
      <c r="AD789" t="str">
        <f>_xlfn.XLOOKUP(H789,tblDepartment[Department],tblDepartment[Key_KPI],"")</f>
        <v>Hiring &amp; Retention</v>
      </c>
      <c r="AE789">
        <f>_xlfn.XLOOKUP(tblMaster[[#This Row],[Shift]],tblShift[Shift_Name],tblShift[Login_Time],"")</f>
        <v>0.375</v>
      </c>
      <c r="AF789">
        <f>_xlfn.XLOOKUP(tblMaster[[#This Row],[Shift]],tblShift[Shift_Name],tblShift[Logout_Time]," ")</f>
        <v>0.75</v>
      </c>
      <c r="AG789">
        <f>_xlfn.XLOOKUP(tblMaster[[#This Row],[Shift]],tblShift[Shift_Name],tblShift[Standard_Working_Hours],"")</f>
        <v>8</v>
      </c>
      <c r="AH789" t="str">
        <f>_xlfn.XLOOKUP(tblMaster[[#This Row],[Attendance_Date]],tblHoliday[Holiday_Date],tblHoliday[Holiday_Name],"Working Day")</f>
        <v>Working Day</v>
      </c>
      <c r="AI789" t="str">
        <f>_xlfn.XLOOKUP(tblMaster[[#This Row],[Attendance_Date]],tblHoliday[Holiday_Date],tblHoliday[Holiday_Type],"Working Day ")</f>
        <v xml:space="preserve">Working Day </v>
      </c>
    </row>
    <row r="790" spans="1:35" hidden="1" x14ac:dyDescent="0.3">
      <c r="A790" t="s">
        <v>979</v>
      </c>
      <c r="B790" s="1">
        <v>45779</v>
      </c>
      <c r="C790" t="s">
        <v>57</v>
      </c>
      <c r="D790" t="s">
        <v>24</v>
      </c>
      <c r="E790" t="s">
        <v>119</v>
      </c>
      <c r="F790" t="s">
        <v>39</v>
      </c>
      <c r="G790" t="s">
        <v>40</v>
      </c>
      <c r="H790" t="s">
        <v>41</v>
      </c>
      <c r="I790" t="s">
        <v>42</v>
      </c>
      <c r="J790" t="s">
        <v>43</v>
      </c>
      <c r="K790" t="s">
        <v>81</v>
      </c>
      <c r="L790" s="2">
        <v>0.91666666666666663</v>
      </c>
      <c r="M790" s="2">
        <v>0.29166666666666669</v>
      </c>
      <c r="N790">
        <v>9.5</v>
      </c>
      <c r="O790">
        <v>1.5</v>
      </c>
      <c r="P790" t="s">
        <v>32</v>
      </c>
      <c r="R790">
        <v>3</v>
      </c>
      <c r="S790" t="s">
        <v>92</v>
      </c>
      <c r="T790" t="s">
        <v>46</v>
      </c>
      <c r="U790" t="s">
        <v>55</v>
      </c>
      <c r="V790" t="s">
        <v>60</v>
      </c>
      <c r="W790">
        <f>_xlfn.XLOOKUP(F790,tblEmployee[Employee_ID],tblEmployee[Age],"Not Found")</f>
        <v>26</v>
      </c>
      <c r="X790" t="str">
        <f>_xlfn.XLOOKUP(F790,tblEmployee[Employee_ID],tblEmployee[Gender],"Not Found")</f>
        <v>Male</v>
      </c>
      <c r="Y790">
        <f>_xlfn.XLOOKUP(F790,tblEmployee[Employee_ID],tblEmployee[Joining_Date],"")</f>
        <v>45061</v>
      </c>
      <c r="Z790">
        <f>_xlfn.XLOOKUP(H790,tblDepartment[Department],tblDepartment[Annual_Budget_INR],"")</f>
        <v>34000000</v>
      </c>
      <c r="AA790" t="str">
        <f>_xlfn.XLOOKUP(H790,tblDepartment[Department],tblDepartment[Monthly_Target],"")</f>
        <v>95% Process Efficiency</v>
      </c>
      <c r="AB790">
        <f>_xlfn.XLOOKUP(H790,tblDepartment[Department],tblDepartment[Average_Salary_INR],"")</f>
        <v>610000</v>
      </c>
      <c r="AC790" t="str">
        <f>_xlfn.XLOOKUP(H790,tblDepartment[Department],tblDepartment[Priority_Level],"")</f>
        <v>High</v>
      </c>
      <c r="AD790" t="str">
        <f>_xlfn.XLOOKUP(H790,tblDepartment[Department],tblDepartment[Key_KPI],"")</f>
        <v>Operational Efficiency</v>
      </c>
      <c r="AE790">
        <f>_xlfn.XLOOKUP(tblMaster[[#This Row],[Shift]],tblShift[Shift_Name],tblShift[Login_Time],"")</f>
        <v>0.91666666666666663</v>
      </c>
      <c r="AF790">
        <f>_xlfn.XLOOKUP(tblMaster[[#This Row],[Shift]],tblShift[Shift_Name],tblShift[Logout_Time]," ")</f>
        <v>0.29166666666666669</v>
      </c>
      <c r="AG790">
        <f>_xlfn.XLOOKUP(tblMaster[[#This Row],[Shift]],tblShift[Shift_Name],tblShift[Standard_Working_Hours],"")</f>
        <v>8</v>
      </c>
      <c r="AH790" t="str">
        <f>_xlfn.XLOOKUP(tblMaster[[#This Row],[Attendance_Date]],tblHoliday[Holiday_Date],tblHoliday[Holiday_Name],"Working Day")</f>
        <v>Working Day</v>
      </c>
      <c r="AI790" t="str">
        <f>_xlfn.XLOOKUP(tblMaster[[#This Row],[Attendance_Date]],tblHoliday[Holiday_Date],tblHoliday[Holiday_Type],"Working Day ")</f>
        <v xml:space="preserve">Working Day </v>
      </c>
    </row>
    <row r="791" spans="1:35" x14ac:dyDescent="0.3">
      <c r="A791" t="s">
        <v>980</v>
      </c>
      <c r="B791" s="3">
        <v>45685</v>
      </c>
      <c r="C791" t="s">
        <v>49</v>
      </c>
      <c r="D791" t="s">
        <v>50</v>
      </c>
      <c r="E791" t="s">
        <v>87</v>
      </c>
      <c r="F791" t="s">
        <v>96</v>
      </c>
      <c r="G791" t="s">
        <v>97</v>
      </c>
      <c r="H791" t="s">
        <v>98</v>
      </c>
      <c r="I791" t="s">
        <v>99</v>
      </c>
      <c r="J791" t="s">
        <v>100</v>
      </c>
      <c r="K791" t="s">
        <v>31</v>
      </c>
      <c r="M791" s="2">
        <v>0.75</v>
      </c>
      <c r="N791">
        <v>8</v>
      </c>
      <c r="O791">
        <v>0</v>
      </c>
      <c r="P791" t="s">
        <v>32</v>
      </c>
      <c r="R791">
        <v>4</v>
      </c>
      <c r="S791" t="s">
        <v>67</v>
      </c>
      <c r="T791" t="s">
        <v>101</v>
      </c>
      <c r="U791" t="str">
        <f>_xlfn.XLOOKUP(tblMaster[[#This Row],[Employee_ID]],tblEmployee[Employee_ID],tblEmployee[Work_Mode]," ")</f>
        <v>Office</v>
      </c>
      <c r="V791" t="s">
        <v>60</v>
      </c>
      <c r="W791">
        <f>_xlfn.XLOOKUP(F791,tblEmployee[Employee_ID],tblEmployee[Age],"Not Found")</f>
        <v>34</v>
      </c>
      <c r="X791" t="str">
        <f>_xlfn.XLOOKUP(F791,tblEmployee[Employee_ID],tblEmployee[Gender],"Not Found")</f>
        <v>Female</v>
      </c>
      <c r="Y791">
        <f>_xlfn.XLOOKUP(F791,tblEmployee[Employee_ID],tblEmployee[Joining_Date],"")</f>
        <v>45306</v>
      </c>
      <c r="Z791">
        <f>_xlfn.XLOOKUP(H791,tblDepartment[Department],tblDepartment[Annual_Budget_INR],"")</f>
        <v>22000000</v>
      </c>
      <c r="AA791" t="str">
        <f>_xlfn.XLOOKUP(H791,tblDepartment[Department],tblDepartment[Monthly_Target],"")</f>
        <v>2500 Qualified Leads</v>
      </c>
      <c r="AB791">
        <f>_xlfn.XLOOKUP(H791,tblDepartment[Department],tblDepartment[Average_Salary_INR],"")</f>
        <v>590000</v>
      </c>
      <c r="AC791" t="str">
        <f>_xlfn.XLOOKUP(H791,tblDepartment[Department],tblDepartment[Priority_Level],"")</f>
        <v>Medium</v>
      </c>
      <c r="AD791" t="str">
        <f>_xlfn.XLOOKUP(H791,tblDepartment[Department],tblDepartment[Key_KPI],"")</f>
        <v>Lead Generation</v>
      </c>
      <c r="AE791">
        <f>_xlfn.XLOOKUP(tblMaster[[#This Row],[Shift]],tblShift[Shift_Name],tblShift[Login_Time],"")</f>
        <v>0.25</v>
      </c>
      <c r="AF791">
        <f>_xlfn.XLOOKUP(tblMaster[[#This Row],[Shift]],tblShift[Shift_Name],tblShift[Logout_Time]," ")</f>
        <v>0.625</v>
      </c>
      <c r="AG791">
        <f>_xlfn.XLOOKUP(tblMaster[[#This Row],[Shift]],tblShift[Shift_Name],tblShift[Standard_Working_Hours],"")</f>
        <v>8</v>
      </c>
      <c r="AH791" t="str">
        <f>_xlfn.XLOOKUP(tblMaster[[#This Row],[Attendance_Date]],tblHoliday[Holiday_Date],tblHoliday[Holiday_Name],"Working Day")</f>
        <v>Working Day</v>
      </c>
      <c r="AI791" t="str">
        <f>_xlfn.XLOOKUP(tblMaster[[#This Row],[Attendance_Date]],tblHoliday[Holiday_Date],tblHoliday[Holiday_Type],"Working Day ")</f>
        <v xml:space="preserve">Working Day </v>
      </c>
    </row>
    <row r="792" spans="1:35" hidden="1" x14ac:dyDescent="0.3">
      <c r="A792" t="s">
        <v>981</v>
      </c>
      <c r="B792" s="3">
        <v>45739</v>
      </c>
      <c r="C792" t="s">
        <v>71</v>
      </c>
      <c r="D792" t="s">
        <v>50</v>
      </c>
      <c r="E792" t="s">
        <v>103</v>
      </c>
      <c r="F792" t="s">
        <v>77</v>
      </c>
      <c r="G792" t="s">
        <v>78</v>
      </c>
      <c r="H792" t="s">
        <v>79</v>
      </c>
      <c r="I792" t="s">
        <v>80</v>
      </c>
      <c r="J792" t="s">
        <v>30</v>
      </c>
      <c r="K792" t="s">
        <v>81</v>
      </c>
      <c r="L792" s="2">
        <v>0.91666666666666663</v>
      </c>
      <c r="M792" s="2">
        <v>0.29166666666666669</v>
      </c>
      <c r="N792">
        <v>9.5</v>
      </c>
      <c r="O792">
        <v>1.5</v>
      </c>
      <c r="P792" t="s">
        <v>32</v>
      </c>
      <c r="R792">
        <v>4</v>
      </c>
      <c r="S792" t="s">
        <v>45</v>
      </c>
      <c r="T792" t="s">
        <v>84</v>
      </c>
      <c r="U792" t="s">
        <v>55</v>
      </c>
      <c r="V792" t="s">
        <v>69</v>
      </c>
      <c r="W792">
        <f>_xlfn.XLOOKUP(F792,tblEmployee[Employee_ID],tblEmployee[Age],"Not Found")</f>
        <v>26</v>
      </c>
      <c r="X792" t="str">
        <f>_xlfn.XLOOKUP(F792,tblEmployee[Employee_ID],tblEmployee[Gender],"Not Found")</f>
        <v>Female</v>
      </c>
      <c r="Y792">
        <f>_xlfn.XLOOKUP(F792,tblEmployee[Employee_ID],tblEmployee[Joining_Date],"")</f>
        <v>44696</v>
      </c>
      <c r="Z792">
        <f>_xlfn.XLOOKUP(H792,tblDepartment[Department],tblDepartment[Annual_Budget_INR],"")</f>
        <v>26000000</v>
      </c>
      <c r="AA792" t="str">
        <f>_xlfn.XLOOKUP(H792,tblDepartment[Department],tblDepartment[Monthly_Target],"")</f>
        <v>100% Payroll Accuracy</v>
      </c>
      <c r="AB792">
        <f>_xlfn.XLOOKUP(H792,tblDepartment[Department],tblDepartment[Average_Salary_INR],"")</f>
        <v>640000</v>
      </c>
      <c r="AC792" t="str">
        <f>_xlfn.XLOOKUP(H792,tblDepartment[Department],tblDepartment[Priority_Level],"")</f>
        <v>High</v>
      </c>
      <c r="AD792" t="str">
        <f>_xlfn.XLOOKUP(H792,tblDepartment[Department],tblDepartment[Key_KPI],"")</f>
        <v>Financial Compliance</v>
      </c>
      <c r="AE792">
        <f>_xlfn.XLOOKUP(tblMaster[[#This Row],[Shift]],tblShift[Shift_Name],tblShift[Login_Time],"")</f>
        <v>0.91666666666666663</v>
      </c>
      <c r="AF792">
        <f>_xlfn.XLOOKUP(tblMaster[[#This Row],[Shift]],tblShift[Shift_Name],tblShift[Logout_Time]," ")</f>
        <v>0.29166666666666669</v>
      </c>
      <c r="AG792">
        <f>_xlfn.XLOOKUP(tblMaster[[#This Row],[Shift]],tblShift[Shift_Name],tblShift[Standard_Working_Hours],"")</f>
        <v>8</v>
      </c>
      <c r="AH792" t="str">
        <f>_xlfn.XLOOKUP(tblMaster[[#This Row],[Attendance_Date]],tblHoliday[Holiday_Date],tblHoliday[Holiday_Name],"Working Day")</f>
        <v>Working Day</v>
      </c>
      <c r="AI792" t="str">
        <f>_xlfn.XLOOKUP(tblMaster[[#This Row],[Attendance_Date]],tblHoliday[Holiday_Date],tblHoliday[Holiday_Type],"Working Day ")</f>
        <v xml:space="preserve">Working Day </v>
      </c>
    </row>
    <row r="793" spans="1:35" x14ac:dyDescent="0.3">
      <c r="A793" t="s">
        <v>982</v>
      </c>
      <c r="B793" s="3">
        <v>45776</v>
      </c>
      <c r="C793" t="s">
        <v>37</v>
      </c>
      <c r="D793" t="s">
        <v>24</v>
      </c>
      <c r="E793" t="s">
        <v>87</v>
      </c>
      <c r="F793" t="s">
        <v>243</v>
      </c>
      <c r="G793" t="s">
        <v>244</v>
      </c>
      <c r="H793" t="s">
        <v>90</v>
      </c>
      <c r="I793" t="s">
        <v>91</v>
      </c>
      <c r="J793" t="s">
        <v>30</v>
      </c>
      <c r="K793" t="s">
        <v>54</v>
      </c>
      <c r="L793" s="2">
        <v>0.375</v>
      </c>
      <c r="M793" s="2">
        <v>0.75</v>
      </c>
      <c r="N793">
        <v>8</v>
      </c>
      <c r="O793">
        <v>0</v>
      </c>
      <c r="P793" t="s">
        <v>32</v>
      </c>
      <c r="R793">
        <v>4</v>
      </c>
      <c r="S793" t="s">
        <v>33</v>
      </c>
      <c r="T793" t="s">
        <v>93</v>
      </c>
      <c r="U793" t="str">
        <f>_xlfn.XLOOKUP(tblMaster[[#This Row],[Employee_ID]],tblEmployee[Employee_ID],tblEmployee[Work_Mode]," ")</f>
        <v>Remote</v>
      </c>
      <c r="W793">
        <f>_xlfn.XLOOKUP(F793,tblEmployee[Employee_ID],tblEmployee[Age],"Not Found")</f>
        <v>30</v>
      </c>
      <c r="X793" t="str">
        <f>_xlfn.XLOOKUP(F793,tblEmployee[Employee_ID],tblEmployee[Gender],"Not Found")</f>
        <v>Female</v>
      </c>
      <c r="Y793">
        <f>_xlfn.XLOOKUP(F793,tblEmployee[Employee_ID],tblEmployee[Joining_Date],"")</f>
        <v>44089</v>
      </c>
      <c r="Z793">
        <f>_xlfn.XLOOKUP(H793,tblDepartment[Department],tblDepartment[Annual_Budget_INR],"")</f>
        <v>18000000</v>
      </c>
      <c r="AA793" t="str">
        <f>_xlfn.XLOOKUP(H793,tblDepartment[Department],tblDepartment[Monthly_Target],"")</f>
        <v>&lt;30 Days Hiring Cycle</v>
      </c>
      <c r="AB793">
        <f>_xlfn.XLOOKUP(H793,tblDepartment[Department],tblDepartment[Average_Salary_INR],"")</f>
        <v>560000</v>
      </c>
      <c r="AC793" t="str">
        <f>_xlfn.XLOOKUP(H793,tblDepartment[Department],tblDepartment[Priority_Level],"")</f>
        <v>Medium</v>
      </c>
      <c r="AD793" t="str">
        <f>_xlfn.XLOOKUP(H793,tblDepartment[Department],tblDepartment[Key_KPI],"")</f>
        <v>Hiring &amp; Retention</v>
      </c>
      <c r="AE793">
        <f>_xlfn.XLOOKUP(tblMaster[[#This Row],[Shift]],tblShift[Shift_Name],tblShift[Login_Time],"")</f>
        <v>0.58333333333333337</v>
      </c>
      <c r="AF793">
        <f>_xlfn.XLOOKUP(tblMaster[[#This Row],[Shift]],tblShift[Shift_Name],tblShift[Logout_Time]," ")</f>
        <v>0.95833333333333337</v>
      </c>
      <c r="AG793">
        <f>_xlfn.XLOOKUP(tblMaster[[#This Row],[Shift]],tblShift[Shift_Name],tblShift[Standard_Working_Hours],"")</f>
        <v>8</v>
      </c>
      <c r="AH793" t="str">
        <f>_xlfn.XLOOKUP(tblMaster[[#This Row],[Attendance_Date]],tblHoliday[Holiday_Date],tblHoliday[Holiday_Name],"Working Day")</f>
        <v>Working Day</v>
      </c>
      <c r="AI793" t="str">
        <f>_xlfn.XLOOKUP(tblMaster[[#This Row],[Attendance_Date]],tblHoliday[Holiday_Date],tblHoliday[Holiday_Type],"Working Day ")</f>
        <v xml:space="preserve">Working Day </v>
      </c>
    </row>
    <row r="794" spans="1:35" hidden="1" x14ac:dyDescent="0.3">
      <c r="A794" t="s">
        <v>983</v>
      </c>
      <c r="B794" s="1">
        <v>45758</v>
      </c>
      <c r="C794" t="s">
        <v>37</v>
      </c>
      <c r="D794" t="s">
        <v>24</v>
      </c>
      <c r="E794" t="s">
        <v>119</v>
      </c>
      <c r="F794" t="s">
        <v>185</v>
      </c>
      <c r="G794" t="s">
        <v>186</v>
      </c>
      <c r="H794" t="s">
        <v>79</v>
      </c>
      <c r="I794" t="s">
        <v>80</v>
      </c>
      <c r="J794" t="s">
        <v>66</v>
      </c>
      <c r="K794" t="s">
        <v>31</v>
      </c>
      <c r="L794" s="2">
        <v>0.375</v>
      </c>
      <c r="M794" s="2">
        <v>0.75</v>
      </c>
      <c r="N794">
        <v>8</v>
      </c>
      <c r="O794">
        <v>0</v>
      </c>
      <c r="P794" t="s">
        <v>32</v>
      </c>
      <c r="R794">
        <v>5</v>
      </c>
      <c r="S794" t="s">
        <v>33</v>
      </c>
      <c r="T794" t="s">
        <v>84</v>
      </c>
      <c r="U794" t="s">
        <v>47</v>
      </c>
      <c r="V794" t="s">
        <v>35</v>
      </c>
      <c r="W794">
        <f>_xlfn.XLOOKUP(F794,tblEmployee[Employee_ID],tblEmployee[Age],"Not Found")</f>
        <v>33</v>
      </c>
      <c r="X794" t="str">
        <f>_xlfn.XLOOKUP(F794,tblEmployee[Employee_ID],tblEmployee[Gender],"Not Found")</f>
        <v>Male</v>
      </c>
      <c r="Y794">
        <f>_xlfn.XLOOKUP(F794,tblEmployee[Employee_ID],tblEmployee[Joining_Date],"")</f>
        <v>44910</v>
      </c>
      <c r="Z794">
        <f>_xlfn.XLOOKUP(H794,tblDepartment[Department],tblDepartment[Annual_Budget_INR],"")</f>
        <v>26000000</v>
      </c>
      <c r="AA794" t="str">
        <f>_xlfn.XLOOKUP(H794,tblDepartment[Department],tblDepartment[Monthly_Target],"")</f>
        <v>100% Payroll Accuracy</v>
      </c>
      <c r="AB794">
        <f>_xlfn.XLOOKUP(H794,tblDepartment[Department],tblDepartment[Average_Salary_INR],"")</f>
        <v>640000</v>
      </c>
      <c r="AC794" t="str">
        <f>_xlfn.XLOOKUP(H794,tblDepartment[Department],tblDepartment[Priority_Level],"")</f>
        <v>High</v>
      </c>
      <c r="AD794" t="str">
        <f>_xlfn.XLOOKUP(H794,tblDepartment[Department],tblDepartment[Key_KPI],"")</f>
        <v>Financial Compliance</v>
      </c>
      <c r="AE794">
        <f>_xlfn.XLOOKUP(tblMaster[[#This Row],[Shift]],tblShift[Shift_Name],tblShift[Login_Time],"")</f>
        <v>0.25</v>
      </c>
      <c r="AF794">
        <f>_xlfn.XLOOKUP(tblMaster[[#This Row],[Shift]],tblShift[Shift_Name],tblShift[Logout_Time]," ")</f>
        <v>0.625</v>
      </c>
      <c r="AG794">
        <f>_xlfn.XLOOKUP(tblMaster[[#This Row],[Shift]],tblShift[Shift_Name],tblShift[Standard_Working_Hours],"")</f>
        <v>8</v>
      </c>
      <c r="AH794" t="str">
        <f>_xlfn.XLOOKUP(tblMaster[[#This Row],[Attendance_Date]],tblHoliday[Holiday_Date],tblHoliday[Holiday_Name],"Working Day")</f>
        <v>Working Day</v>
      </c>
      <c r="AI794" t="str">
        <f>_xlfn.XLOOKUP(tblMaster[[#This Row],[Attendance_Date]],tblHoliday[Holiday_Date],tblHoliday[Holiday_Type],"Working Day ")</f>
        <v xml:space="preserve">Working Day </v>
      </c>
    </row>
    <row r="795" spans="1:35" hidden="1" x14ac:dyDescent="0.3">
      <c r="A795" t="s">
        <v>984</v>
      </c>
      <c r="B795" s="1">
        <v>45727</v>
      </c>
      <c r="C795" t="s">
        <v>71</v>
      </c>
      <c r="D795" t="s">
        <v>50</v>
      </c>
      <c r="E795" t="s">
        <v>87</v>
      </c>
      <c r="F795" t="s">
        <v>163</v>
      </c>
      <c r="G795" t="s">
        <v>164</v>
      </c>
      <c r="H795" t="s">
        <v>112</v>
      </c>
      <c r="I795" t="s">
        <v>113</v>
      </c>
      <c r="J795" t="s">
        <v>100</v>
      </c>
      <c r="K795" t="s">
        <v>31</v>
      </c>
      <c r="L795" s="2">
        <v>0.375</v>
      </c>
      <c r="M795" s="2">
        <v>0.75</v>
      </c>
      <c r="N795">
        <v>8</v>
      </c>
      <c r="O795">
        <v>0</v>
      </c>
      <c r="P795" t="s">
        <v>32</v>
      </c>
      <c r="R795">
        <v>3</v>
      </c>
      <c r="S795" t="s">
        <v>67</v>
      </c>
      <c r="T795" t="s">
        <v>114</v>
      </c>
      <c r="U795" t="s">
        <v>55</v>
      </c>
      <c r="V795" t="s">
        <v>35</v>
      </c>
      <c r="W795">
        <f>_xlfn.XLOOKUP(F795,tblEmployee[Employee_ID],tblEmployee[Age],"Not Found")</f>
        <v>25</v>
      </c>
      <c r="X795" t="str">
        <f>_xlfn.XLOOKUP(F795,tblEmployee[Employee_ID],tblEmployee[Gender],"Not Found")</f>
        <v>Male</v>
      </c>
      <c r="Y795">
        <f>_xlfn.XLOOKUP(F795,tblEmployee[Employee_ID],tblEmployee[Joining_Date],"")</f>
        <v>44301</v>
      </c>
      <c r="Z795">
        <f>_xlfn.XLOOKUP(H795,tblDepartment[Department],tblDepartment[Annual_Budget_INR],"")</f>
        <v>42000000</v>
      </c>
      <c r="AA795" t="str">
        <f>_xlfn.XLOOKUP(H795,tblDepartment[Department],tblDepartment[Monthly_Target],"")</f>
        <v>₹2.5 Cr Monthly Sales</v>
      </c>
      <c r="AB795">
        <f>_xlfn.XLOOKUP(H795,tblDepartment[Department],tblDepartment[Average_Salary_INR],"")</f>
        <v>680000</v>
      </c>
      <c r="AC795" t="str">
        <f>_xlfn.XLOOKUP(H795,tblDepartment[Department],tblDepartment[Priority_Level],"")</f>
        <v>High</v>
      </c>
      <c r="AD795" t="str">
        <f>_xlfn.XLOOKUP(H795,tblDepartment[Department],tblDepartment[Key_KPI],"")</f>
        <v>Revenue Achievement</v>
      </c>
      <c r="AE795">
        <f>_xlfn.XLOOKUP(tblMaster[[#This Row],[Shift]],tblShift[Shift_Name],tblShift[Login_Time],"")</f>
        <v>0.25</v>
      </c>
      <c r="AF795">
        <f>_xlfn.XLOOKUP(tblMaster[[#This Row],[Shift]],tblShift[Shift_Name],tblShift[Logout_Time]," ")</f>
        <v>0.625</v>
      </c>
      <c r="AG795">
        <f>_xlfn.XLOOKUP(tblMaster[[#This Row],[Shift]],tblShift[Shift_Name],tblShift[Standard_Working_Hours],"")</f>
        <v>8</v>
      </c>
      <c r="AH795" t="str">
        <f>_xlfn.XLOOKUP(tblMaster[[#This Row],[Attendance_Date]],tblHoliday[Holiday_Date],tblHoliday[Holiday_Name],"Working Day")</f>
        <v>Working Day</v>
      </c>
      <c r="AI795" t="str">
        <f>_xlfn.XLOOKUP(tblMaster[[#This Row],[Attendance_Date]],tblHoliday[Holiday_Date],tblHoliday[Holiday_Type],"Working Day ")</f>
        <v xml:space="preserve">Working Day </v>
      </c>
    </row>
    <row r="796" spans="1:35" x14ac:dyDescent="0.3">
      <c r="A796" t="s">
        <v>985</v>
      </c>
      <c r="B796" s="1">
        <v>45777</v>
      </c>
      <c r="C796" t="s">
        <v>37</v>
      </c>
      <c r="D796" t="s">
        <v>24</v>
      </c>
      <c r="E796" t="s">
        <v>51</v>
      </c>
      <c r="F796" t="s">
        <v>231</v>
      </c>
      <c r="G796" t="s">
        <v>232</v>
      </c>
      <c r="H796" t="s">
        <v>98</v>
      </c>
      <c r="I796" t="s">
        <v>99</v>
      </c>
      <c r="J796" t="s">
        <v>74</v>
      </c>
      <c r="K796" t="s">
        <v>31</v>
      </c>
      <c r="P796" t="s">
        <v>135</v>
      </c>
      <c r="S796" t="s">
        <v>67</v>
      </c>
      <c r="T796" t="s">
        <v>101</v>
      </c>
      <c r="U796" t="str">
        <f>_xlfn.XLOOKUP(tblMaster[[#This Row],[Employee_ID]],tblEmployee[Employee_ID],tblEmployee[Work_Mode]," ")</f>
        <v>Office</v>
      </c>
      <c r="V796" t="s">
        <v>60</v>
      </c>
      <c r="W796">
        <f>_xlfn.XLOOKUP(F796,tblEmployee[Employee_ID],tblEmployee[Age],"Not Found")</f>
        <v>31</v>
      </c>
      <c r="X796" t="str">
        <f>_xlfn.XLOOKUP(F796,tblEmployee[Employee_ID],tblEmployee[Gender],"Not Found")</f>
        <v>Male</v>
      </c>
      <c r="Y796">
        <f>_xlfn.XLOOKUP(F796,tblEmployee[Employee_ID],tblEmployee[Joining_Date],"")</f>
        <v>45397</v>
      </c>
      <c r="Z796">
        <f>_xlfn.XLOOKUP(H796,tblDepartment[Department],tblDepartment[Annual_Budget_INR],"")</f>
        <v>22000000</v>
      </c>
      <c r="AA796" t="str">
        <f>_xlfn.XLOOKUP(H796,tblDepartment[Department],tblDepartment[Monthly_Target],"")</f>
        <v>2500 Qualified Leads</v>
      </c>
      <c r="AB796">
        <f>_xlfn.XLOOKUP(H796,tblDepartment[Department],tblDepartment[Average_Salary_INR],"")</f>
        <v>590000</v>
      </c>
      <c r="AC796" t="str">
        <f>_xlfn.XLOOKUP(H796,tblDepartment[Department],tblDepartment[Priority_Level],"")</f>
        <v>Medium</v>
      </c>
      <c r="AD796" t="str">
        <f>_xlfn.XLOOKUP(H796,tblDepartment[Department],tblDepartment[Key_KPI],"")</f>
        <v>Lead Generation</v>
      </c>
      <c r="AE796">
        <f>_xlfn.XLOOKUP(tblMaster[[#This Row],[Shift]],tblShift[Shift_Name],tblShift[Login_Time],"")</f>
        <v>0.25</v>
      </c>
      <c r="AF796">
        <f>_xlfn.XLOOKUP(tblMaster[[#This Row],[Shift]],tblShift[Shift_Name],tblShift[Logout_Time]," ")</f>
        <v>0.625</v>
      </c>
      <c r="AG796">
        <f>_xlfn.XLOOKUP(tblMaster[[#This Row],[Shift]],tblShift[Shift_Name],tblShift[Standard_Working_Hours],"")</f>
        <v>8</v>
      </c>
      <c r="AH796" t="str">
        <f>_xlfn.XLOOKUP(tblMaster[[#This Row],[Attendance_Date]],tblHoliday[Holiday_Date],tblHoliday[Holiday_Name],"Working Day")</f>
        <v>Working Day</v>
      </c>
      <c r="AI796" t="str">
        <f>_xlfn.XLOOKUP(tblMaster[[#This Row],[Attendance_Date]],tblHoliday[Holiday_Date],tblHoliday[Holiday_Type],"Working Day ")</f>
        <v xml:space="preserve">Working Day </v>
      </c>
    </row>
    <row r="797" spans="1:35" hidden="1" x14ac:dyDescent="0.3">
      <c r="A797" t="s">
        <v>986</v>
      </c>
      <c r="B797" s="3">
        <v>45733</v>
      </c>
      <c r="C797" t="s">
        <v>71</v>
      </c>
      <c r="D797" t="s">
        <v>50</v>
      </c>
      <c r="E797" t="s">
        <v>109</v>
      </c>
      <c r="F797" t="s">
        <v>275</v>
      </c>
      <c r="G797" t="s">
        <v>276</v>
      </c>
      <c r="H797" t="s">
        <v>64</v>
      </c>
      <c r="I797" t="s">
        <v>65</v>
      </c>
      <c r="J797" t="s">
        <v>100</v>
      </c>
      <c r="K797" t="s">
        <v>81</v>
      </c>
      <c r="L797" s="2">
        <v>0.91666666666666663</v>
      </c>
      <c r="M797" s="2">
        <v>0.29166666666666669</v>
      </c>
      <c r="N797">
        <v>10</v>
      </c>
      <c r="O797">
        <v>2</v>
      </c>
      <c r="P797" t="s">
        <v>32</v>
      </c>
      <c r="R797">
        <v>5</v>
      </c>
      <c r="S797" t="s">
        <v>33</v>
      </c>
      <c r="T797" t="s">
        <v>68</v>
      </c>
      <c r="U797" t="s">
        <v>85</v>
      </c>
      <c r="W797">
        <f>_xlfn.XLOOKUP(F797,tblEmployee[Employee_ID],tblEmployee[Age],"Not Found")</f>
        <v>29</v>
      </c>
      <c r="X797" t="str">
        <f>_xlfn.XLOOKUP(F797,tblEmployee[Employee_ID],tblEmployee[Gender],"Not Found")</f>
        <v>Male</v>
      </c>
      <c r="Y797">
        <f>_xlfn.XLOOKUP(F797,tblEmployee[Employee_ID],tblEmployee[Joining_Date],"")</f>
        <v>43692</v>
      </c>
      <c r="Z797">
        <f>_xlfn.XLOOKUP(H797,tblDepartment[Department],tblDepartment[Annual_Budget_INR],"")</f>
        <v>85000000</v>
      </c>
      <c r="AA797" t="str">
        <f>_xlfn.XLOOKUP(H797,tblDepartment[Department],tblDepartment[Monthly_Target],"")</f>
        <v>99.5% System Uptime</v>
      </c>
      <c r="AB797">
        <f>_xlfn.XLOOKUP(H797,tblDepartment[Department],tblDepartment[Average_Salary_INR],"")</f>
        <v>720000</v>
      </c>
      <c r="AC797" t="str">
        <f>_xlfn.XLOOKUP(H797,tblDepartment[Department],tblDepartment[Priority_Level],"")</f>
        <v>High</v>
      </c>
      <c r="AD797" t="str">
        <f>_xlfn.XLOOKUP(H797,tblDepartment[Department],tblDepartment[Key_KPI],"")</f>
        <v>Project Delivery</v>
      </c>
      <c r="AE797">
        <f>_xlfn.XLOOKUP(tblMaster[[#This Row],[Shift]],tblShift[Shift_Name],tblShift[Login_Time],"")</f>
        <v>0.91666666666666663</v>
      </c>
      <c r="AF797">
        <f>_xlfn.XLOOKUP(tblMaster[[#This Row],[Shift]],tblShift[Shift_Name],tblShift[Logout_Time]," ")</f>
        <v>0.29166666666666669</v>
      </c>
      <c r="AG797">
        <f>_xlfn.XLOOKUP(tblMaster[[#This Row],[Shift]],tblShift[Shift_Name],tblShift[Standard_Working_Hours],"")</f>
        <v>8</v>
      </c>
      <c r="AH797" t="str">
        <f>_xlfn.XLOOKUP(tblMaster[[#This Row],[Attendance_Date]],tblHoliday[Holiday_Date],tblHoliday[Holiday_Name],"Working Day")</f>
        <v>Working Day</v>
      </c>
      <c r="AI797" t="str">
        <f>_xlfn.XLOOKUP(tblMaster[[#This Row],[Attendance_Date]],tblHoliday[Holiday_Date],tblHoliday[Holiday_Type],"Working Day ")</f>
        <v xml:space="preserve">Working Day </v>
      </c>
    </row>
    <row r="798" spans="1:35" hidden="1" x14ac:dyDescent="0.3">
      <c r="A798" t="s">
        <v>987</v>
      </c>
      <c r="B798" s="1">
        <v>45766</v>
      </c>
      <c r="C798" t="s">
        <v>37</v>
      </c>
      <c r="D798" t="s">
        <v>24</v>
      </c>
      <c r="E798" t="s">
        <v>38</v>
      </c>
      <c r="F798" t="s">
        <v>258</v>
      </c>
      <c r="G798" t="s">
        <v>259</v>
      </c>
      <c r="H798" t="s">
        <v>314</v>
      </c>
      <c r="I798" t="s">
        <v>113</v>
      </c>
      <c r="J798" t="s">
        <v>74</v>
      </c>
      <c r="K798" t="s">
        <v>44</v>
      </c>
      <c r="L798" s="2">
        <v>0.3888888888888889</v>
      </c>
      <c r="M798" s="2">
        <v>0.75</v>
      </c>
      <c r="N798">
        <v>8</v>
      </c>
      <c r="O798">
        <v>0</v>
      </c>
      <c r="P798" t="s">
        <v>32</v>
      </c>
      <c r="R798">
        <v>5</v>
      </c>
      <c r="S798" t="s">
        <v>45</v>
      </c>
      <c r="T798" t="s">
        <v>114</v>
      </c>
      <c r="U798" t="s">
        <v>85</v>
      </c>
      <c r="V798" t="s">
        <v>60</v>
      </c>
      <c r="W798">
        <f>_xlfn.XLOOKUP(F798,tblEmployee[Employee_ID],tblEmployee[Age],"Not Found")</f>
        <v>39</v>
      </c>
      <c r="X798" t="str">
        <f>_xlfn.XLOOKUP(F798,tblEmployee[Employee_ID],tblEmployee[Gender],"Not Found")</f>
        <v>Male</v>
      </c>
      <c r="Y798">
        <f>_xlfn.XLOOKUP(F798,tblEmployee[Employee_ID],tblEmployee[Joining_Date],"")</f>
        <v>44362</v>
      </c>
      <c r="Z798">
        <f>_xlfn.XLOOKUP(H798,tblDepartment[Department],tblDepartment[Annual_Budget_INR],"")</f>
        <v>42000000</v>
      </c>
      <c r="AA798" t="str">
        <f>_xlfn.XLOOKUP(H798,tblDepartment[Department],tblDepartment[Monthly_Target],"")</f>
        <v>₹2.5 Cr Monthly Sales</v>
      </c>
      <c r="AB798">
        <f>_xlfn.XLOOKUP(H798,tblDepartment[Department],tblDepartment[Average_Salary_INR],"")</f>
        <v>680000</v>
      </c>
      <c r="AC798" t="str">
        <f>_xlfn.XLOOKUP(H798,tblDepartment[Department],tblDepartment[Priority_Level],"")</f>
        <v>High</v>
      </c>
      <c r="AD798" t="str">
        <f>_xlfn.XLOOKUP(H798,tblDepartment[Department],tblDepartment[Key_KPI],"")</f>
        <v>Revenue Achievement</v>
      </c>
      <c r="AE798">
        <f>_xlfn.XLOOKUP(tblMaster[[#This Row],[Shift]],tblShift[Shift_Name],tblShift[Login_Time],"")</f>
        <v>0.41666666666666669</v>
      </c>
      <c r="AF798">
        <f>_xlfn.XLOOKUP(tblMaster[[#This Row],[Shift]],tblShift[Shift_Name],tblShift[Logout_Time]," ")</f>
        <v>0.79166666666666663</v>
      </c>
      <c r="AG798">
        <f>_xlfn.XLOOKUP(tblMaster[[#This Row],[Shift]],tblShift[Shift_Name],tblShift[Standard_Working_Hours],"")</f>
        <v>8</v>
      </c>
      <c r="AH798" t="str">
        <f>_xlfn.XLOOKUP(tblMaster[[#This Row],[Attendance_Date]],tblHoliday[Holiday_Date],tblHoliday[Holiday_Name],"Working Day")</f>
        <v>Working Day</v>
      </c>
      <c r="AI798" t="str">
        <f>_xlfn.XLOOKUP(tblMaster[[#This Row],[Attendance_Date]],tblHoliday[Holiday_Date],tblHoliday[Holiday_Type],"Working Day ")</f>
        <v xml:space="preserve">Working Day </v>
      </c>
    </row>
    <row r="799" spans="1:35" hidden="1" x14ac:dyDescent="0.3">
      <c r="A799" t="s">
        <v>988</v>
      </c>
      <c r="B799" s="1">
        <v>45676</v>
      </c>
      <c r="C799" t="s">
        <v>49</v>
      </c>
      <c r="D799" t="s">
        <v>50</v>
      </c>
      <c r="E799" t="s">
        <v>103</v>
      </c>
      <c r="F799" t="s">
        <v>62</v>
      </c>
      <c r="G799" t="s">
        <v>63</v>
      </c>
      <c r="H799" t="s">
        <v>421</v>
      </c>
      <c r="I799" t="s">
        <v>65</v>
      </c>
      <c r="J799" t="s">
        <v>66</v>
      </c>
      <c r="K799" t="s">
        <v>81</v>
      </c>
      <c r="L799" s="2">
        <v>0.91666666666666663</v>
      </c>
      <c r="M799" s="2">
        <v>0.29166666666666669</v>
      </c>
      <c r="N799">
        <v>9.5</v>
      </c>
      <c r="O799">
        <v>1.5</v>
      </c>
      <c r="P799" t="s">
        <v>32</v>
      </c>
      <c r="R799">
        <v>3</v>
      </c>
      <c r="S799" t="s">
        <v>92</v>
      </c>
      <c r="T799" t="s">
        <v>68</v>
      </c>
      <c r="U799" t="s">
        <v>47</v>
      </c>
      <c r="V799" t="s">
        <v>35</v>
      </c>
      <c r="W799">
        <f>_xlfn.XLOOKUP(F799,tblEmployee[Employee_ID],tblEmployee[Age],"Not Found")</f>
        <v>23</v>
      </c>
      <c r="X799" t="str">
        <f>_xlfn.XLOOKUP(F799,tblEmployee[Employee_ID],tblEmployee[Gender],"Not Found")</f>
        <v>Male</v>
      </c>
      <c r="Y799">
        <f>_xlfn.XLOOKUP(F799,tblEmployee[Employee_ID],tblEmployee[Joining_Date],"")</f>
        <v>43511</v>
      </c>
      <c r="Z799">
        <f>_xlfn.XLOOKUP(H799,tblDepartment[Department],tblDepartment[Annual_Budget_INR],"")</f>
        <v>85000000</v>
      </c>
      <c r="AA799" t="str">
        <f>_xlfn.XLOOKUP(H799,tblDepartment[Department],tblDepartment[Monthly_Target],"")</f>
        <v>99.5% System Uptime</v>
      </c>
      <c r="AB799">
        <f>_xlfn.XLOOKUP(H799,tblDepartment[Department],tblDepartment[Average_Salary_INR],"")</f>
        <v>720000</v>
      </c>
      <c r="AC799" t="str">
        <f>_xlfn.XLOOKUP(H799,tblDepartment[Department],tblDepartment[Priority_Level],"")</f>
        <v>High</v>
      </c>
      <c r="AD799" t="str">
        <f>_xlfn.XLOOKUP(H799,tblDepartment[Department],tblDepartment[Key_KPI],"")</f>
        <v>Project Delivery</v>
      </c>
      <c r="AE799">
        <f>_xlfn.XLOOKUP(tblMaster[[#This Row],[Shift]],tblShift[Shift_Name],tblShift[Login_Time],"")</f>
        <v>0.91666666666666663</v>
      </c>
      <c r="AF799">
        <f>_xlfn.XLOOKUP(tblMaster[[#This Row],[Shift]],tblShift[Shift_Name],tblShift[Logout_Time]," ")</f>
        <v>0.29166666666666669</v>
      </c>
      <c r="AG799">
        <f>_xlfn.XLOOKUP(tblMaster[[#This Row],[Shift]],tblShift[Shift_Name],tblShift[Standard_Working_Hours],"")</f>
        <v>8</v>
      </c>
      <c r="AH799" t="str">
        <f>_xlfn.XLOOKUP(tblMaster[[#This Row],[Attendance_Date]],tblHoliday[Holiday_Date],tblHoliday[Holiday_Name],"Working Day")</f>
        <v>Working Day</v>
      </c>
      <c r="AI799" t="str">
        <f>_xlfn.XLOOKUP(tblMaster[[#This Row],[Attendance_Date]],tblHoliday[Holiday_Date],tblHoliday[Holiday_Type],"Working Day ")</f>
        <v xml:space="preserve">Working Day </v>
      </c>
    </row>
    <row r="800" spans="1:35" hidden="1" x14ac:dyDescent="0.3">
      <c r="A800" t="s">
        <v>989</v>
      </c>
      <c r="B800" s="1">
        <v>45698</v>
      </c>
      <c r="C800" t="s">
        <v>95</v>
      </c>
      <c r="D800" t="s">
        <v>50</v>
      </c>
      <c r="E800" t="s">
        <v>109</v>
      </c>
      <c r="F800" t="s">
        <v>77</v>
      </c>
      <c r="G800" t="s">
        <v>78</v>
      </c>
      <c r="H800" t="s">
        <v>79</v>
      </c>
      <c r="I800" t="s">
        <v>80</v>
      </c>
      <c r="J800" t="s">
        <v>30</v>
      </c>
      <c r="K800" t="s">
        <v>75</v>
      </c>
      <c r="L800" s="2">
        <v>0.375</v>
      </c>
      <c r="M800" s="2">
        <v>0.75</v>
      </c>
      <c r="N800">
        <v>8</v>
      </c>
      <c r="O800">
        <v>0</v>
      </c>
      <c r="P800" t="s">
        <v>32</v>
      </c>
      <c r="R800">
        <v>5</v>
      </c>
      <c r="S800" t="s">
        <v>92</v>
      </c>
      <c r="T800" t="s">
        <v>84</v>
      </c>
      <c r="U800" t="s">
        <v>85</v>
      </c>
      <c r="W800">
        <f>_xlfn.XLOOKUP(F800,tblEmployee[Employee_ID],tblEmployee[Age],"Not Found")</f>
        <v>26</v>
      </c>
      <c r="X800" t="str">
        <f>_xlfn.XLOOKUP(F800,tblEmployee[Employee_ID],tblEmployee[Gender],"Not Found")</f>
        <v>Female</v>
      </c>
      <c r="Y800">
        <f>_xlfn.XLOOKUP(F800,tblEmployee[Employee_ID],tblEmployee[Joining_Date],"")</f>
        <v>44696</v>
      </c>
      <c r="Z800">
        <f>_xlfn.XLOOKUP(H800,tblDepartment[Department],tblDepartment[Annual_Budget_INR],"")</f>
        <v>26000000</v>
      </c>
      <c r="AA800" t="str">
        <f>_xlfn.XLOOKUP(H800,tblDepartment[Department],tblDepartment[Monthly_Target],"")</f>
        <v>100% Payroll Accuracy</v>
      </c>
      <c r="AB800">
        <f>_xlfn.XLOOKUP(H800,tblDepartment[Department],tblDepartment[Average_Salary_INR],"")</f>
        <v>640000</v>
      </c>
      <c r="AC800" t="str">
        <f>_xlfn.XLOOKUP(H800,tblDepartment[Department],tblDepartment[Priority_Level],"")</f>
        <v>High</v>
      </c>
      <c r="AD800" t="str">
        <f>_xlfn.XLOOKUP(H800,tblDepartment[Department],tblDepartment[Key_KPI],"")</f>
        <v>Financial Compliance</v>
      </c>
      <c r="AE800">
        <f>_xlfn.XLOOKUP(tblMaster[[#This Row],[Shift]],tblShift[Shift_Name],tblShift[Login_Time],"")</f>
        <v>0.375</v>
      </c>
      <c r="AF800">
        <f>_xlfn.XLOOKUP(tblMaster[[#This Row],[Shift]],tblShift[Shift_Name],tblShift[Logout_Time]," ")</f>
        <v>0.75</v>
      </c>
      <c r="AG800">
        <f>_xlfn.XLOOKUP(tblMaster[[#This Row],[Shift]],tblShift[Shift_Name],tblShift[Standard_Working_Hours],"")</f>
        <v>8</v>
      </c>
      <c r="AH800" t="str">
        <f>_xlfn.XLOOKUP(tblMaster[[#This Row],[Attendance_Date]],tblHoliday[Holiday_Date],tblHoliday[Holiday_Name],"Working Day")</f>
        <v>Working Day</v>
      </c>
      <c r="AI800" t="str">
        <f>_xlfn.XLOOKUP(tblMaster[[#This Row],[Attendance_Date]],tblHoliday[Holiday_Date],tblHoliday[Holiday_Type],"Working Day ")</f>
        <v xml:space="preserve">Working Day </v>
      </c>
    </row>
    <row r="801" spans="1:35" hidden="1" x14ac:dyDescent="0.3">
      <c r="A801" t="s">
        <v>990</v>
      </c>
      <c r="B801" s="1">
        <v>45772</v>
      </c>
      <c r="C801" t="s">
        <v>37</v>
      </c>
      <c r="D801" t="s">
        <v>24</v>
      </c>
      <c r="E801" t="s">
        <v>119</v>
      </c>
      <c r="F801" t="s">
        <v>154</v>
      </c>
      <c r="G801" t="s">
        <v>155</v>
      </c>
      <c r="H801" t="s">
        <v>41</v>
      </c>
      <c r="I801" t="s">
        <v>42</v>
      </c>
      <c r="J801" t="s">
        <v>74</v>
      </c>
      <c r="K801" t="s">
        <v>81</v>
      </c>
      <c r="P801" t="s">
        <v>135</v>
      </c>
      <c r="S801" t="s">
        <v>45</v>
      </c>
      <c r="T801" t="s">
        <v>46</v>
      </c>
      <c r="U801" t="s">
        <v>47</v>
      </c>
      <c r="V801" t="s">
        <v>60</v>
      </c>
      <c r="W801">
        <f>_xlfn.XLOOKUP(F801,tblEmployee[Employee_ID],tblEmployee[Age],"Not Found")</f>
        <v>33</v>
      </c>
      <c r="X801" t="str">
        <f>_xlfn.XLOOKUP(F801,tblEmployee[Employee_ID],tblEmployee[Gender],"Not Found")</f>
        <v>Male</v>
      </c>
      <c r="Y801">
        <f>_xlfn.XLOOKUP(F801,tblEmployee[Employee_ID],tblEmployee[Joining_Date],"")</f>
        <v>45275</v>
      </c>
      <c r="Z801">
        <f>_xlfn.XLOOKUP(H801,tblDepartment[Department],tblDepartment[Annual_Budget_INR],"")</f>
        <v>34000000</v>
      </c>
      <c r="AA801" t="str">
        <f>_xlfn.XLOOKUP(H801,tblDepartment[Department],tblDepartment[Monthly_Target],"")</f>
        <v>95% Process Efficiency</v>
      </c>
      <c r="AB801">
        <f>_xlfn.XLOOKUP(H801,tblDepartment[Department],tblDepartment[Average_Salary_INR],"")</f>
        <v>610000</v>
      </c>
      <c r="AC801" t="str">
        <f>_xlfn.XLOOKUP(H801,tblDepartment[Department],tblDepartment[Priority_Level],"")</f>
        <v>High</v>
      </c>
      <c r="AD801" t="str">
        <f>_xlfn.XLOOKUP(H801,tblDepartment[Department],tblDepartment[Key_KPI],"")</f>
        <v>Operational Efficiency</v>
      </c>
      <c r="AE801">
        <f>_xlfn.XLOOKUP(tblMaster[[#This Row],[Shift]],tblShift[Shift_Name],tblShift[Login_Time],"")</f>
        <v>0.91666666666666663</v>
      </c>
      <c r="AF801">
        <f>_xlfn.XLOOKUP(tblMaster[[#This Row],[Shift]],tblShift[Shift_Name],tblShift[Logout_Time]," ")</f>
        <v>0.29166666666666669</v>
      </c>
      <c r="AG801">
        <f>_xlfn.XLOOKUP(tblMaster[[#This Row],[Shift]],tblShift[Shift_Name],tblShift[Standard_Working_Hours],"")</f>
        <v>8</v>
      </c>
      <c r="AH801" t="str">
        <f>_xlfn.XLOOKUP(tblMaster[[#This Row],[Attendance_Date]],tblHoliday[Holiday_Date],tblHoliday[Holiday_Name],"Working Day")</f>
        <v>Working Day</v>
      </c>
      <c r="AI801" t="str">
        <f>_xlfn.XLOOKUP(tblMaster[[#This Row],[Attendance_Date]],tblHoliday[Holiday_Date],tblHoliday[Holiday_Type],"Working Day ")</f>
        <v xml:space="preserve">Working Day </v>
      </c>
    </row>
    <row r="802" spans="1:35" x14ac:dyDescent="0.3">
      <c r="A802" t="s">
        <v>22</v>
      </c>
      <c r="B802" s="1">
        <v>45827</v>
      </c>
      <c r="C802" t="s">
        <v>23</v>
      </c>
      <c r="D802" t="s">
        <v>24</v>
      </c>
      <c r="E802" t="s">
        <v>25</v>
      </c>
      <c r="F802" t="s">
        <v>26</v>
      </c>
      <c r="G802" t="s">
        <v>27</v>
      </c>
      <c r="H802" t="s">
        <v>28</v>
      </c>
      <c r="I802" t="s">
        <v>29</v>
      </c>
      <c r="J802" t="s">
        <v>30</v>
      </c>
      <c r="K802" t="s">
        <v>31</v>
      </c>
      <c r="L802" s="2">
        <v>0.375</v>
      </c>
      <c r="M802" s="2">
        <v>0.75</v>
      </c>
      <c r="N802">
        <v>8</v>
      </c>
      <c r="O802">
        <v>0</v>
      </c>
      <c r="P802" t="s">
        <v>32</v>
      </c>
      <c r="R802">
        <v>4</v>
      </c>
      <c r="S802" t="s">
        <v>33</v>
      </c>
      <c r="T802" t="s">
        <v>34</v>
      </c>
      <c r="U802" t="str">
        <f>_xlfn.XLOOKUP(tblMaster[[#This Row],[Employee_ID]],tblEmployee[Employee_ID],tblEmployee[Work_Mode]," ")</f>
        <v>Remote</v>
      </c>
      <c r="V802" t="s">
        <v>35</v>
      </c>
      <c r="W802">
        <f>_xlfn.XLOOKUP(F802,tblEmployee[Employee_ID],tblEmployee[Age],"Not Found")</f>
        <v>36</v>
      </c>
      <c r="X802" t="str">
        <f>_xlfn.XLOOKUP(F802,tblEmployee[Employee_ID],tblEmployee[Gender],"Not Found")</f>
        <v>Female</v>
      </c>
      <c r="Y802">
        <f>_xlfn.XLOOKUP(F802,tblEmployee[Employee_ID],tblEmployee[Joining_Date],"")</f>
        <v>43174</v>
      </c>
      <c r="Z802">
        <f>_xlfn.XLOOKUP(H802,tblDepartment[Department],tblDepartment[Annual_Budget_INR],"")</f>
        <v>24000000</v>
      </c>
      <c r="AA802" t="str">
        <f>_xlfn.XLOOKUP(H802,tblDepartment[Department],tblDepartment[Monthly_Target],"")</f>
        <v>90% Customer Satisfaction</v>
      </c>
      <c r="AB802">
        <f>_xlfn.XLOOKUP(H802,tblDepartment[Department],tblDepartment[Average_Salary_INR],"")</f>
        <v>520000</v>
      </c>
      <c r="AC802" t="str">
        <f>_xlfn.XLOOKUP(H802,tblDepartment[Department],tblDepartment[Priority_Level],"")</f>
        <v>High</v>
      </c>
      <c r="AD802" t="str">
        <f>_xlfn.XLOOKUP(H802,tblDepartment[Department],tblDepartment[Key_KPI],"")</f>
        <v>Customer Satisfaction</v>
      </c>
      <c r="AE802">
        <f>_xlfn.XLOOKUP(tblMaster[[#This Row],[Shift]],tblShift[Shift_Name],tblShift[Login_Time],"")</f>
        <v>0.25</v>
      </c>
      <c r="AF802">
        <f>_xlfn.XLOOKUP(tblMaster[[#This Row],[Shift]],tblShift[Shift_Name],tblShift[Logout_Time]," ")</f>
        <v>0.625</v>
      </c>
      <c r="AG802">
        <f>_xlfn.XLOOKUP(tblMaster[[#This Row],[Shift]],tblShift[Shift_Name],tblShift[Standard_Working_Hours],"")</f>
        <v>8</v>
      </c>
      <c r="AH802" t="str">
        <f>_xlfn.XLOOKUP(tblMaster[[#This Row],[Attendance_Date]],tblHoliday[Holiday_Date],tblHoliday[Holiday_Name],"Working Day")</f>
        <v>Working Day</v>
      </c>
      <c r="AI802" t="str">
        <f>_xlfn.XLOOKUP(tblMaster[[#This Row],[Attendance_Date]],tblHoliday[Holiday_Date],tblHoliday[Holiday_Type],"Working Day ")</f>
        <v xml:space="preserve">Working Day </v>
      </c>
    </row>
    <row r="803" spans="1:35" hidden="1" x14ac:dyDescent="0.3">
      <c r="A803" t="s">
        <v>36</v>
      </c>
      <c r="B803" s="3">
        <v>45766</v>
      </c>
      <c r="C803" t="s">
        <v>37</v>
      </c>
      <c r="D803" t="s">
        <v>24</v>
      </c>
      <c r="E803" t="s">
        <v>38</v>
      </c>
      <c r="F803" t="s">
        <v>39</v>
      </c>
      <c r="G803" t="s">
        <v>40</v>
      </c>
      <c r="H803" t="s">
        <v>41</v>
      </c>
      <c r="I803" t="s">
        <v>42</v>
      </c>
      <c r="J803" t="s">
        <v>43</v>
      </c>
      <c r="K803" t="s">
        <v>44</v>
      </c>
      <c r="L803" s="2">
        <v>0.375</v>
      </c>
      <c r="M803" s="2">
        <v>0.75</v>
      </c>
      <c r="N803">
        <v>8</v>
      </c>
      <c r="O803">
        <v>0</v>
      </c>
      <c r="P803" t="s">
        <v>32</v>
      </c>
      <c r="R803">
        <v>5</v>
      </c>
      <c r="S803" t="s">
        <v>45</v>
      </c>
      <c r="T803" t="s">
        <v>46</v>
      </c>
      <c r="U803" t="s">
        <v>47</v>
      </c>
      <c r="W803">
        <f>_xlfn.XLOOKUP(F803,tblEmployee[Employee_ID],tblEmployee[Age],"Not Found")</f>
        <v>26</v>
      </c>
      <c r="X803" t="str">
        <f>_xlfn.XLOOKUP(F803,tblEmployee[Employee_ID],tblEmployee[Gender],"Not Found")</f>
        <v>Male</v>
      </c>
      <c r="Y803">
        <f>_xlfn.XLOOKUP(F803,tblEmployee[Employee_ID],tblEmployee[Joining_Date],"")</f>
        <v>45061</v>
      </c>
      <c r="Z803">
        <f>_xlfn.XLOOKUP(H803,tblDepartment[Department],tblDepartment[Annual_Budget_INR],"")</f>
        <v>34000000</v>
      </c>
      <c r="AA803" t="str">
        <f>_xlfn.XLOOKUP(H803,tblDepartment[Department],tblDepartment[Monthly_Target],"")</f>
        <v>95% Process Efficiency</v>
      </c>
      <c r="AB803">
        <f>_xlfn.XLOOKUP(H803,tblDepartment[Department],tblDepartment[Average_Salary_INR],"")</f>
        <v>610000</v>
      </c>
      <c r="AC803" t="str">
        <f>_xlfn.XLOOKUP(H803,tblDepartment[Department],tblDepartment[Priority_Level],"")</f>
        <v>High</v>
      </c>
      <c r="AD803" t="str">
        <f>_xlfn.XLOOKUP(H803,tblDepartment[Department],tblDepartment[Key_KPI],"")</f>
        <v>Operational Efficiency</v>
      </c>
      <c r="AE803">
        <f>_xlfn.XLOOKUP(tblMaster[[#This Row],[Shift]],tblShift[Shift_Name],tblShift[Login_Time],"")</f>
        <v>0.41666666666666669</v>
      </c>
      <c r="AF803">
        <f>_xlfn.XLOOKUP(tblMaster[[#This Row],[Shift]],tblShift[Shift_Name],tblShift[Logout_Time]," ")</f>
        <v>0.79166666666666663</v>
      </c>
      <c r="AG803">
        <f>_xlfn.XLOOKUP(tblMaster[[#This Row],[Shift]],tblShift[Shift_Name],tblShift[Standard_Working_Hours],"")</f>
        <v>8</v>
      </c>
      <c r="AH803" t="str">
        <f>_xlfn.XLOOKUP(tblMaster[[#This Row],[Attendance_Date]],tblHoliday[Holiday_Date],tblHoliday[Holiday_Name],"Working Day")</f>
        <v>Working Day</v>
      </c>
      <c r="AI803" t="str">
        <f>_xlfn.XLOOKUP(tblMaster[[#This Row],[Attendance_Date]],tblHoliday[Holiday_Date],tblHoliday[Holiday_Type],"Working Day ")</f>
        <v xml:space="preserve">Working Day </v>
      </c>
    </row>
    <row r="804" spans="1:35" hidden="1" x14ac:dyDescent="0.3">
      <c r="A804" t="s">
        <v>48</v>
      </c>
      <c r="B804" s="1">
        <v>45658</v>
      </c>
      <c r="C804" t="s">
        <v>49</v>
      </c>
      <c r="D804" t="s">
        <v>50</v>
      </c>
      <c r="E804" t="s">
        <v>51</v>
      </c>
      <c r="F804" t="s">
        <v>52</v>
      </c>
      <c r="G804" t="s">
        <v>53</v>
      </c>
      <c r="H804" t="s">
        <v>41</v>
      </c>
      <c r="I804" t="s">
        <v>42</v>
      </c>
      <c r="J804" t="s">
        <v>43</v>
      </c>
      <c r="K804" t="s">
        <v>54</v>
      </c>
      <c r="L804" s="2">
        <v>0.375</v>
      </c>
      <c r="M804" s="2">
        <v>0.75</v>
      </c>
      <c r="N804">
        <v>8</v>
      </c>
      <c r="O804">
        <v>0</v>
      </c>
      <c r="P804" t="s">
        <v>32</v>
      </c>
      <c r="R804">
        <v>4</v>
      </c>
      <c r="S804" t="s">
        <v>45</v>
      </c>
      <c r="T804" t="s">
        <v>46</v>
      </c>
      <c r="U804" t="s">
        <v>55</v>
      </c>
      <c r="W804">
        <f>_xlfn.XLOOKUP(F804,tblEmployee[Employee_ID],tblEmployee[Age],"Not Found")</f>
        <v>27</v>
      </c>
      <c r="X804" t="str">
        <f>_xlfn.XLOOKUP(F804,tblEmployee[Employee_ID],tblEmployee[Gender],"Not Found")</f>
        <v>Male</v>
      </c>
      <c r="Y804">
        <f>_xlfn.XLOOKUP(F804,tblEmployee[Employee_ID],tblEmployee[Joining_Date],"")</f>
        <v>45092</v>
      </c>
      <c r="Z804">
        <f>_xlfn.XLOOKUP(H804,tblDepartment[Department],tblDepartment[Annual_Budget_INR],"")</f>
        <v>34000000</v>
      </c>
      <c r="AA804" t="str">
        <f>_xlfn.XLOOKUP(H804,tblDepartment[Department],tblDepartment[Monthly_Target],"")</f>
        <v>95% Process Efficiency</v>
      </c>
      <c r="AB804">
        <f>_xlfn.XLOOKUP(H804,tblDepartment[Department],tblDepartment[Average_Salary_INR],"")</f>
        <v>610000</v>
      </c>
      <c r="AC804" t="str">
        <f>_xlfn.XLOOKUP(H804,tblDepartment[Department],tblDepartment[Priority_Level],"")</f>
        <v>High</v>
      </c>
      <c r="AD804" t="str">
        <f>_xlfn.XLOOKUP(H804,tblDepartment[Department],tblDepartment[Key_KPI],"")</f>
        <v>Operational Efficiency</v>
      </c>
      <c r="AE804">
        <f>_xlfn.XLOOKUP(tblMaster[[#This Row],[Shift]],tblShift[Shift_Name],tblShift[Login_Time],"")</f>
        <v>0.58333333333333337</v>
      </c>
      <c r="AF804">
        <f>_xlfn.XLOOKUP(tblMaster[[#This Row],[Shift]],tblShift[Shift_Name],tblShift[Logout_Time]," ")</f>
        <v>0.95833333333333337</v>
      </c>
      <c r="AG804">
        <f>_xlfn.XLOOKUP(tblMaster[[#This Row],[Shift]],tblShift[Shift_Name],tblShift[Standard_Working_Hours],"")</f>
        <v>8</v>
      </c>
      <c r="AH804" t="str">
        <f>_xlfn.XLOOKUP(tblMaster[[#This Row],[Attendance_Date]],tblHoliday[Holiday_Date],tblHoliday[Holiday_Name],"Working Day")</f>
        <v>New Year's Day</v>
      </c>
      <c r="AI804" t="str">
        <f>_xlfn.XLOOKUP(tblMaster[[#This Row],[Attendance_Date]],tblHoliday[Holiday_Date],tblHoliday[Holiday_Type],"Working Day ")</f>
        <v>National</v>
      </c>
    </row>
    <row r="805" spans="1:35" hidden="1" x14ac:dyDescent="0.3">
      <c r="A805" t="s">
        <v>56</v>
      </c>
      <c r="B805" s="1">
        <v>45780</v>
      </c>
      <c r="C805" t="s">
        <v>57</v>
      </c>
      <c r="D805" t="s">
        <v>24</v>
      </c>
      <c r="E805" t="s">
        <v>38</v>
      </c>
      <c r="F805" t="s">
        <v>58</v>
      </c>
      <c r="G805" t="s">
        <v>59</v>
      </c>
      <c r="H805" t="s">
        <v>41</v>
      </c>
      <c r="I805" t="s">
        <v>42</v>
      </c>
      <c r="J805" t="s">
        <v>30</v>
      </c>
      <c r="K805" t="s">
        <v>54</v>
      </c>
      <c r="L805" s="2">
        <v>0.375</v>
      </c>
      <c r="M805" s="2">
        <v>0.75</v>
      </c>
      <c r="N805">
        <v>8</v>
      </c>
      <c r="O805">
        <v>0</v>
      </c>
      <c r="P805" t="s">
        <v>32</v>
      </c>
      <c r="S805" t="s">
        <v>45</v>
      </c>
      <c r="T805" t="s">
        <v>46</v>
      </c>
      <c r="U805" t="s">
        <v>47</v>
      </c>
      <c r="V805" t="s">
        <v>60</v>
      </c>
      <c r="W805">
        <f>_xlfn.XLOOKUP(F805,tblEmployee[Employee_ID],tblEmployee[Age],"Not Found")</f>
        <v>23</v>
      </c>
      <c r="X805" t="str">
        <f>_xlfn.XLOOKUP(F805,tblEmployee[Employee_ID],tblEmployee[Gender],"Not Found")</f>
        <v>Female</v>
      </c>
      <c r="Y805">
        <f>_xlfn.XLOOKUP(F805,tblEmployee[Employee_ID],tblEmployee[Joining_Date],"")</f>
        <v>45153</v>
      </c>
      <c r="Z805">
        <f>_xlfn.XLOOKUP(H805,tblDepartment[Department],tblDepartment[Annual_Budget_INR],"")</f>
        <v>34000000</v>
      </c>
      <c r="AA805" t="str">
        <f>_xlfn.XLOOKUP(H805,tblDepartment[Department],tblDepartment[Monthly_Target],"")</f>
        <v>95% Process Efficiency</v>
      </c>
      <c r="AB805">
        <f>_xlfn.XLOOKUP(H805,tblDepartment[Department],tblDepartment[Average_Salary_INR],"")</f>
        <v>610000</v>
      </c>
      <c r="AC805" t="str">
        <f>_xlfn.XLOOKUP(H805,tblDepartment[Department],tblDepartment[Priority_Level],"")</f>
        <v>High</v>
      </c>
      <c r="AD805" t="str">
        <f>_xlfn.XLOOKUP(H805,tblDepartment[Department],tblDepartment[Key_KPI],"")</f>
        <v>Operational Efficiency</v>
      </c>
      <c r="AE805">
        <f>_xlfn.XLOOKUP(tblMaster[[#This Row],[Shift]],tblShift[Shift_Name],tblShift[Login_Time],"")</f>
        <v>0.58333333333333337</v>
      </c>
      <c r="AF805">
        <f>_xlfn.XLOOKUP(tblMaster[[#This Row],[Shift]],tblShift[Shift_Name],tblShift[Logout_Time]," ")</f>
        <v>0.95833333333333337</v>
      </c>
      <c r="AG805">
        <f>_xlfn.XLOOKUP(tblMaster[[#This Row],[Shift]],tblShift[Shift_Name],tblShift[Standard_Working_Hours],"")</f>
        <v>8</v>
      </c>
      <c r="AH805" t="str">
        <f>_xlfn.XLOOKUP(tblMaster[[#This Row],[Attendance_Date]],tblHoliday[Holiday_Date],tblHoliday[Holiday_Name],"Working Day")</f>
        <v>Working Day</v>
      </c>
      <c r="AI805" t="str">
        <f>_xlfn.XLOOKUP(tblMaster[[#This Row],[Attendance_Date]],tblHoliday[Holiday_Date],tblHoliday[Holiday_Type],"Working Day ")</f>
        <v xml:space="preserve">Working Day </v>
      </c>
    </row>
    <row r="806" spans="1:35" x14ac:dyDescent="0.3">
      <c r="A806" t="s">
        <v>61</v>
      </c>
      <c r="B806" s="3">
        <v>45658</v>
      </c>
      <c r="C806" t="s">
        <v>49</v>
      </c>
      <c r="D806" t="s">
        <v>50</v>
      </c>
      <c r="E806" t="s">
        <v>51</v>
      </c>
      <c r="F806" t="s">
        <v>62</v>
      </c>
      <c r="G806" t="s">
        <v>63</v>
      </c>
      <c r="H806" t="s">
        <v>64</v>
      </c>
      <c r="I806" t="s">
        <v>65</v>
      </c>
      <c r="J806" t="s">
        <v>66</v>
      </c>
      <c r="K806" t="s">
        <v>31</v>
      </c>
      <c r="L806" s="2">
        <v>0.375</v>
      </c>
      <c r="M806" s="2">
        <v>0.75</v>
      </c>
      <c r="N806">
        <v>9</v>
      </c>
      <c r="O806">
        <v>1</v>
      </c>
      <c r="P806" t="s">
        <v>32</v>
      </c>
      <c r="R806">
        <v>4</v>
      </c>
      <c r="S806" t="s">
        <v>67</v>
      </c>
      <c r="T806" t="s">
        <v>68</v>
      </c>
      <c r="U806" t="str">
        <f>_xlfn.XLOOKUP(tblMaster[[#This Row],[Employee_ID]],tblEmployee[Employee_ID],tblEmployee[Work_Mode]," ")</f>
        <v>Hybrid</v>
      </c>
      <c r="V806" t="s">
        <v>69</v>
      </c>
      <c r="W806">
        <f>_xlfn.XLOOKUP(F806,tblEmployee[Employee_ID],tblEmployee[Age],"Not Found")</f>
        <v>23</v>
      </c>
      <c r="X806" t="str">
        <f>_xlfn.XLOOKUP(F806,tblEmployee[Employee_ID],tblEmployee[Gender],"Not Found")</f>
        <v>Male</v>
      </c>
      <c r="Y806">
        <f>_xlfn.XLOOKUP(F806,tblEmployee[Employee_ID],tblEmployee[Joining_Date],"")</f>
        <v>43511</v>
      </c>
      <c r="Z806">
        <f>_xlfn.XLOOKUP(H806,tblDepartment[Department],tblDepartment[Annual_Budget_INR],"")</f>
        <v>85000000</v>
      </c>
      <c r="AA806" t="str">
        <f>_xlfn.XLOOKUP(H806,tblDepartment[Department],tblDepartment[Monthly_Target],"")</f>
        <v>99.5% System Uptime</v>
      </c>
      <c r="AB806">
        <f>_xlfn.XLOOKUP(H806,tblDepartment[Department],tblDepartment[Average_Salary_INR],"")</f>
        <v>720000</v>
      </c>
      <c r="AC806" t="str">
        <f>_xlfn.XLOOKUP(H806,tblDepartment[Department],tblDepartment[Priority_Level],"")</f>
        <v>High</v>
      </c>
      <c r="AD806" t="str">
        <f>_xlfn.XLOOKUP(H806,tblDepartment[Department],tblDepartment[Key_KPI],"")</f>
        <v>Project Delivery</v>
      </c>
      <c r="AE806">
        <f>_xlfn.XLOOKUP(tblMaster[[#This Row],[Shift]],tblShift[Shift_Name],tblShift[Login_Time],"")</f>
        <v>0.25</v>
      </c>
      <c r="AF806">
        <f>_xlfn.XLOOKUP(tblMaster[[#This Row],[Shift]],tblShift[Shift_Name],tblShift[Logout_Time]," ")</f>
        <v>0.625</v>
      </c>
      <c r="AG806">
        <f>_xlfn.XLOOKUP(tblMaster[[#This Row],[Shift]],tblShift[Shift_Name],tblShift[Standard_Working_Hours],"")</f>
        <v>8</v>
      </c>
      <c r="AH806" t="str">
        <f>_xlfn.XLOOKUP(tblMaster[[#This Row],[Attendance_Date]],tblHoliday[Holiday_Date],tblHoliday[Holiday_Name],"Working Day")</f>
        <v>New Year's Day</v>
      </c>
      <c r="AI806" t="str">
        <f>_xlfn.XLOOKUP(tblMaster[[#This Row],[Attendance_Date]],tblHoliday[Holiday_Date],tblHoliday[Holiday_Type],"Working Day ")</f>
        <v>National</v>
      </c>
    </row>
    <row r="807" spans="1:35" hidden="1" x14ac:dyDescent="0.3">
      <c r="A807" t="s">
        <v>70</v>
      </c>
      <c r="B807" s="3">
        <v>45722</v>
      </c>
      <c r="C807" t="s">
        <v>71</v>
      </c>
      <c r="D807" t="s">
        <v>50</v>
      </c>
      <c r="E807" t="s">
        <v>25</v>
      </c>
      <c r="F807" t="s">
        <v>72</v>
      </c>
      <c r="G807" t="s">
        <v>73</v>
      </c>
      <c r="H807" t="s">
        <v>28</v>
      </c>
      <c r="I807" t="s">
        <v>29</v>
      </c>
      <c r="J807" t="s">
        <v>74</v>
      </c>
      <c r="K807" t="s">
        <v>75</v>
      </c>
      <c r="L807" s="2">
        <v>0.375</v>
      </c>
      <c r="M807" s="2">
        <v>0.75</v>
      </c>
      <c r="N807">
        <v>8</v>
      </c>
      <c r="O807">
        <v>0</v>
      </c>
      <c r="P807" t="s">
        <v>32</v>
      </c>
      <c r="R807">
        <v>5</v>
      </c>
      <c r="S807" t="s">
        <v>67</v>
      </c>
      <c r="T807" t="s">
        <v>34</v>
      </c>
      <c r="U807" t="s">
        <v>55</v>
      </c>
      <c r="W807">
        <f>_xlfn.XLOOKUP(F807,tblEmployee[Employee_ID],tblEmployee[Age],"Not Found")</f>
        <v>28</v>
      </c>
      <c r="X807" t="str">
        <f>_xlfn.XLOOKUP(F807,tblEmployee[Employee_ID],tblEmployee[Gender],"Not Found")</f>
        <v>Female</v>
      </c>
      <c r="Y807">
        <f>_xlfn.XLOOKUP(F807,tblEmployee[Employee_ID],tblEmployee[Joining_Date],"")</f>
        <v>43296</v>
      </c>
      <c r="Z807">
        <f>_xlfn.XLOOKUP(H807,tblDepartment[Department],tblDepartment[Annual_Budget_INR],"")</f>
        <v>24000000</v>
      </c>
      <c r="AA807" t="str">
        <f>_xlfn.XLOOKUP(H807,tblDepartment[Department],tblDepartment[Monthly_Target],"")</f>
        <v>90% Customer Satisfaction</v>
      </c>
      <c r="AB807">
        <f>_xlfn.XLOOKUP(H807,tblDepartment[Department],tblDepartment[Average_Salary_INR],"")</f>
        <v>520000</v>
      </c>
      <c r="AC807" t="str">
        <f>_xlfn.XLOOKUP(H807,tblDepartment[Department],tblDepartment[Priority_Level],"")</f>
        <v>High</v>
      </c>
      <c r="AD807" t="str">
        <f>_xlfn.XLOOKUP(H807,tblDepartment[Department],tblDepartment[Key_KPI],"")</f>
        <v>Customer Satisfaction</v>
      </c>
      <c r="AE807">
        <f>_xlfn.XLOOKUP(tblMaster[[#This Row],[Shift]],tblShift[Shift_Name],tblShift[Login_Time],"")</f>
        <v>0.375</v>
      </c>
      <c r="AF807">
        <f>_xlfn.XLOOKUP(tblMaster[[#This Row],[Shift]],tblShift[Shift_Name],tblShift[Logout_Time]," ")</f>
        <v>0.75</v>
      </c>
      <c r="AG807">
        <f>_xlfn.XLOOKUP(tblMaster[[#This Row],[Shift]],tblShift[Shift_Name],tblShift[Standard_Working_Hours],"")</f>
        <v>8</v>
      </c>
      <c r="AH807" t="str">
        <f>_xlfn.XLOOKUP(tblMaster[[#This Row],[Attendance_Date]],tblHoliday[Holiday_Date],tblHoliday[Holiday_Name],"Working Day")</f>
        <v>Working Day</v>
      </c>
      <c r="AI807" t="str">
        <f>_xlfn.XLOOKUP(tblMaster[[#This Row],[Attendance_Date]],tblHoliday[Holiday_Date],tblHoliday[Holiday_Type],"Working Day ")</f>
        <v xml:space="preserve">Working Day </v>
      </c>
    </row>
    <row r="808" spans="1:35" hidden="1" x14ac:dyDescent="0.3">
      <c r="A808" t="s">
        <v>76</v>
      </c>
      <c r="B808" s="3">
        <v>45687</v>
      </c>
      <c r="C808" t="s">
        <v>49</v>
      </c>
      <c r="D808" t="s">
        <v>50</v>
      </c>
      <c r="E808" t="s">
        <v>25</v>
      </c>
      <c r="F808" t="s">
        <v>77</v>
      </c>
      <c r="G808" t="s">
        <v>78</v>
      </c>
      <c r="H808" t="s">
        <v>79</v>
      </c>
      <c r="I808" t="s">
        <v>80</v>
      </c>
      <c r="J808" t="s">
        <v>30</v>
      </c>
      <c r="K808" t="s">
        <v>81</v>
      </c>
      <c r="P808" t="s">
        <v>82</v>
      </c>
      <c r="Q808" t="s">
        <v>83</v>
      </c>
      <c r="S808" t="s">
        <v>45</v>
      </c>
      <c r="T808" t="s">
        <v>84</v>
      </c>
      <c r="U808" t="s">
        <v>85</v>
      </c>
      <c r="W808">
        <f>_xlfn.XLOOKUP(F808,tblEmployee[Employee_ID],tblEmployee[Age],"Not Found")</f>
        <v>26</v>
      </c>
      <c r="X808" t="str">
        <f>_xlfn.XLOOKUP(F808,tblEmployee[Employee_ID],tblEmployee[Gender],"Not Found")</f>
        <v>Female</v>
      </c>
      <c r="Y808">
        <f>_xlfn.XLOOKUP(F808,tblEmployee[Employee_ID],tblEmployee[Joining_Date],"")</f>
        <v>44696</v>
      </c>
      <c r="Z808">
        <f>_xlfn.XLOOKUP(H808,tblDepartment[Department],tblDepartment[Annual_Budget_INR],"")</f>
        <v>26000000</v>
      </c>
      <c r="AA808" t="str">
        <f>_xlfn.XLOOKUP(H808,tblDepartment[Department],tblDepartment[Monthly_Target],"")</f>
        <v>100% Payroll Accuracy</v>
      </c>
      <c r="AB808">
        <f>_xlfn.XLOOKUP(H808,tblDepartment[Department],tblDepartment[Average_Salary_INR],"")</f>
        <v>640000</v>
      </c>
      <c r="AC808" t="str">
        <f>_xlfn.XLOOKUP(H808,tblDepartment[Department],tblDepartment[Priority_Level],"")</f>
        <v>High</v>
      </c>
      <c r="AD808" t="str">
        <f>_xlfn.XLOOKUP(H808,tblDepartment[Department],tblDepartment[Key_KPI],"")</f>
        <v>Financial Compliance</v>
      </c>
      <c r="AE808">
        <f>_xlfn.XLOOKUP(tblMaster[[#This Row],[Shift]],tblShift[Shift_Name],tblShift[Login_Time],"")</f>
        <v>0.91666666666666663</v>
      </c>
      <c r="AF808">
        <f>_xlfn.XLOOKUP(tblMaster[[#This Row],[Shift]],tblShift[Shift_Name],tblShift[Logout_Time]," ")</f>
        <v>0.29166666666666669</v>
      </c>
      <c r="AG808">
        <f>_xlfn.XLOOKUP(tblMaster[[#This Row],[Shift]],tblShift[Shift_Name],tblShift[Standard_Working_Hours],"")</f>
        <v>8</v>
      </c>
      <c r="AH808" t="str">
        <f>_xlfn.XLOOKUP(tblMaster[[#This Row],[Attendance_Date]],tblHoliday[Holiday_Date],tblHoliday[Holiday_Name],"Working Day")</f>
        <v>Working Day</v>
      </c>
      <c r="AI808" t="str">
        <f>_xlfn.XLOOKUP(tblMaster[[#This Row],[Attendance_Date]],tblHoliday[Holiday_Date],tblHoliday[Holiday_Type],"Working Day ")</f>
        <v xml:space="preserve">Working Day </v>
      </c>
    </row>
    <row r="809" spans="1:35" x14ac:dyDescent="0.3">
      <c r="A809" t="s">
        <v>86</v>
      </c>
      <c r="B809" s="3">
        <v>45832</v>
      </c>
      <c r="C809" t="s">
        <v>23</v>
      </c>
      <c r="D809" t="s">
        <v>24</v>
      </c>
      <c r="E809" t="s">
        <v>87</v>
      </c>
      <c r="F809" t="s">
        <v>88</v>
      </c>
      <c r="G809" t="s">
        <v>89</v>
      </c>
      <c r="H809" t="s">
        <v>90</v>
      </c>
      <c r="I809" t="s">
        <v>91</v>
      </c>
      <c r="J809" t="s">
        <v>43</v>
      </c>
      <c r="K809" t="s">
        <v>31</v>
      </c>
      <c r="L809" s="2">
        <v>0.375</v>
      </c>
      <c r="M809" s="2">
        <v>0.75</v>
      </c>
      <c r="N809">
        <v>8</v>
      </c>
      <c r="O809">
        <v>0</v>
      </c>
      <c r="P809" t="s">
        <v>32</v>
      </c>
      <c r="R809">
        <v>4</v>
      </c>
      <c r="S809" t="s">
        <v>92</v>
      </c>
      <c r="T809" t="s">
        <v>93</v>
      </c>
      <c r="U809" t="str">
        <f>_xlfn.XLOOKUP(tblMaster[[#This Row],[Employee_ID]],tblEmployee[Employee_ID],tblEmployee[Work_Mode]," ")</f>
        <v>Office</v>
      </c>
      <c r="V809" t="s">
        <v>35</v>
      </c>
      <c r="W809">
        <f>_xlfn.XLOOKUP(F809,tblEmployee[Employee_ID],tblEmployee[Age],"Not Found")</f>
        <v>34</v>
      </c>
      <c r="X809" t="str">
        <f>_xlfn.XLOOKUP(F809,tblEmployee[Employee_ID],tblEmployee[Gender],"Not Found")</f>
        <v>Female</v>
      </c>
      <c r="Y809">
        <f>_xlfn.XLOOKUP(F809,tblEmployee[Employee_ID],tblEmployee[Joining_Date],"")</f>
        <v>44027</v>
      </c>
      <c r="Z809">
        <f>_xlfn.XLOOKUP(H809,tblDepartment[Department],tblDepartment[Annual_Budget_INR],"")</f>
        <v>18000000</v>
      </c>
      <c r="AA809" t="str">
        <f>_xlfn.XLOOKUP(H809,tblDepartment[Department],tblDepartment[Monthly_Target],"")</f>
        <v>&lt;30 Days Hiring Cycle</v>
      </c>
      <c r="AB809">
        <f>_xlfn.XLOOKUP(H809,tblDepartment[Department],tblDepartment[Average_Salary_INR],"")</f>
        <v>560000</v>
      </c>
      <c r="AC809" t="str">
        <f>_xlfn.XLOOKUP(H809,tblDepartment[Department],tblDepartment[Priority_Level],"")</f>
        <v>Medium</v>
      </c>
      <c r="AD809" t="str">
        <f>_xlfn.XLOOKUP(H809,tblDepartment[Department],tblDepartment[Key_KPI],"")</f>
        <v>Hiring &amp; Retention</v>
      </c>
      <c r="AE809">
        <f>_xlfn.XLOOKUP(tblMaster[[#This Row],[Shift]],tblShift[Shift_Name],tblShift[Login_Time],"")</f>
        <v>0.25</v>
      </c>
      <c r="AF809">
        <f>_xlfn.XLOOKUP(tblMaster[[#This Row],[Shift]],tblShift[Shift_Name],tblShift[Logout_Time]," ")</f>
        <v>0.625</v>
      </c>
      <c r="AG809">
        <f>_xlfn.XLOOKUP(tblMaster[[#This Row],[Shift]],tblShift[Shift_Name],tblShift[Standard_Working_Hours],"")</f>
        <v>8</v>
      </c>
      <c r="AH809" t="str">
        <f>_xlfn.XLOOKUP(tblMaster[[#This Row],[Attendance_Date]],tblHoliday[Holiday_Date],tblHoliday[Holiday_Name],"Working Day")</f>
        <v>Working Day</v>
      </c>
      <c r="AI809" t="str">
        <f>_xlfn.XLOOKUP(tblMaster[[#This Row],[Attendance_Date]],tblHoliday[Holiday_Date],tblHoliday[Holiday_Type],"Working Day ")</f>
        <v xml:space="preserve">Working Day </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711F-201C-453A-BC82-F5A8014CA30B}">
  <dimension ref="A1:B23"/>
  <sheetViews>
    <sheetView zoomScale="49" workbookViewId="0">
      <selection activeCell="C17" sqref="C17"/>
    </sheetView>
  </sheetViews>
  <sheetFormatPr defaultRowHeight="14.4" x14ac:dyDescent="0.3"/>
  <cols>
    <col min="1" max="1" width="29" customWidth="1"/>
    <col min="2" max="2" width="45.75" customWidth="1"/>
  </cols>
  <sheetData>
    <row r="1" spans="1:2" x14ac:dyDescent="0.3">
      <c r="A1" t="s">
        <v>1189</v>
      </c>
      <c r="B1">
        <f>COUNTA(_xlfn.UNIQUE(tblMaster[Employee_ID]))</f>
        <v>50</v>
      </c>
    </row>
    <row r="3" spans="1:2" x14ac:dyDescent="0.3">
      <c r="A3" t="s">
        <v>1190</v>
      </c>
      <c r="B3">
        <f>COUNTA(tblMaster[Attendance_ID])</f>
        <v>808</v>
      </c>
    </row>
    <row r="5" spans="1:2" x14ac:dyDescent="0.3">
      <c r="A5" t="s">
        <v>1191</v>
      </c>
      <c r="B5">
        <f>COUNTIF(tblMaster[Attendance_Status],"Present")</f>
        <v>722</v>
      </c>
    </row>
    <row r="7" spans="1:2" x14ac:dyDescent="0.3">
      <c r="A7" t="s">
        <v>1192</v>
      </c>
      <c r="B7">
        <f>COUNTIF(tblMaster[Attendance_Status],"Absent")</f>
        <v>48</v>
      </c>
    </row>
    <row r="9" spans="1:2" x14ac:dyDescent="0.3">
      <c r="A9" t="s">
        <v>1193</v>
      </c>
      <c r="B9" s="6">
        <f>B5/B3</f>
        <v>0.89356435643564358</v>
      </c>
    </row>
    <row r="11" spans="1:2" x14ac:dyDescent="0.3">
      <c r="A11" t="s">
        <v>1194</v>
      </c>
      <c r="B11" s="6">
        <f>AVERAGE(tblMaster[Working_Hours])</f>
        <v>8.3732686980609419</v>
      </c>
    </row>
    <row r="13" spans="1:2" x14ac:dyDescent="0.3">
      <c r="A13" s="5" t="s">
        <v>1195</v>
      </c>
      <c r="B13" s="6">
        <f>AVERAGE(tblMaster[Overtime_Hours])</f>
        <v>0.37326869806094182</v>
      </c>
    </row>
    <row r="15" spans="1:2" x14ac:dyDescent="0.3">
      <c r="A15" t="s">
        <v>1196</v>
      </c>
      <c r="B15" s="6">
        <f>AVERAGE(tblMaster[Performance_Rating])</f>
        <v>4.0033898305084747</v>
      </c>
    </row>
    <row r="17" spans="1:2" x14ac:dyDescent="0.3">
      <c r="A17" t="s">
        <v>1197</v>
      </c>
      <c r="B17">
        <f>COUNTIF(tblMaster[Work_Mode],"Remote")</f>
        <v>243</v>
      </c>
    </row>
    <row r="19" spans="1:2" x14ac:dyDescent="0.3">
      <c r="A19" t="s">
        <v>1198</v>
      </c>
      <c r="B19">
        <f>COUNTIF(tblMaster[Work_Mode],"Office")</f>
        <v>304</v>
      </c>
    </row>
    <row r="21" spans="1:2" x14ac:dyDescent="0.3">
      <c r="A21" t="s">
        <v>1199</v>
      </c>
      <c r="B21">
        <f>COUNTIF(tblMaster[Attendance_Status],"Leave")</f>
        <v>38</v>
      </c>
    </row>
    <row r="23" spans="1:2" x14ac:dyDescent="0.3">
      <c r="A23" t="s">
        <v>1200</v>
      </c>
      <c r="B23" s="6">
        <f>B21/B3</f>
        <v>4.702970297029703E-2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AE7F-B009-4407-A0CE-DDCB1D4D2AC0}">
  <dimension ref="A1:Y9"/>
  <sheetViews>
    <sheetView topLeftCell="O20" zoomScale="89" workbookViewId="0">
      <selection activeCell="M2" sqref="M2"/>
    </sheetView>
  </sheetViews>
  <sheetFormatPr defaultRowHeight="14.4" x14ac:dyDescent="0.3"/>
  <cols>
    <col min="1" max="1" width="17.25" bestFit="1" customWidth="1"/>
    <col min="2" max="2" width="28.5" bestFit="1" customWidth="1"/>
    <col min="4" max="4" width="15" bestFit="1" customWidth="1"/>
    <col min="5" max="5" width="25.125" bestFit="1" customWidth="1"/>
    <col min="7" max="7" width="17.25" bestFit="1" customWidth="1"/>
    <col min="8" max="8" width="32.375" bestFit="1" customWidth="1"/>
    <col min="10" max="10" width="17.25" bestFit="1" customWidth="1"/>
    <col min="11" max="11" width="28.75" bestFit="1" customWidth="1"/>
    <col min="13" max="13" width="15" bestFit="1" customWidth="1"/>
    <col min="14" max="14" width="25.125" bestFit="1" customWidth="1"/>
    <col min="16" max="16" width="15" bestFit="1" customWidth="1"/>
    <col min="17" max="17" width="23.625" bestFit="1" customWidth="1"/>
    <col min="20" max="20" width="15" bestFit="1" customWidth="1"/>
    <col min="21" max="21" width="25.125" bestFit="1" customWidth="1"/>
    <col min="24" max="24" width="15" bestFit="1" customWidth="1"/>
    <col min="25" max="25" width="25.125" bestFit="1" customWidth="1"/>
  </cols>
  <sheetData>
    <row r="1" spans="1:25" x14ac:dyDescent="0.3">
      <c r="A1" s="7" t="s">
        <v>1201</v>
      </c>
      <c r="B1" t="s">
        <v>1203</v>
      </c>
      <c r="D1" s="7" t="s">
        <v>1201</v>
      </c>
      <c r="E1" t="s">
        <v>1205</v>
      </c>
      <c r="G1" s="7" t="s">
        <v>1201</v>
      </c>
      <c r="H1" t="s">
        <v>1206</v>
      </c>
      <c r="J1" s="7" t="s">
        <v>1201</v>
      </c>
      <c r="K1" t="s">
        <v>1207</v>
      </c>
      <c r="M1" s="7" t="s">
        <v>1201</v>
      </c>
      <c r="N1" t="s">
        <v>1205</v>
      </c>
      <c r="P1" s="7" t="s">
        <v>1201</v>
      </c>
      <c r="Q1" t="s">
        <v>1208</v>
      </c>
      <c r="T1" s="7" t="s">
        <v>1201</v>
      </c>
      <c r="U1" t="s">
        <v>1205</v>
      </c>
      <c r="X1" s="7" t="s">
        <v>1201</v>
      </c>
      <c r="Y1" t="s">
        <v>1205</v>
      </c>
    </row>
    <row r="2" spans="1:25" x14ac:dyDescent="0.3">
      <c r="A2" s="8" t="s">
        <v>28</v>
      </c>
      <c r="B2">
        <v>82</v>
      </c>
      <c r="D2" s="8" t="s">
        <v>49</v>
      </c>
      <c r="E2">
        <v>96</v>
      </c>
      <c r="G2" s="8" t="s">
        <v>28</v>
      </c>
      <c r="H2" s="6">
        <v>4.0517241379310347</v>
      </c>
      <c r="J2" s="8" t="s">
        <v>28</v>
      </c>
      <c r="K2" s="6">
        <v>0.22222222222222221</v>
      </c>
      <c r="M2" s="8" t="s">
        <v>47</v>
      </c>
      <c r="N2">
        <v>191</v>
      </c>
      <c r="P2" s="8" t="s">
        <v>1003</v>
      </c>
      <c r="Q2">
        <v>273</v>
      </c>
      <c r="T2" s="8" t="s">
        <v>1154</v>
      </c>
      <c r="U2">
        <v>2</v>
      </c>
      <c r="X2" s="8" t="s">
        <v>135</v>
      </c>
      <c r="Y2">
        <v>37</v>
      </c>
    </row>
    <row r="3" spans="1:25" x14ac:dyDescent="0.3">
      <c r="A3" s="8" t="s">
        <v>79</v>
      </c>
      <c r="B3">
        <v>88</v>
      </c>
      <c r="D3" s="8" t="s">
        <v>95</v>
      </c>
      <c r="E3">
        <v>87</v>
      </c>
      <c r="G3" s="8" t="s">
        <v>79</v>
      </c>
      <c r="H3" s="6">
        <v>4.0746268656716422</v>
      </c>
      <c r="J3" s="8" t="s">
        <v>79</v>
      </c>
      <c r="K3" s="6">
        <v>0.39610389610389612</v>
      </c>
      <c r="M3" s="8" t="s">
        <v>55</v>
      </c>
      <c r="N3">
        <v>229</v>
      </c>
      <c r="P3" s="8" t="s">
        <v>999</v>
      </c>
      <c r="Q3">
        <v>318</v>
      </c>
      <c r="T3" s="8" t="s">
        <v>1148</v>
      </c>
      <c r="U3">
        <v>14</v>
      </c>
      <c r="X3" s="8" t="s">
        <v>82</v>
      </c>
      <c r="Y3">
        <v>32</v>
      </c>
    </row>
    <row r="4" spans="1:25" x14ac:dyDescent="0.3">
      <c r="A4" s="8" t="s">
        <v>90</v>
      </c>
      <c r="B4">
        <v>79</v>
      </c>
      <c r="D4" s="8" t="s">
        <v>71</v>
      </c>
      <c r="E4">
        <v>108</v>
      </c>
      <c r="G4" s="8" t="s">
        <v>90</v>
      </c>
      <c r="H4" s="6">
        <v>4.0169491525423728</v>
      </c>
      <c r="J4" s="8" t="s">
        <v>90</v>
      </c>
      <c r="K4" s="6">
        <v>0.21830985915492956</v>
      </c>
      <c r="M4" s="8" t="s">
        <v>85</v>
      </c>
      <c r="N4">
        <v>171</v>
      </c>
      <c r="P4" s="8" t="s">
        <v>1202</v>
      </c>
      <c r="Q4">
        <v>591</v>
      </c>
      <c r="T4" s="8" t="s">
        <v>1162</v>
      </c>
      <c r="U4">
        <v>10</v>
      </c>
      <c r="X4" s="8" t="s">
        <v>32</v>
      </c>
      <c r="Y4">
        <v>522</v>
      </c>
    </row>
    <row r="5" spans="1:25" x14ac:dyDescent="0.3">
      <c r="A5" s="8" t="s">
        <v>64</v>
      </c>
      <c r="B5">
        <v>84</v>
      </c>
      <c r="D5" s="8" t="s">
        <v>37</v>
      </c>
      <c r="E5">
        <v>109</v>
      </c>
      <c r="G5" s="8" t="s">
        <v>64</v>
      </c>
      <c r="H5" s="6">
        <v>4.0655737704918034</v>
      </c>
      <c r="J5" s="8" t="s">
        <v>64</v>
      </c>
      <c r="K5" s="6">
        <v>1.0410958904109588</v>
      </c>
      <c r="M5" s="8" t="s">
        <v>1202</v>
      </c>
      <c r="N5">
        <v>591</v>
      </c>
      <c r="T5" s="8" t="s">
        <v>1204</v>
      </c>
      <c r="U5">
        <v>565</v>
      </c>
      <c r="X5" s="8" t="s">
        <v>1202</v>
      </c>
      <c r="Y5">
        <v>591</v>
      </c>
    </row>
    <row r="6" spans="1:25" x14ac:dyDescent="0.3">
      <c r="A6" s="8" t="s">
        <v>98</v>
      </c>
      <c r="B6">
        <v>81</v>
      </c>
      <c r="D6" s="8" t="s">
        <v>57</v>
      </c>
      <c r="E6">
        <v>105</v>
      </c>
      <c r="G6" s="8" t="s">
        <v>98</v>
      </c>
      <c r="H6" s="6">
        <v>3.9516129032258065</v>
      </c>
      <c r="J6" s="8" t="s">
        <v>98</v>
      </c>
      <c r="K6" s="6">
        <v>0.2638888888888889</v>
      </c>
      <c r="T6" s="8" t="s">
        <v>1202</v>
      </c>
      <c r="U6">
        <v>591</v>
      </c>
    </row>
    <row r="7" spans="1:25" x14ac:dyDescent="0.3">
      <c r="A7" s="8" t="s">
        <v>41</v>
      </c>
      <c r="B7">
        <v>83</v>
      </c>
      <c r="D7" s="8" t="s">
        <v>23</v>
      </c>
      <c r="E7">
        <v>86</v>
      </c>
      <c r="G7" s="8" t="s">
        <v>41</v>
      </c>
      <c r="H7" s="6">
        <v>4.0178571428571432</v>
      </c>
      <c r="J7" s="8" t="s">
        <v>41</v>
      </c>
      <c r="K7" s="6">
        <v>0.28082191780821919</v>
      </c>
    </row>
    <row r="8" spans="1:25" x14ac:dyDescent="0.3">
      <c r="A8" s="8" t="s">
        <v>112</v>
      </c>
      <c r="B8">
        <v>94</v>
      </c>
      <c r="D8" s="8" t="s">
        <v>1202</v>
      </c>
      <c r="E8">
        <v>591</v>
      </c>
      <c r="G8" s="8" t="s">
        <v>112</v>
      </c>
      <c r="H8" s="6">
        <v>3.8714285714285714</v>
      </c>
      <c r="J8" s="8" t="s">
        <v>112</v>
      </c>
      <c r="K8" s="6">
        <v>0.30952380952380953</v>
      </c>
    </row>
    <row r="9" spans="1:25" x14ac:dyDescent="0.3">
      <c r="A9" s="8" t="s">
        <v>1202</v>
      </c>
      <c r="B9">
        <v>591</v>
      </c>
      <c r="G9" s="8" t="s">
        <v>1202</v>
      </c>
      <c r="H9" s="6">
        <v>4.0046189376443415</v>
      </c>
      <c r="J9" s="8" t="s">
        <v>1202</v>
      </c>
      <c r="K9" s="6">
        <v>0.38984674329501917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93829-986D-48F9-A64F-B5262FEBC481}">
  <dimension ref="A1"/>
  <sheetViews>
    <sheetView showGridLines="0" showRowColHeaders="0" tabSelected="1" workbookViewId="0">
      <selection activeCell="AA5" sqref="A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Attendance_Transactions</vt:lpstr>
      <vt:lpstr>Employee_Master</vt:lpstr>
      <vt:lpstr>Department_Master</vt:lpstr>
      <vt:lpstr>Shift_Master</vt:lpstr>
      <vt:lpstr>Holiday_Calendar</vt:lpstr>
      <vt:lpstr>Master_Data</vt:lpstr>
      <vt:lpstr>KPIs</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AGALYA MAHESWARAN</dc:creator>
  <cp:lastModifiedBy>AGALYA MAHESWARAN</cp:lastModifiedBy>
  <dcterms:created xsi:type="dcterms:W3CDTF">2026-07-03T15:09:07Z</dcterms:created>
  <dcterms:modified xsi:type="dcterms:W3CDTF">2026-07-11T06:26:13Z</dcterms:modified>
</cp:coreProperties>
</file>